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jalkothari/Documents/Insurance Underwritng AI/"/>
    </mc:Choice>
  </mc:AlternateContent>
  <xr:revisionPtr revIDLastSave="0" documentId="13_ncr:1_{8776FA2A-2016-AD46-AC4F-1071CC1265A8}" xr6:coauthVersionLast="47" xr6:coauthVersionMax="47" xr10:uidLastSave="{00000000-0000-0000-0000-000000000000}"/>
  <bookViews>
    <workbookView xWindow="30240" yWindow="620" windowWidth="38400" windowHeight="20980" activeTab="1" xr2:uid="{4A551C1E-D0EF-7C4A-B8FB-ECF36864B4F6}"/>
  </bookViews>
  <sheets>
    <sheet name="raw_variability" sheetId="3" r:id="rId1"/>
    <sheet name="insurance_repricing" sheetId="1" r:id="rId2"/>
  </sheets>
  <definedNames>
    <definedName name="_xlnm._FilterDatabase" localSheetId="1" hidden="1">insurance_repricing!$A$1:$AT$1001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2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3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2" i="1"/>
  <c r="AO3" i="1"/>
  <c r="AT3" i="1" s="1"/>
  <c r="AO4" i="1"/>
  <c r="AT4" i="1" s="1"/>
  <c r="AO5" i="1"/>
  <c r="AT5" i="1" s="1"/>
  <c r="AO6" i="1"/>
  <c r="AT6" i="1" s="1"/>
  <c r="AO7" i="1"/>
  <c r="AT7" i="1" s="1"/>
  <c r="AO8" i="1"/>
  <c r="AT8" i="1" s="1"/>
  <c r="AO9" i="1"/>
  <c r="AT9" i="1" s="1"/>
  <c r="AO10" i="1"/>
  <c r="AT10" i="1" s="1"/>
  <c r="AO11" i="1"/>
  <c r="AT11" i="1" s="1"/>
  <c r="AO12" i="1"/>
  <c r="AT12" i="1" s="1"/>
  <c r="AO13" i="1"/>
  <c r="AT13" i="1" s="1"/>
  <c r="AO14" i="1"/>
  <c r="AT14" i="1" s="1"/>
  <c r="AO15" i="1"/>
  <c r="AT15" i="1" s="1"/>
  <c r="AO16" i="1"/>
  <c r="AT16" i="1" s="1"/>
  <c r="AO17" i="1"/>
  <c r="AT17" i="1" s="1"/>
  <c r="AO18" i="1"/>
  <c r="AT18" i="1" s="1"/>
  <c r="AO19" i="1"/>
  <c r="AT19" i="1" s="1"/>
  <c r="AO20" i="1"/>
  <c r="AT20" i="1" s="1"/>
  <c r="AO21" i="1"/>
  <c r="AT21" i="1" s="1"/>
  <c r="AO22" i="1"/>
  <c r="AT22" i="1" s="1"/>
  <c r="AO23" i="1"/>
  <c r="AT23" i="1" s="1"/>
  <c r="AO24" i="1"/>
  <c r="AT24" i="1" s="1"/>
  <c r="AO25" i="1"/>
  <c r="AT25" i="1" s="1"/>
  <c r="AO26" i="1"/>
  <c r="AT26" i="1" s="1"/>
  <c r="AO27" i="1"/>
  <c r="AT27" i="1" s="1"/>
  <c r="AO28" i="1"/>
  <c r="AT28" i="1" s="1"/>
  <c r="AO29" i="1"/>
  <c r="AT29" i="1" s="1"/>
  <c r="AO30" i="1"/>
  <c r="AT30" i="1" s="1"/>
  <c r="AO31" i="1"/>
  <c r="AT31" i="1" s="1"/>
  <c r="AO32" i="1"/>
  <c r="AT32" i="1" s="1"/>
  <c r="AO33" i="1"/>
  <c r="AT33" i="1" s="1"/>
  <c r="AO34" i="1"/>
  <c r="AT34" i="1" s="1"/>
  <c r="AO35" i="1"/>
  <c r="AT35" i="1" s="1"/>
  <c r="AO36" i="1"/>
  <c r="AT36" i="1" s="1"/>
  <c r="AO37" i="1"/>
  <c r="AT37" i="1" s="1"/>
  <c r="AO38" i="1"/>
  <c r="AT38" i="1" s="1"/>
  <c r="AO39" i="1"/>
  <c r="AT39" i="1" s="1"/>
  <c r="AO40" i="1"/>
  <c r="AT40" i="1" s="1"/>
  <c r="AO41" i="1"/>
  <c r="AT41" i="1" s="1"/>
  <c r="AO42" i="1"/>
  <c r="AT42" i="1" s="1"/>
  <c r="AO43" i="1"/>
  <c r="AT43" i="1" s="1"/>
  <c r="AO44" i="1"/>
  <c r="AT44" i="1" s="1"/>
  <c r="AO45" i="1"/>
  <c r="AT45" i="1" s="1"/>
  <c r="AO46" i="1"/>
  <c r="AT46" i="1" s="1"/>
  <c r="AO47" i="1"/>
  <c r="AT47" i="1" s="1"/>
  <c r="AO48" i="1"/>
  <c r="AT48" i="1" s="1"/>
  <c r="AO49" i="1"/>
  <c r="AT49" i="1" s="1"/>
  <c r="AO50" i="1"/>
  <c r="AT50" i="1" s="1"/>
  <c r="AO51" i="1"/>
  <c r="AT51" i="1" s="1"/>
  <c r="AO52" i="1"/>
  <c r="AT52" i="1" s="1"/>
  <c r="AO53" i="1"/>
  <c r="AT53" i="1" s="1"/>
  <c r="AO54" i="1"/>
  <c r="AT54" i="1" s="1"/>
  <c r="AO55" i="1"/>
  <c r="AT55" i="1" s="1"/>
  <c r="AO56" i="1"/>
  <c r="AT56" i="1" s="1"/>
  <c r="AO57" i="1"/>
  <c r="AT57" i="1" s="1"/>
  <c r="AO58" i="1"/>
  <c r="AT58" i="1" s="1"/>
  <c r="AO59" i="1"/>
  <c r="AT59" i="1" s="1"/>
  <c r="AO60" i="1"/>
  <c r="AT60" i="1" s="1"/>
  <c r="AO61" i="1"/>
  <c r="AT61" i="1" s="1"/>
  <c r="AO62" i="1"/>
  <c r="AT62" i="1" s="1"/>
  <c r="AO63" i="1"/>
  <c r="AT63" i="1" s="1"/>
  <c r="AO64" i="1"/>
  <c r="AT64" i="1" s="1"/>
  <c r="AO65" i="1"/>
  <c r="AT65" i="1" s="1"/>
  <c r="AO66" i="1"/>
  <c r="AT66" i="1" s="1"/>
  <c r="AO67" i="1"/>
  <c r="AT67" i="1" s="1"/>
  <c r="AO68" i="1"/>
  <c r="AT68" i="1" s="1"/>
  <c r="AO69" i="1"/>
  <c r="AT69" i="1" s="1"/>
  <c r="AO70" i="1"/>
  <c r="AT70" i="1" s="1"/>
  <c r="AO71" i="1"/>
  <c r="AT71" i="1" s="1"/>
  <c r="AO72" i="1"/>
  <c r="AT72" i="1" s="1"/>
  <c r="AO73" i="1"/>
  <c r="AT73" i="1" s="1"/>
  <c r="AO74" i="1"/>
  <c r="AT74" i="1" s="1"/>
  <c r="AO75" i="1"/>
  <c r="AT75" i="1" s="1"/>
  <c r="AO76" i="1"/>
  <c r="AT76" i="1" s="1"/>
  <c r="AO77" i="1"/>
  <c r="AT77" i="1" s="1"/>
  <c r="AO78" i="1"/>
  <c r="AT78" i="1" s="1"/>
  <c r="AO79" i="1"/>
  <c r="AT79" i="1" s="1"/>
  <c r="AO80" i="1"/>
  <c r="AT80" i="1" s="1"/>
  <c r="AO81" i="1"/>
  <c r="AT81" i="1" s="1"/>
  <c r="AO82" i="1"/>
  <c r="AT82" i="1" s="1"/>
  <c r="AO83" i="1"/>
  <c r="AT83" i="1" s="1"/>
  <c r="AO84" i="1"/>
  <c r="AT84" i="1" s="1"/>
  <c r="AO85" i="1"/>
  <c r="AT85" i="1" s="1"/>
  <c r="AO86" i="1"/>
  <c r="AT86" i="1" s="1"/>
  <c r="AO87" i="1"/>
  <c r="AT87" i="1" s="1"/>
  <c r="AO88" i="1"/>
  <c r="AT88" i="1" s="1"/>
  <c r="AO89" i="1"/>
  <c r="AT89" i="1" s="1"/>
  <c r="AO90" i="1"/>
  <c r="AT90" i="1" s="1"/>
  <c r="AO91" i="1"/>
  <c r="AT91" i="1" s="1"/>
  <c r="AO92" i="1"/>
  <c r="AT92" i="1" s="1"/>
  <c r="AO93" i="1"/>
  <c r="AT93" i="1" s="1"/>
  <c r="AO94" i="1"/>
  <c r="AT94" i="1" s="1"/>
  <c r="AO95" i="1"/>
  <c r="AT95" i="1" s="1"/>
  <c r="AO96" i="1"/>
  <c r="AT96" i="1" s="1"/>
  <c r="AO97" i="1"/>
  <c r="AT97" i="1" s="1"/>
  <c r="AO98" i="1"/>
  <c r="AT98" i="1" s="1"/>
  <c r="AO99" i="1"/>
  <c r="AT99" i="1" s="1"/>
  <c r="AO100" i="1"/>
  <c r="AT100" i="1" s="1"/>
  <c r="AO101" i="1"/>
  <c r="AT101" i="1" s="1"/>
  <c r="AO102" i="1"/>
  <c r="AT102" i="1" s="1"/>
  <c r="AO103" i="1"/>
  <c r="AT103" i="1" s="1"/>
  <c r="AO104" i="1"/>
  <c r="AT104" i="1" s="1"/>
  <c r="AO105" i="1"/>
  <c r="AT105" i="1" s="1"/>
  <c r="AO106" i="1"/>
  <c r="AT106" i="1" s="1"/>
  <c r="AO107" i="1"/>
  <c r="AT107" i="1" s="1"/>
  <c r="AO108" i="1"/>
  <c r="AT108" i="1" s="1"/>
  <c r="AO109" i="1"/>
  <c r="AT109" i="1" s="1"/>
  <c r="AO110" i="1"/>
  <c r="AT110" i="1" s="1"/>
  <c r="AO111" i="1"/>
  <c r="AT111" i="1" s="1"/>
  <c r="AO112" i="1"/>
  <c r="AT112" i="1" s="1"/>
  <c r="AO113" i="1"/>
  <c r="AT113" i="1" s="1"/>
  <c r="AO114" i="1"/>
  <c r="AT114" i="1" s="1"/>
  <c r="AO115" i="1"/>
  <c r="AT115" i="1" s="1"/>
  <c r="AO116" i="1"/>
  <c r="AT116" i="1" s="1"/>
  <c r="AO117" i="1"/>
  <c r="AT117" i="1" s="1"/>
  <c r="AO118" i="1"/>
  <c r="AT118" i="1" s="1"/>
  <c r="AO119" i="1"/>
  <c r="AT119" i="1" s="1"/>
  <c r="AO120" i="1"/>
  <c r="AT120" i="1" s="1"/>
  <c r="AO121" i="1"/>
  <c r="AT121" i="1" s="1"/>
  <c r="AO122" i="1"/>
  <c r="AT122" i="1" s="1"/>
  <c r="AO123" i="1"/>
  <c r="AT123" i="1" s="1"/>
  <c r="AO124" i="1"/>
  <c r="AT124" i="1" s="1"/>
  <c r="AO125" i="1"/>
  <c r="AT125" i="1" s="1"/>
  <c r="AO126" i="1"/>
  <c r="AT126" i="1" s="1"/>
  <c r="AO127" i="1"/>
  <c r="AT127" i="1" s="1"/>
  <c r="AO128" i="1"/>
  <c r="AT128" i="1" s="1"/>
  <c r="AO129" i="1"/>
  <c r="AT129" i="1" s="1"/>
  <c r="AO130" i="1"/>
  <c r="AT130" i="1" s="1"/>
  <c r="AO131" i="1"/>
  <c r="AT131" i="1" s="1"/>
  <c r="AO132" i="1"/>
  <c r="AT132" i="1" s="1"/>
  <c r="AO133" i="1"/>
  <c r="AT133" i="1" s="1"/>
  <c r="AO134" i="1"/>
  <c r="AT134" i="1" s="1"/>
  <c r="AO135" i="1"/>
  <c r="AT135" i="1" s="1"/>
  <c r="AO136" i="1"/>
  <c r="AT136" i="1" s="1"/>
  <c r="AO137" i="1"/>
  <c r="AT137" i="1" s="1"/>
  <c r="AO138" i="1"/>
  <c r="AT138" i="1" s="1"/>
  <c r="AO139" i="1"/>
  <c r="AT139" i="1" s="1"/>
  <c r="AO140" i="1"/>
  <c r="AT140" i="1" s="1"/>
  <c r="AO141" i="1"/>
  <c r="AT141" i="1" s="1"/>
  <c r="AO142" i="1"/>
  <c r="AT142" i="1" s="1"/>
  <c r="AO143" i="1"/>
  <c r="AT143" i="1" s="1"/>
  <c r="AO144" i="1"/>
  <c r="AT144" i="1" s="1"/>
  <c r="AO145" i="1"/>
  <c r="AT145" i="1" s="1"/>
  <c r="AO146" i="1"/>
  <c r="AT146" i="1" s="1"/>
  <c r="AO147" i="1"/>
  <c r="AT147" i="1" s="1"/>
  <c r="AO148" i="1"/>
  <c r="AT148" i="1" s="1"/>
  <c r="AO149" i="1"/>
  <c r="AT149" i="1" s="1"/>
  <c r="AO150" i="1"/>
  <c r="AT150" i="1" s="1"/>
  <c r="AO151" i="1"/>
  <c r="AT151" i="1" s="1"/>
  <c r="AO152" i="1"/>
  <c r="AT152" i="1" s="1"/>
  <c r="AO153" i="1"/>
  <c r="AT153" i="1" s="1"/>
  <c r="AO154" i="1"/>
  <c r="AT154" i="1" s="1"/>
  <c r="AO155" i="1"/>
  <c r="AT155" i="1" s="1"/>
  <c r="AO156" i="1"/>
  <c r="AT156" i="1" s="1"/>
  <c r="AO157" i="1"/>
  <c r="AT157" i="1" s="1"/>
  <c r="AO158" i="1"/>
  <c r="AT158" i="1" s="1"/>
  <c r="AO159" i="1"/>
  <c r="AT159" i="1" s="1"/>
  <c r="AO160" i="1"/>
  <c r="AT160" i="1" s="1"/>
  <c r="AO161" i="1"/>
  <c r="AT161" i="1" s="1"/>
  <c r="AO162" i="1"/>
  <c r="AT162" i="1" s="1"/>
  <c r="AO163" i="1"/>
  <c r="AT163" i="1" s="1"/>
  <c r="AO164" i="1"/>
  <c r="AT164" i="1" s="1"/>
  <c r="AO165" i="1"/>
  <c r="AT165" i="1" s="1"/>
  <c r="AO166" i="1"/>
  <c r="AT166" i="1" s="1"/>
  <c r="AO167" i="1"/>
  <c r="AT167" i="1" s="1"/>
  <c r="AO168" i="1"/>
  <c r="AT168" i="1" s="1"/>
  <c r="AO169" i="1"/>
  <c r="AT169" i="1" s="1"/>
  <c r="AO170" i="1"/>
  <c r="AT170" i="1" s="1"/>
  <c r="AO171" i="1"/>
  <c r="AT171" i="1" s="1"/>
  <c r="AO172" i="1"/>
  <c r="AT172" i="1" s="1"/>
  <c r="AO173" i="1"/>
  <c r="AT173" i="1" s="1"/>
  <c r="AO174" i="1"/>
  <c r="AT174" i="1" s="1"/>
  <c r="AO175" i="1"/>
  <c r="AT175" i="1" s="1"/>
  <c r="AO176" i="1"/>
  <c r="AT176" i="1" s="1"/>
  <c r="AO177" i="1"/>
  <c r="AT177" i="1" s="1"/>
  <c r="AO178" i="1"/>
  <c r="AT178" i="1" s="1"/>
  <c r="AO179" i="1"/>
  <c r="AT179" i="1" s="1"/>
  <c r="AO180" i="1"/>
  <c r="AT180" i="1" s="1"/>
  <c r="AO181" i="1"/>
  <c r="AT181" i="1" s="1"/>
  <c r="AO182" i="1"/>
  <c r="AT182" i="1" s="1"/>
  <c r="AO183" i="1"/>
  <c r="AT183" i="1" s="1"/>
  <c r="AO184" i="1"/>
  <c r="AT184" i="1" s="1"/>
  <c r="AO185" i="1"/>
  <c r="AT185" i="1" s="1"/>
  <c r="AO186" i="1"/>
  <c r="AT186" i="1" s="1"/>
  <c r="AO187" i="1"/>
  <c r="AT187" i="1" s="1"/>
  <c r="AO188" i="1"/>
  <c r="AT188" i="1" s="1"/>
  <c r="AO189" i="1"/>
  <c r="AT189" i="1" s="1"/>
  <c r="AO190" i="1"/>
  <c r="AT190" i="1" s="1"/>
  <c r="AO191" i="1"/>
  <c r="AT191" i="1" s="1"/>
  <c r="AO192" i="1"/>
  <c r="AT192" i="1" s="1"/>
  <c r="AO193" i="1"/>
  <c r="AT193" i="1" s="1"/>
  <c r="AO194" i="1"/>
  <c r="AT194" i="1" s="1"/>
  <c r="AO195" i="1"/>
  <c r="AT195" i="1" s="1"/>
  <c r="AO196" i="1"/>
  <c r="AT196" i="1" s="1"/>
  <c r="AO197" i="1"/>
  <c r="AT197" i="1" s="1"/>
  <c r="AO198" i="1"/>
  <c r="AT198" i="1" s="1"/>
  <c r="AO199" i="1"/>
  <c r="AT199" i="1" s="1"/>
  <c r="AO200" i="1"/>
  <c r="AT200" i="1" s="1"/>
  <c r="AO201" i="1"/>
  <c r="AT201" i="1" s="1"/>
  <c r="AO202" i="1"/>
  <c r="AT202" i="1" s="1"/>
  <c r="AO203" i="1"/>
  <c r="AT203" i="1" s="1"/>
  <c r="AO204" i="1"/>
  <c r="AT204" i="1" s="1"/>
  <c r="AO205" i="1"/>
  <c r="AT205" i="1" s="1"/>
  <c r="AO206" i="1"/>
  <c r="AT206" i="1" s="1"/>
  <c r="AO207" i="1"/>
  <c r="AT207" i="1" s="1"/>
  <c r="AO208" i="1"/>
  <c r="AT208" i="1" s="1"/>
  <c r="AO209" i="1"/>
  <c r="AT209" i="1" s="1"/>
  <c r="AO210" i="1"/>
  <c r="AT210" i="1" s="1"/>
  <c r="AO211" i="1"/>
  <c r="AT211" i="1" s="1"/>
  <c r="AO212" i="1"/>
  <c r="AT212" i="1" s="1"/>
  <c r="AO213" i="1"/>
  <c r="AT213" i="1" s="1"/>
  <c r="AO214" i="1"/>
  <c r="AT214" i="1" s="1"/>
  <c r="AO215" i="1"/>
  <c r="AT215" i="1" s="1"/>
  <c r="AO216" i="1"/>
  <c r="AT216" i="1" s="1"/>
  <c r="AO217" i="1"/>
  <c r="AT217" i="1" s="1"/>
  <c r="AO218" i="1"/>
  <c r="AT218" i="1" s="1"/>
  <c r="AO219" i="1"/>
  <c r="AT219" i="1" s="1"/>
  <c r="AO220" i="1"/>
  <c r="AT220" i="1" s="1"/>
  <c r="AO221" i="1"/>
  <c r="AT221" i="1" s="1"/>
  <c r="AO222" i="1"/>
  <c r="AT222" i="1" s="1"/>
  <c r="AO223" i="1"/>
  <c r="AT223" i="1" s="1"/>
  <c r="AO224" i="1"/>
  <c r="AT224" i="1" s="1"/>
  <c r="AO225" i="1"/>
  <c r="AT225" i="1" s="1"/>
  <c r="AO226" i="1"/>
  <c r="AT226" i="1" s="1"/>
  <c r="AO227" i="1"/>
  <c r="AT227" i="1" s="1"/>
  <c r="AO228" i="1"/>
  <c r="AT228" i="1" s="1"/>
  <c r="AO229" i="1"/>
  <c r="AT229" i="1" s="1"/>
  <c r="AO230" i="1"/>
  <c r="AT230" i="1" s="1"/>
  <c r="AO231" i="1"/>
  <c r="AT231" i="1" s="1"/>
  <c r="AO232" i="1"/>
  <c r="AT232" i="1" s="1"/>
  <c r="AO233" i="1"/>
  <c r="AT233" i="1" s="1"/>
  <c r="AO234" i="1"/>
  <c r="AT234" i="1" s="1"/>
  <c r="AO235" i="1"/>
  <c r="AT235" i="1" s="1"/>
  <c r="AO236" i="1"/>
  <c r="AT236" i="1" s="1"/>
  <c r="AO237" i="1"/>
  <c r="AT237" i="1" s="1"/>
  <c r="AO238" i="1"/>
  <c r="AT238" i="1" s="1"/>
  <c r="AO239" i="1"/>
  <c r="AT239" i="1" s="1"/>
  <c r="AO240" i="1"/>
  <c r="AT240" i="1" s="1"/>
  <c r="AO241" i="1"/>
  <c r="AT241" i="1" s="1"/>
  <c r="AO242" i="1"/>
  <c r="AT242" i="1" s="1"/>
  <c r="AO243" i="1"/>
  <c r="AT243" i="1" s="1"/>
  <c r="AO244" i="1"/>
  <c r="AT244" i="1" s="1"/>
  <c r="AO245" i="1"/>
  <c r="AT245" i="1" s="1"/>
  <c r="AO246" i="1"/>
  <c r="AT246" i="1" s="1"/>
  <c r="AO247" i="1"/>
  <c r="AT247" i="1" s="1"/>
  <c r="AO248" i="1"/>
  <c r="AT248" i="1" s="1"/>
  <c r="AO249" i="1"/>
  <c r="AT249" i="1" s="1"/>
  <c r="AO250" i="1"/>
  <c r="AT250" i="1" s="1"/>
  <c r="AO251" i="1"/>
  <c r="AT251" i="1" s="1"/>
  <c r="AO252" i="1"/>
  <c r="AT252" i="1" s="1"/>
  <c r="AO253" i="1"/>
  <c r="AT253" i="1" s="1"/>
  <c r="AO254" i="1"/>
  <c r="AT254" i="1" s="1"/>
  <c r="AO255" i="1"/>
  <c r="AT255" i="1" s="1"/>
  <c r="AO256" i="1"/>
  <c r="AT256" i="1" s="1"/>
  <c r="AO257" i="1"/>
  <c r="AT257" i="1" s="1"/>
  <c r="AO258" i="1"/>
  <c r="AT258" i="1" s="1"/>
  <c r="AO259" i="1"/>
  <c r="AT259" i="1" s="1"/>
  <c r="AO260" i="1"/>
  <c r="AT260" i="1" s="1"/>
  <c r="AO261" i="1"/>
  <c r="AT261" i="1" s="1"/>
  <c r="AO262" i="1"/>
  <c r="AT262" i="1" s="1"/>
  <c r="AO263" i="1"/>
  <c r="AT263" i="1" s="1"/>
  <c r="AO264" i="1"/>
  <c r="AT264" i="1" s="1"/>
  <c r="AO265" i="1"/>
  <c r="AT265" i="1" s="1"/>
  <c r="AO266" i="1"/>
  <c r="AT266" i="1" s="1"/>
  <c r="AO267" i="1"/>
  <c r="AT267" i="1" s="1"/>
  <c r="AO268" i="1"/>
  <c r="AT268" i="1" s="1"/>
  <c r="AO269" i="1"/>
  <c r="AT269" i="1" s="1"/>
  <c r="AO270" i="1"/>
  <c r="AT270" i="1" s="1"/>
  <c r="AO271" i="1"/>
  <c r="AT271" i="1" s="1"/>
  <c r="AO272" i="1"/>
  <c r="AT272" i="1" s="1"/>
  <c r="AO273" i="1"/>
  <c r="AT273" i="1" s="1"/>
  <c r="AO274" i="1"/>
  <c r="AT274" i="1" s="1"/>
  <c r="AO275" i="1"/>
  <c r="AT275" i="1" s="1"/>
  <c r="AO276" i="1"/>
  <c r="AT276" i="1" s="1"/>
  <c r="AO277" i="1"/>
  <c r="AT277" i="1" s="1"/>
  <c r="AO278" i="1"/>
  <c r="AT278" i="1" s="1"/>
  <c r="AO279" i="1"/>
  <c r="AT279" i="1" s="1"/>
  <c r="AO280" i="1"/>
  <c r="AT280" i="1" s="1"/>
  <c r="AO281" i="1"/>
  <c r="AT281" i="1" s="1"/>
  <c r="AO282" i="1"/>
  <c r="AT282" i="1" s="1"/>
  <c r="AO283" i="1"/>
  <c r="AT283" i="1" s="1"/>
  <c r="AO284" i="1"/>
  <c r="AT284" i="1" s="1"/>
  <c r="AO285" i="1"/>
  <c r="AT285" i="1" s="1"/>
  <c r="AO286" i="1"/>
  <c r="AT286" i="1" s="1"/>
  <c r="AO287" i="1"/>
  <c r="AT287" i="1" s="1"/>
  <c r="AO288" i="1"/>
  <c r="AT288" i="1" s="1"/>
  <c r="AO289" i="1"/>
  <c r="AT289" i="1" s="1"/>
  <c r="AO290" i="1"/>
  <c r="AT290" i="1" s="1"/>
  <c r="AO291" i="1"/>
  <c r="AT291" i="1" s="1"/>
  <c r="AO292" i="1"/>
  <c r="AT292" i="1" s="1"/>
  <c r="AO293" i="1"/>
  <c r="AT293" i="1" s="1"/>
  <c r="AO294" i="1"/>
  <c r="AT294" i="1" s="1"/>
  <c r="AO295" i="1"/>
  <c r="AT295" i="1" s="1"/>
  <c r="AO296" i="1"/>
  <c r="AT296" i="1" s="1"/>
  <c r="AO297" i="1"/>
  <c r="AT297" i="1" s="1"/>
  <c r="AO298" i="1"/>
  <c r="AT298" i="1" s="1"/>
  <c r="AO299" i="1"/>
  <c r="AT299" i="1" s="1"/>
  <c r="AO300" i="1"/>
  <c r="AT300" i="1" s="1"/>
  <c r="AO301" i="1"/>
  <c r="AT301" i="1" s="1"/>
  <c r="AO302" i="1"/>
  <c r="AT302" i="1" s="1"/>
  <c r="AO303" i="1"/>
  <c r="AT303" i="1" s="1"/>
  <c r="AO304" i="1"/>
  <c r="AT304" i="1" s="1"/>
  <c r="AO305" i="1"/>
  <c r="AT305" i="1" s="1"/>
  <c r="AO306" i="1"/>
  <c r="AT306" i="1" s="1"/>
  <c r="AO307" i="1"/>
  <c r="AT307" i="1" s="1"/>
  <c r="AO308" i="1"/>
  <c r="AT308" i="1" s="1"/>
  <c r="AO309" i="1"/>
  <c r="AT309" i="1" s="1"/>
  <c r="AO310" i="1"/>
  <c r="AT310" i="1" s="1"/>
  <c r="AO311" i="1"/>
  <c r="AT311" i="1" s="1"/>
  <c r="AO312" i="1"/>
  <c r="AT312" i="1" s="1"/>
  <c r="AO313" i="1"/>
  <c r="AT313" i="1" s="1"/>
  <c r="AO314" i="1"/>
  <c r="AT314" i="1" s="1"/>
  <c r="AO315" i="1"/>
  <c r="AT315" i="1" s="1"/>
  <c r="AO316" i="1"/>
  <c r="AT316" i="1" s="1"/>
  <c r="AO317" i="1"/>
  <c r="AT317" i="1" s="1"/>
  <c r="AO318" i="1"/>
  <c r="AT318" i="1" s="1"/>
  <c r="AO319" i="1"/>
  <c r="AT319" i="1" s="1"/>
  <c r="AO320" i="1"/>
  <c r="AT320" i="1" s="1"/>
  <c r="AO321" i="1"/>
  <c r="AT321" i="1" s="1"/>
  <c r="AO322" i="1"/>
  <c r="AT322" i="1" s="1"/>
  <c r="AO323" i="1"/>
  <c r="AT323" i="1" s="1"/>
  <c r="AO324" i="1"/>
  <c r="AT324" i="1" s="1"/>
  <c r="AO325" i="1"/>
  <c r="AT325" i="1" s="1"/>
  <c r="AO326" i="1"/>
  <c r="AT326" i="1" s="1"/>
  <c r="AO327" i="1"/>
  <c r="AT327" i="1" s="1"/>
  <c r="AO328" i="1"/>
  <c r="AT328" i="1" s="1"/>
  <c r="AO329" i="1"/>
  <c r="AT329" i="1" s="1"/>
  <c r="AO330" i="1"/>
  <c r="AT330" i="1" s="1"/>
  <c r="AO331" i="1"/>
  <c r="AT331" i="1" s="1"/>
  <c r="AO332" i="1"/>
  <c r="AT332" i="1" s="1"/>
  <c r="AO333" i="1"/>
  <c r="AT333" i="1" s="1"/>
  <c r="AO334" i="1"/>
  <c r="AT334" i="1" s="1"/>
  <c r="AO335" i="1"/>
  <c r="AT335" i="1" s="1"/>
  <c r="AO336" i="1"/>
  <c r="AT336" i="1" s="1"/>
  <c r="AO337" i="1"/>
  <c r="AT337" i="1" s="1"/>
  <c r="AO338" i="1"/>
  <c r="AT338" i="1" s="1"/>
  <c r="AO339" i="1"/>
  <c r="AT339" i="1" s="1"/>
  <c r="AO340" i="1"/>
  <c r="AT340" i="1" s="1"/>
  <c r="AO341" i="1"/>
  <c r="AT341" i="1" s="1"/>
  <c r="AO342" i="1"/>
  <c r="AT342" i="1" s="1"/>
  <c r="AO343" i="1"/>
  <c r="AT343" i="1" s="1"/>
  <c r="AO344" i="1"/>
  <c r="AT344" i="1" s="1"/>
  <c r="AO345" i="1"/>
  <c r="AT345" i="1" s="1"/>
  <c r="AO346" i="1"/>
  <c r="AT346" i="1" s="1"/>
  <c r="AO347" i="1"/>
  <c r="AT347" i="1" s="1"/>
  <c r="AO348" i="1"/>
  <c r="AT348" i="1" s="1"/>
  <c r="AO349" i="1"/>
  <c r="AT349" i="1" s="1"/>
  <c r="AO350" i="1"/>
  <c r="AT350" i="1" s="1"/>
  <c r="AO351" i="1"/>
  <c r="AT351" i="1" s="1"/>
  <c r="AO352" i="1"/>
  <c r="AT352" i="1" s="1"/>
  <c r="AO353" i="1"/>
  <c r="AT353" i="1" s="1"/>
  <c r="AO354" i="1"/>
  <c r="AT354" i="1" s="1"/>
  <c r="AO355" i="1"/>
  <c r="AT355" i="1" s="1"/>
  <c r="AO356" i="1"/>
  <c r="AT356" i="1" s="1"/>
  <c r="AO357" i="1"/>
  <c r="AT357" i="1" s="1"/>
  <c r="AO358" i="1"/>
  <c r="AT358" i="1" s="1"/>
  <c r="AO359" i="1"/>
  <c r="AT359" i="1" s="1"/>
  <c r="AO360" i="1"/>
  <c r="AT360" i="1" s="1"/>
  <c r="AO361" i="1"/>
  <c r="AT361" i="1" s="1"/>
  <c r="AO362" i="1"/>
  <c r="AT362" i="1" s="1"/>
  <c r="AO363" i="1"/>
  <c r="AT363" i="1" s="1"/>
  <c r="AO364" i="1"/>
  <c r="AT364" i="1" s="1"/>
  <c r="AO365" i="1"/>
  <c r="AT365" i="1" s="1"/>
  <c r="AO366" i="1"/>
  <c r="AT366" i="1" s="1"/>
  <c r="AO367" i="1"/>
  <c r="AT367" i="1" s="1"/>
  <c r="AO368" i="1"/>
  <c r="AT368" i="1" s="1"/>
  <c r="AO369" i="1"/>
  <c r="AT369" i="1" s="1"/>
  <c r="AO370" i="1"/>
  <c r="AT370" i="1" s="1"/>
  <c r="AO371" i="1"/>
  <c r="AT371" i="1" s="1"/>
  <c r="AO372" i="1"/>
  <c r="AT372" i="1" s="1"/>
  <c r="AO373" i="1"/>
  <c r="AT373" i="1" s="1"/>
  <c r="AO374" i="1"/>
  <c r="AT374" i="1" s="1"/>
  <c r="AO375" i="1"/>
  <c r="AT375" i="1" s="1"/>
  <c r="AO376" i="1"/>
  <c r="AT376" i="1" s="1"/>
  <c r="AO377" i="1"/>
  <c r="AT377" i="1" s="1"/>
  <c r="AO378" i="1"/>
  <c r="AT378" i="1" s="1"/>
  <c r="AO379" i="1"/>
  <c r="AT379" i="1" s="1"/>
  <c r="AO380" i="1"/>
  <c r="AT380" i="1" s="1"/>
  <c r="AO381" i="1"/>
  <c r="AT381" i="1" s="1"/>
  <c r="AO382" i="1"/>
  <c r="AT382" i="1" s="1"/>
  <c r="AO383" i="1"/>
  <c r="AT383" i="1" s="1"/>
  <c r="AO384" i="1"/>
  <c r="AT384" i="1" s="1"/>
  <c r="AO385" i="1"/>
  <c r="AT385" i="1" s="1"/>
  <c r="AO386" i="1"/>
  <c r="AT386" i="1" s="1"/>
  <c r="AO387" i="1"/>
  <c r="AT387" i="1" s="1"/>
  <c r="AO388" i="1"/>
  <c r="AT388" i="1" s="1"/>
  <c r="AO389" i="1"/>
  <c r="AT389" i="1" s="1"/>
  <c r="AO390" i="1"/>
  <c r="AT390" i="1" s="1"/>
  <c r="AO391" i="1"/>
  <c r="AT391" i="1" s="1"/>
  <c r="AO392" i="1"/>
  <c r="AT392" i="1" s="1"/>
  <c r="AO393" i="1"/>
  <c r="AT393" i="1" s="1"/>
  <c r="AO394" i="1"/>
  <c r="AT394" i="1" s="1"/>
  <c r="AO395" i="1"/>
  <c r="AT395" i="1" s="1"/>
  <c r="AO396" i="1"/>
  <c r="AT396" i="1" s="1"/>
  <c r="AO397" i="1"/>
  <c r="AT397" i="1" s="1"/>
  <c r="AO398" i="1"/>
  <c r="AT398" i="1" s="1"/>
  <c r="AO399" i="1"/>
  <c r="AT399" i="1" s="1"/>
  <c r="AO400" i="1"/>
  <c r="AT400" i="1" s="1"/>
  <c r="AO401" i="1"/>
  <c r="AT401" i="1" s="1"/>
  <c r="AO402" i="1"/>
  <c r="AT402" i="1" s="1"/>
  <c r="AO403" i="1"/>
  <c r="AT403" i="1" s="1"/>
  <c r="AO404" i="1"/>
  <c r="AT404" i="1" s="1"/>
  <c r="AO405" i="1"/>
  <c r="AT405" i="1" s="1"/>
  <c r="AO406" i="1"/>
  <c r="AT406" i="1" s="1"/>
  <c r="AO407" i="1"/>
  <c r="AT407" i="1" s="1"/>
  <c r="AO408" i="1"/>
  <c r="AT408" i="1" s="1"/>
  <c r="AO409" i="1"/>
  <c r="AT409" i="1" s="1"/>
  <c r="AO410" i="1"/>
  <c r="AT410" i="1" s="1"/>
  <c r="AO411" i="1"/>
  <c r="AT411" i="1" s="1"/>
  <c r="AO412" i="1"/>
  <c r="AT412" i="1" s="1"/>
  <c r="AO413" i="1"/>
  <c r="AT413" i="1" s="1"/>
  <c r="AO414" i="1"/>
  <c r="AT414" i="1" s="1"/>
  <c r="AO415" i="1"/>
  <c r="AT415" i="1" s="1"/>
  <c r="AO416" i="1"/>
  <c r="AT416" i="1" s="1"/>
  <c r="AO417" i="1"/>
  <c r="AT417" i="1" s="1"/>
  <c r="AO418" i="1"/>
  <c r="AT418" i="1" s="1"/>
  <c r="AO419" i="1"/>
  <c r="AT419" i="1" s="1"/>
  <c r="AO420" i="1"/>
  <c r="AT420" i="1" s="1"/>
  <c r="AO421" i="1"/>
  <c r="AT421" i="1" s="1"/>
  <c r="AO422" i="1"/>
  <c r="AT422" i="1" s="1"/>
  <c r="AO423" i="1"/>
  <c r="AT423" i="1" s="1"/>
  <c r="AO424" i="1"/>
  <c r="AT424" i="1" s="1"/>
  <c r="AO425" i="1"/>
  <c r="AT425" i="1" s="1"/>
  <c r="AO426" i="1"/>
  <c r="AT426" i="1" s="1"/>
  <c r="AO427" i="1"/>
  <c r="AT427" i="1" s="1"/>
  <c r="AO428" i="1"/>
  <c r="AT428" i="1" s="1"/>
  <c r="AO429" i="1"/>
  <c r="AT429" i="1" s="1"/>
  <c r="AO430" i="1"/>
  <c r="AT430" i="1" s="1"/>
  <c r="AO431" i="1"/>
  <c r="AT431" i="1" s="1"/>
  <c r="AO432" i="1"/>
  <c r="AT432" i="1" s="1"/>
  <c r="AO433" i="1"/>
  <c r="AT433" i="1" s="1"/>
  <c r="AO434" i="1"/>
  <c r="AT434" i="1" s="1"/>
  <c r="AO435" i="1"/>
  <c r="AT435" i="1" s="1"/>
  <c r="AO436" i="1"/>
  <c r="AT436" i="1" s="1"/>
  <c r="AO437" i="1"/>
  <c r="AT437" i="1" s="1"/>
  <c r="AO438" i="1"/>
  <c r="AT438" i="1" s="1"/>
  <c r="AO439" i="1"/>
  <c r="AT439" i="1" s="1"/>
  <c r="AO440" i="1"/>
  <c r="AT440" i="1" s="1"/>
  <c r="AO441" i="1"/>
  <c r="AT441" i="1" s="1"/>
  <c r="AO442" i="1"/>
  <c r="AT442" i="1" s="1"/>
  <c r="AO443" i="1"/>
  <c r="AT443" i="1" s="1"/>
  <c r="AO444" i="1"/>
  <c r="AT444" i="1" s="1"/>
  <c r="AO445" i="1"/>
  <c r="AT445" i="1" s="1"/>
  <c r="AO446" i="1"/>
  <c r="AT446" i="1" s="1"/>
  <c r="AO447" i="1"/>
  <c r="AT447" i="1" s="1"/>
  <c r="AO448" i="1"/>
  <c r="AT448" i="1" s="1"/>
  <c r="AO449" i="1"/>
  <c r="AT449" i="1" s="1"/>
  <c r="AO450" i="1"/>
  <c r="AT450" i="1" s="1"/>
  <c r="AO451" i="1"/>
  <c r="AT451" i="1" s="1"/>
  <c r="AO452" i="1"/>
  <c r="AT452" i="1" s="1"/>
  <c r="AO453" i="1"/>
  <c r="AT453" i="1" s="1"/>
  <c r="AO454" i="1"/>
  <c r="AT454" i="1" s="1"/>
  <c r="AO455" i="1"/>
  <c r="AT455" i="1" s="1"/>
  <c r="AO456" i="1"/>
  <c r="AT456" i="1" s="1"/>
  <c r="AO457" i="1"/>
  <c r="AT457" i="1" s="1"/>
  <c r="AO458" i="1"/>
  <c r="AT458" i="1" s="1"/>
  <c r="AO459" i="1"/>
  <c r="AT459" i="1" s="1"/>
  <c r="AO460" i="1"/>
  <c r="AT460" i="1" s="1"/>
  <c r="AO461" i="1"/>
  <c r="AT461" i="1" s="1"/>
  <c r="AO462" i="1"/>
  <c r="AT462" i="1" s="1"/>
  <c r="AO463" i="1"/>
  <c r="AT463" i="1" s="1"/>
  <c r="AO464" i="1"/>
  <c r="AT464" i="1" s="1"/>
  <c r="AO465" i="1"/>
  <c r="AT465" i="1" s="1"/>
  <c r="AO466" i="1"/>
  <c r="AT466" i="1" s="1"/>
  <c r="AO467" i="1"/>
  <c r="AT467" i="1" s="1"/>
  <c r="AO468" i="1"/>
  <c r="AT468" i="1" s="1"/>
  <c r="AO469" i="1"/>
  <c r="AT469" i="1" s="1"/>
  <c r="AO470" i="1"/>
  <c r="AT470" i="1" s="1"/>
  <c r="AO471" i="1"/>
  <c r="AT471" i="1" s="1"/>
  <c r="AO472" i="1"/>
  <c r="AT472" i="1" s="1"/>
  <c r="AO473" i="1"/>
  <c r="AT473" i="1" s="1"/>
  <c r="AO474" i="1"/>
  <c r="AT474" i="1" s="1"/>
  <c r="AO475" i="1"/>
  <c r="AT475" i="1" s="1"/>
  <c r="AO476" i="1"/>
  <c r="AT476" i="1" s="1"/>
  <c r="AO477" i="1"/>
  <c r="AT477" i="1" s="1"/>
  <c r="AO478" i="1"/>
  <c r="AT478" i="1" s="1"/>
  <c r="AO479" i="1"/>
  <c r="AT479" i="1" s="1"/>
  <c r="AO480" i="1"/>
  <c r="AT480" i="1" s="1"/>
  <c r="AO481" i="1"/>
  <c r="AT481" i="1" s="1"/>
  <c r="AO482" i="1"/>
  <c r="AT482" i="1" s="1"/>
  <c r="AO483" i="1"/>
  <c r="AT483" i="1" s="1"/>
  <c r="AO484" i="1"/>
  <c r="AT484" i="1" s="1"/>
  <c r="AO485" i="1"/>
  <c r="AT485" i="1" s="1"/>
  <c r="AO486" i="1"/>
  <c r="AT486" i="1" s="1"/>
  <c r="AO487" i="1"/>
  <c r="AT487" i="1" s="1"/>
  <c r="AO488" i="1"/>
  <c r="AT488" i="1" s="1"/>
  <c r="AO489" i="1"/>
  <c r="AT489" i="1" s="1"/>
  <c r="AO490" i="1"/>
  <c r="AT490" i="1" s="1"/>
  <c r="AO491" i="1"/>
  <c r="AT491" i="1" s="1"/>
  <c r="AO492" i="1"/>
  <c r="AT492" i="1" s="1"/>
  <c r="AO493" i="1"/>
  <c r="AT493" i="1" s="1"/>
  <c r="AO494" i="1"/>
  <c r="AT494" i="1" s="1"/>
  <c r="AO495" i="1"/>
  <c r="AT495" i="1" s="1"/>
  <c r="AO496" i="1"/>
  <c r="AT496" i="1" s="1"/>
  <c r="AO497" i="1"/>
  <c r="AT497" i="1" s="1"/>
  <c r="AO498" i="1"/>
  <c r="AT498" i="1" s="1"/>
  <c r="AO499" i="1"/>
  <c r="AT499" i="1" s="1"/>
  <c r="AO500" i="1"/>
  <c r="AT500" i="1" s="1"/>
  <c r="AO501" i="1"/>
  <c r="AT501" i="1" s="1"/>
  <c r="AO502" i="1"/>
  <c r="AT502" i="1" s="1"/>
  <c r="AO503" i="1"/>
  <c r="AT503" i="1" s="1"/>
  <c r="AO504" i="1"/>
  <c r="AT504" i="1" s="1"/>
  <c r="AO505" i="1"/>
  <c r="AT505" i="1" s="1"/>
  <c r="AO506" i="1"/>
  <c r="AT506" i="1" s="1"/>
  <c r="AO507" i="1"/>
  <c r="AT507" i="1" s="1"/>
  <c r="AO508" i="1"/>
  <c r="AT508" i="1" s="1"/>
  <c r="AO509" i="1"/>
  <c r="AT509" i="1" s="1"/>
  <c r="AO510" i="1"/>
  <c r="AT510" i="1" s="1"/>
  <c r="AO511" i="1"/>
  <c r="AT511" i="1" s="1"/>
  <c r="AO512" i="1"/>
  <c r="AT512" i="1" s="1"/>
  <c r="AO513" i="1"/>
  <c r="AT513" i="1" s="1"/>
  <c r="AO514" i="1"/>
  <c r="AT514" i="1" s="1"/>
  <c r="AO515" i="1"/>
  <c r="AT515" i="1" s="1"/>
  <c r="AO516" i="1"/>
  <c r="AT516" i="1" s="1"/>
  <c r="AO517" i="1"/>
  <c r="AT517" i="1" s="1"/>
  <c r="AO518" i="1"/>
  <c r="AT518" i="1" s="1"/>
  <c r="AO519" i="1"/>
  <c r="AT519" i="1" s="1"/>
  <c r="AO520" i="1"/>
  <c r="AT520" i="1" s="1"/>
  <c r="AO521" i="1"/>
  <c r="AT521" i="1" s="1"/>
  <c r="AO522" i="1"/>
  <c r="AT522" i="1" s="1"/>
  <c r="AO523" i="1"/>
  <c r="AT523" i="1" s="1"/>
  <c r="AO524" i="1"/>
  <c r="AT524" i="1" s="1"/>
  <c r="AO525" i="1"/>
  <c r="AT525" i="1" s="1"/>
  <c r="AO526" i="1"/>
  <c r="AT526" i="1" s="1"/>
  <c r="AO527" i="1"/>
  <c r="AT527" i="1" s="1"/>
  <c r="AO528" i="1"/>
  <c r="AT528" i="1" s="1"/>
  <c r="AO529" i="1"/>
  <c r="AT529" i="1" s="1"/>
  <c r="AO530" i="1"/>
  <c r="AT530" i="1" s="1"/>
  <c r="AO531" i="1"/>
  <c r="AT531" i="1" s="1"/>
  <c r="AO532" i="1"/>
  <c r="AT532" i="1" s="1"/>
  <c r="AO533" i="1"/>
  <c r="AT533" i="1" s="1"/>
  <c r="AO534" i="1"/>
  <c r="AT534" i="1" s="1"/>
  <c r="AO535" i="1"/>
  <c r="AT535" i="1" s="1"/>
  <c r="AO536" i="1"/>
  <c r="AT536" i="1" s="1"/>
  <c r="AO537" i="1"/>
  <c r="AT537" i="1" s="1"/>
  <c r="AO538" i="1"/>
  <c r="AT538" i="1" s="1"/>
  <c r="AO539" i="1"/>
  <c r="AT539" i="1" s="1"/>
  <c r="AO540" i="1"/>
  <c r="AT540" i="1" s="1"/>
  <c r="AO541" i="1"/>
  <c r="AT541" i="1" s="1"/>
  <c r="AO542" i="1"/>
  <c r="AT542" i="1" s="1"/>
  <c r="AO543" i="1"/>
  <c r="AT543" i="1" s="1"/>
  <c r="AO544" i="1"/>
  <c r="AT544" i="1" s="1"/>
  <c r="AO545" i="1"/>
  <c r="AT545" i="1" s="1"/>
  <c r="AO546" i="1"/>
  <c r="AT546" i="1" s="1"/>
  <c r="AO547" i="1"/>
  <c r="AT547" i="1" s="1"/>
  <c r="AO548" i="1"/>
  <c r="AT548" i="1" s="1"/>
  <c r="AO549" i="1"/>
  <c r="AT549" i="1" s="1"/>
  <c r="AO550" i="1"/>
  <c r="AT550" i="1" s="1"/>
  <c r="AO551" i="1"/>
  <c r="AT551" i="1" s="1"/>
  <c r="AO552" i="1"/>
  <c r="AT552" i="1" s="1"/>
  <c r="AO553" i="1"/>
  <c r="AT553" i="1" s="1"/>
  <c r="AO554" i="1"/>
  <c r="AT554" i="1" s="1"/>
  <c r="AO555" i="1"/>
  <c r="AT555" i="1" s="1"/>
  <c r="AO556" i="1"/>
  <c r="AT556" i="1" s="1"/>
  <c r="AO557" i="1"/>
  <c r="AT557" i="1" s="1"/>
  <c r="AO558" i="1"/>
  <c r="AT558" i="1" s="1"/>
  <c r="AO559" i="1"/>
  <c r="AT559" i="1" s="1"/>
  <c r="AO560" i="1"/>
  <c r="AT560" i="1" s="1"/>
  <c r="AO561" i="1"/>
  <c r="AT561" i="1" s="1"/>
  <c r="AO562" i="1"/>
  <c r="AT562" i="1" s="1"/>
  <c r="AO563" i="1"/>
  <c r="AT563" i="1" s="1"/>
  <c r="AO564" i="1"/>
  <c r="AT564" i="1" s="1"/>
  <c r="AO565" i="1"/>
  <c r="AT565" i="1" s="1"/>
  <c r="AO566" i="1"/>
  <c r="AT566" i="1" s="1"/>
  <c r="AO567" i="1"/>
  <c r="AT567" i="1" s="1"/>
  <c r="AO568" i="1"/>
  <c r="AT568" i="1" s="1"/>
  <c r="AO569" i="1"/>
  <c r="AT569" i="1" s="1"/>
  <c r="AO570" i="1"/>
  <c r="AT570" i="1" s="1"/>
  <c r="AO571" i="1"/>
  <c r="AT571" i="1" s="1"/>
  <c r="AO572" i="1"/>
  <c r="AT572" i="1" s="1"/>
  <c r="AO573" i="1"/>
  <c r="AT573" i="1" s="1"/>
  <c r="AO574" i="1"/>
  <c r="AT574" i="1" s="1"/>
  <c r="AO575" i="1"/>
  <c r="AT575" i="1" s="1"/>
  <c r="AO576" i="1"/>
  <c r="AT576" i="1" s="1"/>
  <c r="AO577" i="1"/>
  <c r="AT577" i="1" s="1"/>
  <c r="AO578" i="1"/>
  <c r="AT578" i="1" s="1"/>
  <c r="AO579" i="1"/>
  <c r="AT579" i="1" s="1"/>
  <c r="AO580" i="1"/>
  <c r="AT580" i="1" s="1"/>
  <c r="AO581" i="1"/>
  <c r="AT581" i="1" s="1"/>
  <c r="AO582" i="1"/>
  <c r="AT582" i="1" s="1"/>
  <c r="AO583" i="1"/>
  <c r="AT583" i="1" s="1"/>
  <c r="AO584" i="1"/>
  <c r="AT584" i="1" s="1"/>
  <c r="AO585" i="1"/>
  <c r="AT585" i="1" s="1"/>
  <c r="AO586" i="1"/>
  <c r="AT586" i="1" s="1"/>
  <c r="AO587" i="1"/>
  <c r="AT587" i="1" s="1"/>
  <c r="AO588" i="1"/>
  <c r="AT588" i="1" s="1"/>
  <c r="AO589" i="1"/>
  <c r="AT589" i="1" s="1"/>
  <c r="AO590" i="1"/>
  <c r="AT590" i="1" s="1"/>
  <c r="AO591" i="1"/>
  <c r="AT591" i="1" s="1"/>
  <c r="AO592" i="1"/>
  <c r="AT592" i="1" s="1"/>
  <c r="AO593" i="1"/>
  <c r="AT593" i="1" s="1"/>
  <c r="AO594" i="1"/>
  <c r="AT594" i="1" s="1"/>
  <c r="AO595" i="1"/>
  <c r="AT595" i="1" s="1"/>
  <c r="AO596" i="1"/>
  <c r="AT596" i="1" s="1"/>
  <c r="AO597" i="1"/>
  <c r="AT597" i="1" s="1"/>
  <c r="AO598" i="1"/>
  <c r="AT598" i="1" s="1"/>
  <c r="AO599" i="1"/>
  <c r="AT599" i="1" s="1"/>
  <c r="AO600" i="1"/>
  <c r="AT600" i="1" s="1"/>
  <c r="AO601" i="1"/>
  <c r="AT601" i="1" s="1"/>
  <c r="AO602" i="1"/>
  <c r="AT602" i="1" s="1"/>
  <c r="AO603" i="1"/>
  <c r="AT603" i="1" s="1"/>
  <c r="AO604" i="1"/>
  <c r="AT604" i="1" s="1"/>
  <c r="AO605" i="1"/>
  <c r="AT605" i="1" s="1"/>
  <c r="AO606" i="1"/>
  <c r="AT606" i="1" s="1"/>
  <c r="AO607" i="1"/>
  <c r="AT607" i="1" s="1"/>
  <c r="AO608" i="1"/>
  <c r="AT608" i="1" s="1"/>
  <c r="AO609" i="1"/>
  <c r="AT609" i="1" s="1"/>
  <c r="AO610" i="1"/>
  <c r="AT610" i="1" s="1"/>
  <c r="AO611" i="1"/>
  <c r="AT611" i="1" s="1"/>
  <c r="AO612" i="1"/>
  <c r="AT612" i="1" s="1"/>
  <c r="AO613" i="1"/>
  <c r="AT613" i="1" s="1"/>
  <c r="AO614" i="1"/>
  <c r="AT614" i="1" s="1"/>
  <c r="AO615" i="1"/>
  <c r="AT615" i="1" s="1"/>
  <c r="AO616" i="1"/>
  <c r="AT616" i="1" s="1"/>
  <c r="AO617" i="1"/>
  <c r="AT617" i="1" s="1"/>
  <c r="AO618" i="1"/>
  <c r="AT618" i="1" s="1"/>
  <c r="AO619" i="1"/>
  <c r="AT619" i="1" s="1"/>
  <c r="AO620" i="1"/>
  <c r="AT620" i="1" s="1"/>
  <c r="AO621" i="1"/>
  <c r="AT621" i="1" s="1"/>
  <c r="AO622" i="1"/>
  <c r="AT622" i="1" s="1"/>
  <c r="AO623" i="1"/>
  <c r="AT623" i="1" s="1"/>
  <c r="AO624" i="1"/>
  <c r="AT624" i="1" s="1"/>
  <c r="AO625" i="1"/>
  <c r="AT625" i="1" s="1"/>
  <c r="AO626" i="1"/>
  <c r="AT626" i="1" s="1"/>
  <c r="AO627" i="1"/>
  <c r="AT627" i="1" s="1"/>
  <c r="AO628" i="1"/>
  <c r="AT628" i="1" s="1"/>
  <c r="AO629" i="1"/>
  <c r="AT629" i="1" s="1"/>
  <c r="AO630" i="1"/>
  <c r="AT630" i="1" s="1"/>
  <c r="AO631" i="1"/>
  <c r="AT631" i="1" s="1"/>
  <c r="AO632" i="1"/>
  <c r="AT632" i="1" s="1"/>
  <c r="AO633" i="1"/>
  <c r="AT633" i="1" s="1"/>
  <c r="AO634" i="1"/>
  <c r="AT634" i="1" s="1"/>
  <c r="AO635" i="1"/>
  <c r="AT635" i="1" s="1"/>
  <c r="AO636" i="1"/>
  <c r="AT636" i="1" s="1"/>
  <c r="AO637" i="1"/>
  <c r="AT637" i="1" s="1"/>
  <c r="AO638" i="1"/>
  <c r="AT638" i="1" s="1"/>
  <c r="AO639" i="1"/>
  <c r="AT639" i="1" s="1"/>
  <c r="AO640" i="1"/>
  <c r="AT640" i="1" s="1"/>
  <c r="AO641" i="1"/>
  <c r="AT641" i="1" s="1"/>
  <c r="AO642" i="1"/>
  <c r="AT642" i="1" s="1"/>
  <c r="AO643" i="1"/>
  <c r="AT643" i="1" s="1"/>
  <c r="AO644" i="1"/>
  <c r="AT644" i="1" s="1"/>
  <c r="AO645" i="1"/>
  <c r="AT645" i="1" s="1"/>
  <c r="AO646" i="1"/>
  <c r="AT646" i="1" s="1"/>
  <c r="AO647" i="1"/>
  <c r="AT647" i="1" s="1"/>
  <c r="AO648" i="1"/>
  <c r="AT648" i="1" s="1"/>
  <c r="AO649" i="1"/>
  <c r="AT649" i="1" s="1"/>
  <c r="AO650" i="1"/>
  <c r="AT650" i="1" s="1"/>
  <c r="AO651" i="1"/>
  <c r="AT651" i="1" s="1"/>
  <c r="AO652" i="1"/>
  <c r="AT652" i="1" s="1"/>
  <c r="AO653" i="1"/>
  <c r="AT653" i="1" s="1"/>
  <c r="AO654" i="1"/>
  <c r="AT654" i="1" s="1"/>
  <c r="AO655" i="1"/>
  <c r="AT655" i="1" s="1"/>
  <c r="AO656" i="1"/>
  <c r="AT656" i="1" s="1"/>
  <c r="AO657" i="1"/>
  <c r="AT657" i="1" s="1"/>
  <c r="AO658" i="1"/>
  <c r="AT658" i="1" s="1"/>
  <c r="AO659" i="1"/>
  <c r="AT659" i="1" s="1"/>
  <c r="AO660" i="1"/>
  <c r="AT660" i="1" s="1"/>
  <c r="AO661" i="1"/>
  <c r="AT661" i="1" s="1"/>
  <c r="AO662" i="1"/>
  <c r="AT662" i="1" s="1"/>
  <c r="AO663" i="1"/>
  <c r="AT663" i="1" s="1"/>
  <c r="AO664" i="1"/>
  <c r="AT664" i="1" s="1"/>
  <c r="AO665" i="1"/>
  <c r="AT665" i="1" s="1"/>
  <c r="AO666" i="1"/>
  <c r="AT666" i="1" s="1"/>
  <c r="AO667" i="1"/>
  <c r="AT667" i="1" s="1"/>
  <c r="AO668" i="1"/>
  <c r="AT668" i="1" s="1"/>
  <c r="AO669" i="1"/>
  <c r="AT669" i="1" s="1"/>
  <c r="AO670" i="1"/>
  <c r="AT670" i="1" s="1"/>
  <c r="AO671" i="1"/>
  <c r="AT671" i="1" s="1"/>
  <c r="AO672" i="1"/>
  <c r="AT672" i="1" s="1"/>
  <c r="AO673" i="1"/>
  <c r="AT673" i="1" s="1"/>
  <c r="AO674" i="1"/>
  <c r="AT674" i="1" s="1"/>
  <c r="AO675" i="1"/>
  <c r="AT675" i="1" s="1"/>
  <c r="AO676" i="1"/>
  <c r="AT676" i="1" s="1"/>
  <c r="AO677" i="1"/>
  <c r="AT677" i="1" s="1"/>
  <c r="AO678" i="1"/>
  <c r="AT678" i="1" s="1"/>
  <c r="AO679" i="1"/>
  <c r="AT679" i="1" s="1"/>
  <c r="AO680" i="1"/>
  <c r="AT680" i="1" s="1"/>
  <c r="AO681" i="1"/>
  <c r="AT681" i="1" s="1"/>
  <c r="AO682" i="1"/>
  <c r="AT682" i="1" s="1"/>
  <c r="AO683" i="1"/>
  <c r="AT683" i="1" s="1"/>
  <c r="AO684" i="1"/>
  <c r="AT684" i="1" s="1"/>
  <c r="AO685" i="1"/>
  <c r="AT685" i="1" s="1"/>
  <c r="AO686" i="1"/>
  <c r="AT686" i="1" s="1"/>
  <c r="AO687" i="1"/>
  <c r="AT687" i="1" s="1"/>
  <c r="AO688" i="1"/>
  <c r="AT688" i="1" s="1"/>
  <c r="AO689" i="1"/>
  <c r="AT689" i="1" s="1"/>
  <c r="AO690" i="1"/>
  <c r="AT690" i="1" s="1"/>
  <c r="AO691" i="1"/>
  <c r="AT691" i="1" s="1"/>
  <c r="AO692" i="1"/>
  <c r="AT692" i="1" s="1"/>
  <c r="AO693" i="1"/>
  <c r="AT693" i="1" s="1"/>
  <c r="AO694" i="1"/>
  <c r="AT694" i="1" s="1"/>
  <c r="AO695" i="1"/>
  <c r="AT695" i="1" s="1"/>
  <c r="AO696" i="1"/>
  <c r="AT696" i="1" s="1"/>
  <c r="AO697" i="1"/>
  <c r="AT697" i="1" s="1"/>
  <c r="AO698" i="1"/>
  <c r="AT698" i="1" s="1"/>
  <c r="AO699" i="1"/>
  <c r="AT699" i="1" s="1"/>
  <c r="AO700" i="1"/>
  <c r="AT700" i="1" s="1"/>
  <c r="AO701" i="1"/>
  <c r="AT701" i="1" s="1"/>
  <c r="AO702" i="1"/>
  <c r="AT702" i="1" s="1"/>
  <c r="AO703" i="1"/>
  <c r="AT703" i="1" s="1"/>
  <c r="AO704" i="1"/>
  <c r="AT704" i="1" s="1"/>
  <c r="AO705" i="1"/>
  <c r="AT705" i="1" s="1"/>
  <c r="AO706" i="1"/>
  <c r="AT706" i="1" s="1"/>
  <c r="AO707" i="1"/>
  <c r="AT707" i="1" s="1"/>
  <c r="AO708" i="1"/>
  <c r="AT708" i="1" s="1"/>
  <c r="AO709" i="1"/>
  <c r="AT709" i="1" s="1"/>
  <c r="AO710" i="1"/>
  <c r="AT710" i="1" s="1"/>
  <c r="AO711" i="1"/>
  <c r="AT711" i="1" s="1"/>
  <c r="AO712" i="1"/>
  <c r="AT712" i="1" s="1"/>
  <c r="AO713" i="1"/>
  <c r="AT713" i="1" s="1"/>
  <c r="AO714" i="1"/>
  <c r="AT714" i="1" s="1"/>
  <c r="AO715" i="1"/>
  <c r="AT715" i="1" s="1"/>
  <c r="AO716" i="1"/>
  <c r="AT716" i="1" s="1"/>
  <c r="AO717" i="1"/>
  <c r="AT717" i="1" s="1"/>
  <c r="AO718" i="1"/>
  <c r="AT718" i="1" s="1"/>
  <c r="AO719" i="1"/>
  <c r="AT719" i="1" s="1"/>
  <c r="AO720" i="1"/>
  <c r="AT720" i="1" s="1"/>
  <c r="AO721" i="1"/>
  <c r="AT721" i="1" s="1"/>
  <c r="AO722" i="1"/>
  <c r="AT722" i="1" s="1"/>
  <c r="AO723" i="1"/>
  <c r="AT723" i="1" s="1"/>
  <c r="AO724" i="1"/>
  <c r="AT724" i="1" s="1"/>
  <c r="AO725" i="1"/>
  <c r="AT725" i="1" s="1"/>
  <c r="AO726" i="1"/>
  <c r="AT726" i="1" s="1"/>
  <c r="AO727" i="1"/>
  <c r="AT727" i="1" s="1"/>
  <c r="AO728" i="1"/>
  <c r="AT728" i="1" s="1"/>
  <c r="AO729" i="1"/>
  <c r="AT729" i="1" s="1"/>
  <c r="AO730" i="1"/>
  <c r="AT730" i="1" s="1"/>
  <c r="AO731" i="1"/>
  <c r="AT731" i="1" s="1"/>
  <c r="AO732" i="1"/>
  <c r="AT732" i="1" s="1"/>
  <c r="AO733" i="1"/>
  <c r="AT733" i="1" s="1"/>
  <c r="AO734" i="1"/>
  <c r="AT734" i="1" s="1"/>
  <c r="AO735" i="1"/>
  <c r="AT735" i="1" s="1"/>
  <c r="AO736" i="1"/>
  <c r="AT736" i="1" s="1"/>
  <c r="AO737" i="1"/>
  <c r="AT737" i="1" s="1"/>
  <c r="AO738" i="1"/>
  <c r="AT738" i="1" s="1"/>
  <c r="AO739" i="1"/>
  <c r="AT739" i="1" s="1"/>
  <c r="AO740" i="1"/>
  <c r="AT740" i="1" s="1"/>
  <c r="AO741" i="1"/>
  <c r="AT741" i="1" s="1"/>
  <c r="AO742" i="1"/>
  <c r="AT742" i="1" s="1"/>
  <c r="AO743" i="1"/>
  <c r="AT743" i="1" s="1"/>
  <c r="AO744" i="1"/>
  <c r="AT744" i="1" s="1"/>
  <c r="AO745" i="1"/>
  <c r="AT745" i="1" s="1"/>
  <c r="AO746" i="1"/>
  <c r="AT746" i="1" s="1"/>
  <c r="AO747" i="1"/>
  <c r="AT747" i="1" s="1"/>
  <c r="AO748" i="1"/>
  <c r="AT748" i="1" s="1"/>
  <c r="AO749" i="1"/>
  <c r="AT749" i="1" s="1"/>
  <c r="AO750" i="1"/>
  <c r="AT750" i="1" s="1"/>
  <c r="AO751" i="1"/>
  <c r="AT751" i="1" s="1"/>
  <c r="AO752" i="1"/>
  <c r="AT752" i="1" s="1"/>
  <c r="AO753" i="1"/>
  <c r="AT753" i="1" s="1"/>
  <c r="AO754" i="1"/>
  <c r="AT754" i="1" s="1"/>
  <c r="AO755" i="1"/>
  <c r="AT755" i="1" s="1"/>
  <c r="AO756" i="1"/>
  <c r="AT756" i="1" s="1"/>
  <c r="AO757" i="1"/>
  <c r="AT757" i="1" s="1"/>
  <c r="AO758" i="1"/>
  <c r="AT758" i="1" s="1"/>
  <c r="AO759" i="1"/>
  <c r="AT759" i="1" s="1"/>
  <c r="AO760" i="1"/>
  <c r="AT760" i="1" s="1"/>
  <c r="AO761" i="1"/>
  <c r="AT761" i="1" s="1"/>
  <c r="AO762" i="1"/>
  <c r="AT762" i="1" s="1"/>
  <c r="AO763" i="1"/>
  <c r="AT763" i="1" s="1"/>
  <c r="AO764" i="1"/>
  <c r="AT764" i="1" s="1"/>
  <c r="AO765" i="1"/>
  <c r="AT765" i="1" s="1"/>
  <c r="AO766" i="1"/>
  <c r="AT766" i="1" s="1"/>
  <c r="AO767" i="1"/>
  <c r="AT767" i="1" s="1"/>
  <c r="AO768" i="1"/>
  <c r="AT768" i="1" s="1"/>
  <c r="AO769" i="1"/>
  <c r="AT769" i="1" s="1"/>
  <c r="AO770" i="1"/>
  <c r="AT770" i="1" s="1"/>
  <c r="AO771" i="1"/>
  <c r="AT771" i="1" s="1"/>
  <c r="AO772" i="1"/>
  <c r="AT772" i="1" s="1"/>
  <c r="AO773" i="1"/>
  <c r="AT773" i="1" s="1"/>
  <c r="AO774" i="1"/>
  <c r="AT774" i="1" s="1"/>
  <c r="AO775" i="1"/>
  <c r="AT775" i="1" s="1"/>
  <c r="AO776" i="1"/>
  <c r="AT776" i="1" s="1"/>
  <c r="AO777" i="1"/>
  <c r="AT777" i="1" s="1"/>
  <c r="AO778" i="1"/>
  <c r="AT778" i="1" s="1"/>
  <c r="AO779" i="1"/>
  <c r="AT779" i="1" s="1"/>
  <c r="AO780" i="1"/>
  <c r="AT780" i="1" s="1"/>
  <c r="AO781" i="1"/>
  <c r="AT781" i="1" s="1"/>
  <c r="AO782" i="1"/>
  <c r="AT782" i="1" s="1"/>
  <c r="AO783" i="1"/>
  <c r="AT783" i="1" s="1"/>
  <c r="AO784" i="1"/>
  <c r="AT784" i="1" s="1"/>
  <c r="AO785" i="1"/>
  <c r="AT785" i="1" s="1"/>
  <c r="AO786" i="1"/>
  <c r="AT786" i="1" s="1"/>
  <c r="AO787" i="1"/>
  <c r="AT787" i="1" s="1"/>
  <c r="AO788" i="1"/>
  <c r="AT788" i="1" s="1"/>
  <c r="AO789" i="1"/>
  <c r="AT789" i="1" s="1"/>
  <c r="AO790" i="1"/>
  <c r="AT790" i="1" s="1"/>
  <c r="AO791" i="1"/>
  <c r="AT791" i="1" s="1"/>
  <c r="AO792" i="1"/>
  <c r="AT792" i="1" s="1"/>
  <c r="AO793" i="1"/>
  <c r="AT793" i="1" s="1"/>
  <c r="AO794" i="1"/>
  <c r="AT794" i="1" s="1"/>
  <c r="AO795" i="1"/>
  <c r="AT795" i="1" s="1"/>
  <c r="AO796" i="1"/>
  <c r="AT796" i="1" s="1"/>
  <c r="AO797" i="1"/>
  <c r="AT797" i="1" s="1"/>
  <c r="AO798" i="1"/>
  <c r="AT798" i="1" s="1"/>
  <c r="AO799" i="1"/>
  <c r="AT799" i="1" s="1"/>
  <c r="AO800" i="1"/>
  <c r="AT800" i="1" s="1"/>
  <c r="AO801" i="1"/>
  <c r="AT801" i="1" s="1"/>
  <c r="AO802" i="1"/>
  <c r="AT802" i="1" s="1"/>
  <c r="AO803" i="1"/>
  <c r="AT803" i="1" s="1"/>
  <c r="AO804" i="1"/>
  <c r="AT804" i="1" s="1"/>
  <c r="AO805" i="1"/>
  <c r="AT805" i="1" s="1"/>
  <c r="AO806" i="1"/>
  <c r="AT806" i="1" s="1"/>
  <c r="AO807" i="1"/>
  <c r="AT807" i="1" s="1"/>
  <c r="AO808" i="1"/>
  <c r="AT808" i="1" s="1"/>
  <c r="AO809" i="1"/>
  <c r="AT809" i="1" s="1"/>
  <c r="AO810" i="1"/>
  <c r="AT810" i="1" s="1"/>
  <c r="AO811" i="1"/>
  <c r="AT811" i="1" s="1"/>
  <c r="AO812" i="1"/>
  <c r="AT812" i="1" s="1"/>
  <c r="AO813" i="1"/>
  <c r="AT813" i="1" s="1"/>
  <c r="AO814" i="1"/>
  <c r="AT814" i="1" s="1"/>
  <c r="AO815" i="1"/>
  <c r="AT815" i="1" s="1"/>
  <c r="AO816" i="1"/>
  <c r="AT816" i="1" s="1"/>
  <c r="AO817" i="1"/>
  <c r="AT817" i="1" s="1"/>
  <c r="AO818" i="1"/>
  <c r="AT818" i="1" s="1"/>
  <c r="AO819" i="1"/>
  <c r="AT819" i="1" s="1"/>
  <c r="AO820" i="1"/>
  <c r="AT820" i="1" s="1"/>
  <c r="AO821" i="1"/>
  <c r="AT821" i="1" s="1"/>
  <c r="AO822" i="1"/>
  <c r="AT822" i="1" s="1"/>
  <c r="AO823" i="1"/>
  <c r="AT823" i="1" s="1"/>
  <c r="AO824" i="1"/>
  <c r="AT824" i="1" s="1"/>
  <c r="AO825" i="1"/>
  <c r="AT825" i="1" s="1"/>
  <c r="AO826" i="1"/>
  <c r="AT826" i="1" s="1"/>
  <c r="AO827" i="1"/>
  <c r="AT827" i="1" s="1"/>
  <c r="AO828" i="1"/>
  <c r="AT828" i="1" s="1"/>
  <c r="AO829" i="1"/>
  <c r="AT829" i="1" s="1"/>
  <c r="AO830" i="1"/>
  <c r="AT830" i="1" s="1"/>
  <c r="AO831" i="1"/>
  <c r="AT831" i="1" s="1"/>
  <c r="AO832" i="1"/>
  <c r="AT832" i="1" s="1"/>
  <c r="AO833" i="1"/>
  <c r="AT833" i="1" s="1"/>
  <c r="AO834" i="1"/>
  <c r="AT834" i="1" s="1"/>
  <c r="AO835" i="1"/>
  <c r="AT835" i="1" s="1"/>
  <c r="AO836" i="1"/>
  <c r="AT836" i="1" s="1"/>
  <c r="AO837" i="1"/>
  <c r="AT837" i="1" s="1"/>
  <c r="AO838" i="1"/>
  <c r="AT838" i="1" s="1"/>
  <c r="AO839" i="1"/>
  <c r="AT839" i="1" s="1"/>
  <c r="AO840" i="1"/>
  <c r="AT840" i="1" s="1"/>
  <c r="AO841" i="1"/>
  <c r="AT841" i="1" s="1"/>
  <c r="AO842" i="1"/>
  <c r="AT842" i="1" s="1"/>
  <c r="AO843" i="1"/>
  <c r="AT843" i="1" s="1"/>
  <c r="AO844" i="1"/>
  <c r="AT844" i="1" s="1"/>
  <c r="AO845" i="1"/>
  <c r="AT845" i="1" s="1"/>
  <c r="AO846" i="1"/>
  <c r="AT846" i="1" s="1"/>
  <c r="AO847" i="1"/>
  <c r="AT847" i="1" s="1"/>
  <c r="AO848" i="1"/>
  <c r="AT848" i="1" s="1"/>
  <c r="AO849" i="1"/>
  <c r="AT849" i="1" s="1"/>
  <c r="AO850" i="1"/>
  <c r="AT850" i="1" s="1"/>
  <c r="AO851" i="1"/>
  <c r="AT851" i="1" s="1"/>
  <c r="AO852" i="1"/>
  <c r="AT852" i="1" s="1"/>
  <c r="AO853" i="1"/>
  <c r="AT853" i="1" s="1"/>
  <c r="AO854" i="1"/>
  <c r="AT854" i="1" s="1"/>
  <c r="AO855" i="1"/>
  <c r="AT855" i="1" s="1"/>
  <c r="AO856" i="1"/>
  <c r="AT856" i="1" s="1"/>
  <c r="AO857" i="1"/>
  <c r="AT857" i="1" s="1"/>
  <c r="AO858" i="1"/>
  <c r="AT858" i="1" s="1"/>
  <c r="AO859" i="1"/>
  <c r="AT859" i="1" s="1"/>
  <c r="AO860" i="1"/>
  <c r="AT860" i="1" s="1"/>
  <c r="AO861" i="1"/>
  <c r="AT861" i="1" s="1"/>
  <c r="AO862" i="1"/>
  <c r="AT862" i="1" s="1"/>
  <c r="AO863" i="1"/>
  <c r="AT863" i="1" s="1"/>
  <c r="AO864" i="1"/>
  <c r="AT864" i="1" s="1"/>
  <c r="AO865" i="1"/>
  <c r="AT865" i="1" s="1"/>
  <c r="AO866" i="1"/>
  <c r="AT866" i="1" s="1"/>
  <c r="AO867" i="1"/>
  <c r="AT867" i="1" s="1"/>
  <c r="AO868" i="1"/>
  <c r="AT868" i="1" s="1"/>
  <c r="AO869" i="1"/>
  <c r="AT869" i="1" s="1"/>
  <c r="AO870" i="1"/>
  <c r="AT870" i="1" s="1"/>
  <c r="AO871" i="1"/>
  <c r="AT871" i="1" s="1"/>
  <c r="AO872" i="1"/>
  <c r="AT872" i="1" s="1"/>
  <c r="AO873" i="1"/>
  <c r="AT873" i="1" s="1"/>
  <c r="AO874" i="1"/>
  <c r="AT874" i="1" s="1"/>
  <c r="AO875" i="1"/>
  <c r="AT875" i="1" s="1"/>
  <c r="AO876" i="1"/>
  <c r="AT876" i="1" s="1"/>
  <c r="AO877" i="1"/>
  <c r="AT877" i="1" s="1"/>
  <c r="AO878" i="1"/>
  <c r="AT878" i="1" s="1"/>
  <c r="AO879" i="1"/>
  <c r="AT879" i="1" s="1"/>
  <c r="AO880" i="1"/>
  <c r="AT880" i="1" s="1"/>
  <c r="AO881" i="1"/>
  <c r="AT881" i="1" s="1"/>
  <c r="AO882" i="1"/>
  <c r="AT882" i="1" s="1"/>
  <c r="AO883" i="1"/>
  <c r="AT883" i="1" s="1"/>
  <c r="AO884" i="1"/>
  <c r="AT884" i="1" s="1"/>
  <c r="AO885" i="1"/>
  <c r="AT885" i="1" s="1"/>
  <c r="AO886" i="1"/>
  <c r="AT886" i="1" s="1"/>
  <c r="AO887" i="1"/>
  <c r="AT887" i="1" s="1"/>
  <c r="AO888" i="1"/>
  <c r="AT888" i="1" s="1"/>
  <c r="AO889" i="1"/>
  <c r="AT889" i="1" s="1"/>
  <c r="AO890" i="1"/>
  <c r="AT890" i="1" s="1"/>
  <c r="AO891" i="1"/>
  <c r="AT891" i="1" s="1"/>
  <c r="AO892" i="1"/>
  <c r="AT892" i="1" s="1"/>
  <c r="AO893" i="1"/>
  <c r="AT893" i="1" s="1"/>
  <c r="AO894" i="1"/>
  <c r="AT894" i="1" s="1"/>
  <c r="AO895" i="1"/>
  <c r="AT895" i="1" s="1"/>
  <c r="AO896" i="1"/>
  <c r="AT896" i="1" s="1"/>
  <c r="AO897" i="1"/>
  <c r="AT897" i="1" s="1"/>
  <c r="AO898" i="1"/>
  <c r="AT898" i="1" s="1"/>
  <c r="AO899" i="1"/>
  <c r="AT899" i="1" s="1"/>
  <c r="AO900" i="1"/>
  <c r="AT900" i="1" s="1"/>
  <c r="AO901" i="1"/>
  <c r="AT901" i="1" s="1"/>
  <c r="AO902" i="1"/>
  <c r="AT902" i="1" s="1"/>
  <c r="AO903" i="1"/>
  <c r="AT903" i="1" s="1"/>
  <c r="AO904" i="1"/>
  <c r="AT904" i="1" s="1"/>
  <c r="AO905" i="1"/>
  <c r="AT905" i="1" s="1"/>
  <c r="AO906" i="1"/>
  <c r="AT906" i="1" s="1"/>
  <c r="AO907" i="1"/>
  <c r="AT907" i="1" s="1"/>
  <c r="AO908" i="1"/>
  <c r="AT908" i="1" s="1"/>
  <c r="AO909" i="1"/>
  <c r="AT909" i="1" s="1"/>
  <c r="AO910" i="1"/>
  <c r="AT910" i="1" s="1"/>
  <c r="AO911" i="1"/>
  <c r="AT911" i="1" s="1"/>
  <c r="AO912" i="1"/>
  <c r="AT912" i="1" s="1"/>
  <c r="AO913" i="1"/>
  <c r="AT913" i="1" s="1"/>
  <c r="AO914" i="1"/>
  <c r="AT914" i="1" s="1"/>
  <c r="AO915" i="1"/>
  <c r="AT915" i="1" s="1"/>
  <c r="AO916" i="1"/>
  <c r="AT916" i="1" s="1"/>
  <c r="AO917" i="1"/>
  <c r="AT917" i="1" s="1"/>
  <c r="AO918" i="1"/>
  <c r="AT918" i="1" s="1"/>
  <c r="AO919" i="1"/>
  <c r="AT919" i="1" s="1"/>
  <c r="AO920" i="1"/>
  <c r="AT920" i="1" s="1"/>
  <c r="AO921" i="1"/>
  <c r="AT921" i="1" s="1"/>
  <c r="AO922" i="1"/>
  <c r="AT922" i="1" s="1"/>
  <c r="AO923" i="1"/>
  <c r="AT923" i="1" s="1"/>
  <c r="AO924" i="1"/>
  <c r="AT924" i="1" s="1"/>
  <c r="AO925" i="1"/>
  <c r="AT925" i="1" s="1"/>
  <c r="AO926" i="1"/>
  <c r="AT926" i="1" s="1"/>
  <c r="AO927" i="1"/>
  <c r="AT927" i="1" s="1"/>
  <c r="AO928" i="1"/>
  <c r="AT928" i="1" s="1"/>
  <c r="AO929" i="1"/>
  <c r="AT929" i="1" s="1"/>
  <c r="AO930" i="1"/>
  <c r="AT930" i="1" s="1"/>
  <c r="AO931" i="1"/>
  <c r="AT931" i="1" s="1"/>
  <c r="AO932" i="1"/>
  <c r="AT932" i="1" s="1"/>
  <c r="AO933" i="1"/>
  <c r="AT933" i="1" s="1"/>
  <c r="AO934" i="1"/>
  <c r="AT934" i="1" s="1"/>
  <c r="AO935" i="1"/>
  <c r="AT935" i="1" s="1"/>
  <c r="AO936" i="1"/>
  <c r="AT936" i="1" s="1"/>
  <c r="AO937" i="1"/>
  <c r="AT937" i="1" s="1"/>
  <c r="AO938" i="1"/>
  <c r="AT938" i="1" s="1"/>
  <c r="AO939" i="1"/>
  <c r="AT939" i="1" s="1"/>
  <c r="AO940" i="1"/>
  <c r="AT940" i="1" s="1"/>
  <c r="AO941" i="1"/>
  <c r="AT941" i="1" s="1"/>
  <c r="AO942" i="1"/>
  <c r="AT942" i="1" s="1"/>
  <c r="AO943" i="1"/>
  <c r="AT943" i="1" s="1"/>
  <c r="AO944" i="1"/>
  <c r="AT944" i="1" s="1"/>
  <c r="AO945" i="1"/>
  <c r="AT945" i="1" s="1"/>
  <c r="AO946" i="1"/>
  <c r="AT946" i="1" s="1"/>
  <c r="AO947" i="1"/>
  <c r="AT947" i="1" s="1"/>
  <c r="AO948" i="1"/>
  <c r="AT948" i="1" s="1"/>
  <c r="AO949" i="1"/>
  <c r="AT949" i="1" s="1"/>
  <c r="AO950" i="1"/>
  <c r="AT950" i="1" s="1"/>
  <c r="AO951" i="1"/>
  <c r="AT951" i="1" s="1"/>
  <c r="AO952" i="1"/>
  <c r="AT952" i="1" s="1"/>
  <c r="AO953" i="1"/>
  <c r="AT953" i="1" s="1"/>
  <c r="AO954" i="1"/>
  <c r="AT954" i="1" s="1"/>
  <c r="AO955" i="1"/>
  <c r="AT955" i="1" s="1"/>
  <c r="AO956" i="1"/>
  <c r="AT956" i="1" s="1"/>
  <c r="AO957" i="1"/>
  <c r="AT957" i="1" s="1"/>
  <c r="AO958" i="1"/>
  <c r="AT958" i="1" s="1"/>
  <c r="AO959" i="1"/>
  <c r="AT959" i="1" s="1"/>
  <c r="AO960" i="1"/>
  <c r="AT960" i="1" s="1"/>
  <c r="AO961" i="1"/>
  <c r="AT961" i="1" s="1"/>
  <c r="AO962" i="1"/>
  <c r="AT962" i="1" s="1"/>
  <c r="AO963" i="1"/>
  <c r="AT963" i="1" s="1"/>
  <c r="AO964" i="1"/>
  <c r="AT964" i="1" s="1"/>
  <c r="AO965" i="1"/>
  <c r="AT965" i="1" s="1"/>
  <c r="AO966" i="1"/>
  <c r="AT966" i="1" s="1"/>
  <c r="AO967" i="1"/>
  <c r="AT967" i="1" s="1"/>
  <c r="AO968" i="1"/>
  <c r="AT968" i="1" s="1"/>
  <c r="AO969" i="1"/>
  <c r="AT969" i="1" s="1"/>
  <c r="AO970" i="1"/>
  <c r="AT970" i="1" s="1"/>
  <c r="AO971" i="1"/>
  <c r="AT971" i="1" s="1"/>
  <c r="AO972" i="1"/>
  <c r="AT972" i="1" s="1"/>
  <c r="AO973" i="1"/>
  <c r="AT973" i="1" s="1"/>
  <c r="AO974" i="1"/>
  <c r="AT974" i="1" s="1"/>
  <c r="AO975" i="1"/>
  <c r="AT975" i="1" s="1"/>
  <c r="AO976" i="1"/>
  <c r="AT976" i="1" s="1"/>
  <c r="AO977" i="1"/>
  <c r="AT977" i="1" s="1"/>
  <c r="AO978" i="1"/>
  <c r="AT978" i="1" s="1"/>
  <c r="AO979" i="1"/>
  <c r="AT979" i="1" s="1"/>
  <c r="AO980" i="1"/>
  <c r="AT980" i="1" s="1"/>
  <c r="AO981" i="1"/>
  <c r="AT981" i="1" s="1"/>
  <c r="AO982" i="1"/>
  <c r="AT982" i="1" s="1"/>
  <c r="AO983" i="1"/>
  <c r="AT983" i="1" s="1"/>
  <c r="AO984" i="1"/>
  <c r="AT984" i="1" s="1"/>
  <c r="AO985" i="1"/>
  <c r="AT985" i="1" s="1"/>
  <c r="AO986" i="1"/>
  <c r="AT986" i="1" s="1"/>
  <c r="AO987" i="1"/>
  <c r="AT987" i="1" s="1"/>
  <c r="AO988" i="1"/>
  <c r="AT988" i="1" s="1"/>
  <c r="AO989" i="1"/>
  <c r="AT989" i="1" s="1"/>
  <c r="AO990" i="1"/>
  <c r="AT990" i="1" s="1"/>
  <c r="AO991" i="1"/>
  <c r="AT991" i="1" s="1"/>
  <c r="AO992" i="1"/>
  <c r="AT992" i="1" s="1"/>
  <c r="AO993" i="1"/>
  <c r="AT993" i="1" s="1"/>
  <c r="AO994" i="1"/>
  <c r="AT994" i="1" s="1"/>
  <c r="AO995" i="1"/>
  <c r="AT995" i="1" s="1"/>
  <c r="AO996" i="1"/>
  <c r="AT996" i="1" s="1"/>
  <c r="AO997" i="1"/>
  <c r="AT997" i="1" s="1"/>
  <c r="AO998" i="1"/>
  <c r="AT998" i="1" s="1"/>
  <c r="AO999" i="1"/>
  <c r="AT999" i="1" s="1"/>
  <c r="AO1000" i="1"/>
  <c r="AT1000" i="1" s="1"/>
  <c r="AO1001" i="1"/>
  <c r="AT1001" i="1" s="1"/>
  <c r="AO2" i="1"/>
  <c r="AT2" i="1" s="1"/>
  <c r="AN3" i="1"/>
  <c r="AS3" i="1" s="1"/>
  <c r="AN4" i="1"/>
  <c r="AS4" i="1" s="1"/>
  <c r="AN5" i="1"/>
  <c r="AS5" i="1" s="1"/>
  <c r="AN6" i="1"/>
  <c r="AS6" i="1" s="1"/>
  <c r="AN7" i="1"/>
  <c r="AS7" i="1" s="1"/>
  <c r="AN8" i="1"/>
  <c r="AS8" i="1" s="1"/>
  <c r="AN9" i="1"/>
  <c r="AS9" i="1" s="1"/>
  <c r="AN10" i="1"/>
  <c r="AS10" i="1" s="1"/>
  <c r="AN11" i="1"/>
  <c r="AS11" i="1" s="1"/>
  <c r="AN12" i="1"/>
  <c r="AS12" i="1" s="1"/>
  <c r="AN13" i="1"/>
  <c r="AS13" i="1" s="1"/>
  <c r="AN14" i="1"/>
  <c r="AS14" i="1" s="1"/>
  <c r="AN15" i="1"/>
  <c r="AS15" i="1" s="1"/>
  <c r="AN16" i="1"/>
  <c r="AS16" i="1" s="1"/>
  <c r="AN17" i="1"/>
  <c r="AS17" i="1" s="1"/>
  <c r="AN18" i="1"/>
  <c r="AS18" i="1" s="1"/>
  <c r="AN19" i="1"/>
  <c r="AS19" i="1" s="1"/>
  <c r="AN20" i="1"/>
  <c r="AS20" i="1" s="1"/>
  <c r="AN21" i="1"/>
  <c r="AS21" i="1" s="1"/>
  <c r="AN22" i="1"/>
  <c r="AS22" i="1" s="1"/>
  <c r="AN23" i="1"/>
  <c r="AS23" i="1" s="1"/>
  <c r="AN24" i="1"/>
  <c r="AS24" i="1" s="1"/>
  <c r="AN25" i="1"/>
  <c r="AS25" i="1" s="1"/>
  <c r="AN26" i="1"/>
  <c r="AS26" i="1" s="1"/>
  <c r="AN27" i="1"/>
  <c r="AS27" i="1" s="1"/>
  <c r="AN28" i="1"/>
  <c r="AS28" i="1" s="1"/>
  <c r="AN29" i="1"/>
  <c r="AS29" i="1" s="1"/>
  <c r="AN30" i="1"/>
  <c r="AS30" i="1" s="1"/>
  <c r="AN31" i="1"/>
  <c r="AS31" i="1" s="1"/>
  <c r="AN32" i="1"/>
  <c r="AS32" i="1" s="1"/>
  <c r="AN33" i="1"/>
  <c r="AS33" i="1" s="1"/>
  <c r="AN34" i="1"/>
  <c r="AS34" i="1" s="1"/>
  <c r="AN35" i="1"/>
  <c r="AS35" i="1" s="1"/>
  <c r="AN36" i="1"/>
  <c r="AS36" i="1" s="1"/>
  <c r="AN37" i="1"/>
  <c r="AS37" i="1" s="1"/>
  <c r="AN38" i="1"/>
  <c r="AS38" i="1" s="1"/>
  <c r="AN39" i="1"/>
  <c r="AS39" i="1" s="1"/>
  <c r="AN40" i="1"/>
  <c r="AS40" i="1" s="1"/>
  <c r="AN41" i="1"/>
  <c r="AS41" i="1" s="1"/>
  <c r="AN42" i="1"/>
  <c r="AS42" i="1" s="1"/>
  <c r="AN43" i="1"/>
  <c r="AS43" i="1" s="1"/>
  <c r="AN44" i="1"/>
  <c r="AS44" i="1" s="1"/>
  <c r="AN45" i="1"/>
  <c r="AS45" i="1" s="1"/>
  <c r="AN46" i="1"/>
  <c r="AS46" i="1" s="1"/>
  <c r="AN47" i="1"/>
  <c r="AS47" i="1" s="1"/>
  <c r="AN48" i="1"/>
  <c r="AS48" i="1" s="1"/>
  <c r="AN49" i="1"/>
  <c r="AS49" i="1" s="1"/>
  <c r="AN50" i="1"/>
  <c r="AS50" i="1" s="1"/>
  <c r="AN51" i="1"/>
  <c r="AS51" i="1" s="1"/>
  <c r="AN52" i="1"/>
  <c r="AS52" i="1" s="1"/>
  <c r="AN53" i="1"/>
  <c r="AS53" i="1" s="1"/>
  <c r="AN54" i="1"/>
  <c r="AS54" i="1" s="1"/>
  <c r="AN55" i="1"/>
  <c r="AS55" i="1" s="1"/>
  <c r="AN56" i="1"/>
  <c r="AS56" i="1" s="1"/>
  <c r="AN57" i="1"/>
  <c r="AS57" i="1" s="1"/>
  <c r="AN58" i="1"/>
  <c r="AS58" i="1" s="1"/>
  <c r="AN59" i="1"/>
  <c r="AS59" i="1" s="1"/>
  <c r="AN60" i="1"/>
  <c r="AS60" i="1" s="1"/>
  <c r="AN61" i="1"/>
  <c r="AS61" i="1" s="1"/>
  <c r="AN62" i="1"/>
  <c r="AS62" i="1" s="1"/>
  <c r="AN63" i="1"/>
  <c r="AS63" i="1" s="1"/>
  <c r="AN64" i="1"/>
  <c r="AS64" i="1" s="1"/>
  <c r="AN65" i="1"/>
  <c r="AS65" i="1" s="1"/>
  <c r="AN66" i="1"/>
  <c r="AS66" i="1" s="1"/>
  <c r="AN67" i="1"/>
  <c r="AS67" i="1" s="1"/>
  <c r="AN68" i="1"/>
  <c r="AS68" i="1" s="1"/>
  <c r="AN69" i="1"/>
  <c r="AS69" i="1" s="1"/>
  <c r="AN70" i="1"/>
  <c r="AS70" i="1" s="1"/>
  <c r="AN71" i="1"/>
  <c r="AS71" i="1" s="1"/>
  <c r="AN72" i="1"/>
  <c r="AS72" i="1" s="1"/>
  <c r="AN73" i="1"/>
  <c r="AS73" i="1" s="1"/>
  <c r="AN74" i="1"/>
  <c r="AS74" i="1" s="1"/>
  <c r="AN75" i="1"/>
  <c r="AS75" i="1" s="1"/>
  <c r="AN76" i="1"/>
  <c r="AS76" i="1" s="1"/>
  <c r="AN77" i="1"/>
  <c r="AS77" i="1" s="1"/>
  <c r="AN78" i="1"/>
  <c r="AS78" i="1" s="1"/>
  <c r="AN79" i="1"/>
  <c r="AS79" i="1" s="1"/>
  <c r="AN80" i="1"/>
  <c r="AS80" i="1" s="1"/>
  <c r="AN81" i="1"/>
  <c r="AS81" i="1" s="1"/>
  <c r="AN82" i="1"/>
  <c r="AS82" i="1" s="1"/>
  <c r="AN83" i="1"/>
  <c r="AS83" i="1" s="1"/>
  <c r="AN84" i="1"/>
  <c r="AS84" i="1" s="1"/>
  <c r="AN85" i="1"/>
  <c r="AS85" i="1" s="1"/>
  <c r="AN86" i="1"/>
  <c r="AS86" i="1" s="1"/>
  <c r="AN87" i="1"/>
  <c r="AS87" i="1" s="1"/>
  <c r="AN88" i="1"/>
  <c r="AS88" i="1" s="1"/>
  <c r="AN89" i="1"/>
  <c r="AS89" i="1" s="1"/>
  <c r="AN90" i="1"/>
  <c r="AS90" i="1" s="1"/>
  <c r="AN91" i="1"/>
  <c r="AS91" i="1" s="1"/>
  <c r="AN92" i="1"/>
  <c r="AS92" i="1" s="1"/>
  <c r="AN93" i="1"/>
  <c r="AS93" i="1" s="1"/>
  <c r="AN94" i="1"/>
  <c r="AS94" i="1" s="1"/>
  <c r="AN95" i="1"/>
  <c r="AS95" i="1" s="1"/>
  <c r="AN96" i="1"/>
  <c r="AS96" i="1" s="1"/>
  <c r="AN97" i="1"/>
  <c r="AS97" i="1" s="1"/>
  <c r="AN98" i="1"/>
  <c r="AS98" i="1" s="1"/>
  <c r="AN99" i="1"/>
  <c r="AS99" i="1" s="1"/>
  <c r="AN100" i="1"/>
  <c r="AS100" i="1" s="1"/>
  <c r="AN101" i="1"/>
  <c r="AS101" i="1" s="1"/>
  <c r="AN102" i="1"/>
  <c r="AS102" i="1" s="1"/>
  <c r="AN103" i="1"/>
  <c r="AS103" i="1" s="1"/>
  <c r="AN104" i="1"/>
  <c r="AS104" i="1" s="1"/>
  <c r="AN105" i="1"/>
  <c r="AS105" i="1" s="1"/>
  <c r="AN106" i="1"/>
  <c r="AS106" i="1" s="1"/>
  <c r="AN107" i="1"/>
  <c r="AS107" i="1" s="1"/>
  <c r="AN108" i="1"/>
  <c r="AS108" i="1" s="1"/>
  <c r="AN109" i="1"/>
  <c r="AS109" i="1" s="1"/>
  <c r="AN110" i="1"/>
  <c r="AS110" i="1" s="1"/>
  <c r="AN111" i="1"/>
  <c r="AS111" i="1" s="1"/>
  <c r="AN112" i="1"/>
  <c r="AS112" i="1" s="1"/>
  <c r="AN113" i="1"/>
  <c r="AS113" i="1" s="1"/>
  <c r="AN114" i="1"/>
  <c r="AS114" i="1" s="1"/>
  <c r="AN115" i="1"/>
  <c r="AS115" i="1" s="1"/>
  <c r="AN116" i="1"/>
  <c r="AS116" i="1" s="1"/>
  <c r="AN117" i="1"/>
  <c r="AS117" i="1" s="1"/>
  <c r="AN118" i="1"/>
  <c r="AS118" i="1" s="1"/>
  <c r="AN119" i="1"/>
  <c r="AS119" i="1" s="1"/>
  <c r="AN120" i="1"/>
  <c r="AS120" i="1" s="1"/>
  <c r="AN121" i="1"/>
  <c r="AS121" i="1" s="1"/>
  <c r="AN122" i="1"/>
  <c r="AS122" i="1" s="1"/>
  <c r="AN123" i="1"/>
  <c r="AS123" i="1" s="1"/>
  <c r="AN124" i="1"/>
  <c r="AS124" i="1" s="1"/>
  <c r="AN125" i="1"/>
  <c r="AS125" i="1" s="1"/>
  <c r="AN126" i="1"/>
  <c r="AS126" i="1" s="1"/>
  <c r="AN127" i="1"/>
  <c r="AS127" i="1" s="1"/>
  <c r="AN128" i="1"/>
  <c r="AS128" i="1" s="1"/>
  <c r="AN129" i="1"/>
  <c r="AS129" i="1" s="1"/>
  <c r="AN130" i="1"/>
  <c r="AS130" i="1" s="1"/>
  <c r="AN131" i="1"/>
  <c r="AS131" i="1" s="1"/>
  <c r="AN132" i="1"/>
  <c r="AS132" i="1" s="1"/>
  <c r="AN133" i="1"/>
  <c r="AS133" i="1" s="1"/>
  <c r="AN134" i="1"/>
  <c r="AS134" i="1" s="1"/>
  <c r="AN135" i="1"/>
  <c r="AS135" i="1" s="1"/>
  <c r="AN136" i="1"/>
  <c r="AS136" i="1" s="1"/>
  <c r="AN137" i="1"/>
  <c r="AS137" i="1" s="1"/>
  <c r="AN138" i="1"/>
  <c r="AS138" i="1" s="1"/>
  <c r="AN139" i="1"/>
  <c r="AS139" i="1" s="1"/>
  <c r="AN140" i="1"/>
  <c r="AS140" i="1" s="1"/>
  <c r="AN141" i="1"/>
  <c r="AS141" i="1" s="1"/>
  <c r="AN142" i="1"/>
  <c r="AS142" i="1" s="1"/>
  <c r="AN143" i="1"/>
  <c r="AS143" i="1" s="1"/>
  <c r="AN144" i="1"/>
  <c r="AS144" i="1" s="1"/>
  <c r="AN145" i="1"/>
  <c r="AS145" i="1" s="1"/>
  <c r="AN146" i="1"/>
  <c r="AS146" i="1" s="1"/>
  <c r="AN147" i="1"/>
  <c r="AS147" i="1" s="1"/>
  <c r="AN148" i="1"/>
  <c r="AS148" i="1" s="1"/>
  <c r="AN149" i="1"/>
  <c r="AS149" i="1" s="1"/>
  <c r="AN150" i="1"/>
  <c r="AS150" i="1" s="1"/>
  <c r="AN151" i="1"/>
  <c r="AS151" i="1" s="1"/>
  <c r="AN152" i="1"/>
  <c r="AS152" i="1" s="1"/>
  <c r="AN153" i="1"/>
  <c r="AS153" i="1" s="1"/>
  <c r="AN154" i="1"/>
  <c r="AS154" i="1" s="1"/>
  <c r="AN155" i="1"/>
  <c r="AS155" i="1" s="1"/>
  <c r="AN156" i="1"/>
  <c r="AS156" i="1" s="1"/>
  <c r="AN157" i="1"/>
  <c r="AS157" i="1" s="1"/>
  <c r="AN158" i="1"/>
  <c r="AS158" i="1" s="1"/>
  <c r="AN159" i="1"/>
  <c r="AS159" i="1" s="1"/>
  <c r="AN160" i="1"/>
  <c r="AS160" i="1" s="1"/>
  <c r="AN161" i="1"/>
  <c r="AS161" i="1" s="1"/>
  <c r="AN162" i="1"/>
  <c r="AS162" i="1" s="1"/>
  <c r="AN163" i="1"/>
  <c r="AS163" i="1" s="1"/>
  <c r="AN164" i="1"/>
  <c r="AS164" i="1" s="1"/>
  <c r="AN165" i="1"/>
  <c r="AS165" i="1" s="1"/>
  <c r="AN166" i="1"/>
  <c r="AS166" i="1" s="1"/>
  <c r="AN167" i="1"/>
  <c r="AS167" i="1" s="1"/>
  <c r="AN168" i="1"/>
  <c r="AS168" i="1" s="1"/>
  <c r="AN169" i="1"/>
  <c r="AS169" i="1" s="1"/>
  <c r="AN170" i="1"/>
  <c r="AS170" i="1" s="1"/>
  <c r="AN171" i="1"/>
  <c r="AS171" i="1" s="1"/>
  <c r="AN172" i="1"/>
  <c r="AS172" i="1" s="1"/>
  <c r="AN173" i="1"/>
  <c r="AS173" i="1" s="1"/>
  <c r="AN174" i="1"/>
  <c r="AS174" i="1" s="1"/>
  <c r="AN175" i="1"/>
  <c r="AS175" i="1" s="1"/>
  <c r="AN176" i="1"/>
  <c r="AS176" i="1" s="1"/>
  <c r="AN177" i="1"/>
  <c r="AS177" i="1" s="1"/>
  <c r="AN178" i="1"/>
  <c r="AS178" i="1" s="1"/>
  <c r="AN179" i="1"/>
  <c r="AS179" i="1" s="1"/>
  <c r="AN180" i="1"/>
  <c r="AS180" i="1" s="1"/>
  <c r="AN181" i="1"/>
  <c r="AS181" i="1" s="1"/>
  <c r="AN182" i="1"/>
  <c r="AS182" i="1" s="1"/>
  <c r="AN183" i="1"/>
  <c r="AS183" i="1" s="1"/>
  <c r="AN184" i="1"/>
  <c r="AS184" i="1" s="1"/>
  <c r="AN185" i="1"/>
  <c r="AS185" i="1" s="1"/>
  <c r="AN186" i="1"/>
  <c r="AS186" i="1" s="1"/>
  <c r="AN187" i="1"/>
  <c r="AS187" i="1" s="1"/>
  <c r="AN188" i="1"/>
  <c r="AS188" i="1" s="1"/>
  <c r="AN189" i="1"/>
  <c r="AS189" i="1" s="1"/>
  <c r="AN190" i="1"/>
  <c r="AS190" i="1" s="1"/>
  <c r="AN191" i="1"/>
  <c r="AS191" i="1" s="1"/>
  <c r="AN192" i="1"/>
  <c r="AS192" i="1" s="1"/>
  <c r="AN193" i="1"/>
  <c r="AS193" i="1" s="1"/>
  <c r="AN194" i="1"/>
  <c r="AS194" i="1" s="1"/>
  <c r="AN195" i="1"/>
  <c r="AS195" i="1" s="1"/>
  <c r="AN196" i="1"/>
  <c r="AS196" i="1" s="1"/>
  <c r="AN197" i="1"/>
  <c r="AS197" i="1" s="1"/>
  <c r="AN198" i="1"/>
  <c r="AS198" i="1" s="1"/>
  <c r="AN199" i="1"/>
  <c r="AS199" i="1" s="1"/>
  <c r="AN200" i="1"/>
  <c r="AS200" i="1" s="1"/>
  <c r="AN201" i="1"/>
  <c r="AS201" i="1" s="1"/>
  <c r="AN202" i="1"/>
  <c r="AS202" i="1" s="1"/>
  <c r="AN203" i="1"/>
  <c r="AS203" i="1" s="1"/>
  <c r="AN204" i="1"/>
  <c r="AS204" i="1" s="1"/>
  <c r="AN205" i="1"/>
  <c r="AS205" i="1" s="1"/>
  <c r="AN206" i="1"/>
  <c r="AS206" i="1" s="1"/>
  <c r="AN207" i="1"/>
  <c r="AS207" i="1" s="1"/>
  <c r="AN208" i="1"/>
  <c r="AS208" i="1" s="1"/>
  <c r="AN209" i="1"/>
  <c r="AS209" i="1" s="1"/>
  <c r="AN210" i="1"/>
  <c r="AS210" i="1" s="1"/>
  <c r="AN211" i="1"/>
  <c r="AS211" i="1" s="1"/>
  <c r="AN212" i="1"/>
  <c r="AS212" i="1" s="1"/>
  <c r="AN213" i="1"/>
  <c r="AS213" i="1" s="1"/>
  <c r="AN214" i="1"/>
  <c r="AS214" i="1" s="1"/>
  <c r="AN215" i="1"/>
  <c r="AS215" i="1" s="1"/>
  <c r="AN216" i="1"/>
  <c r="AS216" i="1" s="1"/>
  <c r="AN217" i="1"/>
  <c r="AS217" i="1" s="1"/>
  <c r="AN218" i="1"/>
  <c r="AS218" i="1" s="1"/>
  <c r="AN219" i="1"/>
  <c r="AS219" i="1" s="1"/>
  <c r="AN220" i="1"/>
  <c r="AS220" i="1" s="1"/>
  <c r="AN221" i="1"/>
  <c r="AS221" i="1" s="1"/>
  <c r="AN222" i="1"/>
  <c r="AS222" i="1" s="1"/>
  <c r="AN223" i="1"/>
  <c r="AS223" i="1" s="1"/>
  <c r="AN224" i="1"/>
  <c r="AS224" i="1" s="1"/>
  <c r="AN225" i="1"/>
  <c r="AS225" i="1" s="1"/>
  <c r="AN226" i="1"/>
  <c r="AS226" i="1" s="1"/>
  <c r="AN227" i="1"/>
  <c r="AS227" i="1" s="1"/>
  <c r="AN228" i="1"/>
  <c r="AS228" i="1" s="1"/>
  <c r="AN229" i="1"/>
  <c r="AS229" i="1" s="1"/>
  <c r="AN230" i="1"/>
  <c r="AS230" i="1" s="1"/>
  <c r="AN231" i="1"/>
  <c r="AS231" i="1" s="1"/>
  <c r="AN232" i="1"/>
  <c r="AS232" i="1" s="1"/>
  <c r="AN233" i="1"/>
  <c r="AS233" i="1" s="1"/>
  <c r="AN234" i="1"/>
  <c r="AS234" i="1" s="1"/>
  <c r="AN235" i="1"/>
  <c r="AS235" i="1" s="1"/>
  <c r="AN236" i="1"/>
  <c r="AS236" i="1" s="1"/>
  <c r="AN237" i="1"/>
  <c r="AS237" i="1" s="1"/>
  <c r="AN238" i="1"/>
  <c r="AS238" i="1" s="1"/>
  <c r="AN239" i="1"/>
  <c r="AS239" i="1" s="1"/>
  <c r="AN240" i="1"/>
  <c r="AS240" i="1" s="1"/>
  <c r="AN241" i="1"/>
  <c r="AS241" i="1" s="1"/>
  <c r="AN242" i="1"/>
  <c r="AS242" i="1" s="1"/>
  <c r="AN243" i="1"/>
  <c r="AS243" i="1" s="1"/>
  <c r="AN244" i="1"/>
  <c r="AS244" i="1" s="1"/>
  <c r="AN245" i="1"/>
  <c r="AS245" i="1" s="1"/>
  <c r="AN246" i="1"/>
  <c r="AS246" i="1" s="1"/>
  <c r="AN247" i="1"/>
  <c r="AS247" i="1" s="1"/>
  <c r="AN248" i="1"/>
  <c r="AS248" i="1" s="1"/>
  <c r="AN249" i="1"/>
  <c r="AS249" i="1" s="1"/>
  <c r="AN250" i="1"/>
  <c r="AS250" i="1" s="1"/>
  <c r="AN251" i="1"/>
  <c r="AS251" i="1" s="1"/>
  <c r="AN252" i="1"/>
  <c r="AS252" i="1" s="1"/>
  <c r="AN253" i="1"/>
  <c r="AS253" i="1" s="1"/>
  <c r="AN254" i="1"/>
  <c r="AS254" i="1" s="1"/>
  <c r="AN255" i="1"/>
  <c r="AS255" i="1" s="1"/>
  <c r="AN256" i="1"/>
  <c r="AS256" i="1" s="1"/>
  <c r="AN257" i="1"/>
  <c r="AS257" i="1" s="1"/>
  <c r="AN258" i="1"/>
  <c r="AS258" i="1" s="1"/>
  <c r="AN259" i="1"/>
  <c r="AS259" i="1" s="1"/>
  <c r="AN260" i="1"/>
  <c r="AS260" i="1" s="1"/>
  <c r="AN261" i="1"/>
  <c r="AS261" i="1" s="1"/>
  <c r="AN262" i="1"/>
  <c r="AS262" i="1" s="1"/>
  <c r="AN263" i="1"/>
  <c r="AS263" i="1" s="1"/>
  <c r="AN264" i="1"/>
  <c r="AS264" i="1" s="1"/>
  <c r="AN265" i="1"/>
  <c r="AS265" i="1" s="1"/>
  <c r="AN266" i="1"/>
  <c r="AS266" i="1" s="1"/>
  <c r="AN267" i="1"/>
  <c r="AS267" i="1" s="1"/>
  <c r="AN268" i="1"/>
  <c r="AS268" i="1" s="1"/>
  <c r="AN269" i="1"/>
  <c r="AS269" i="1" s="1"/>
  <c r="AN270" i="1"/>
  <c r="AS270" i="1" s="1"/>
  <c r="AN271" i="1"/>
  <c r="AS271" i="1" s="1"/>
  <c r="AN272" i="1"/>
  <c r="AS272" i="1" s="1"/>
  <c r="AN273" i="1"/>
  <c r="AS273" i="1" s="1"/>
  <c r="AN274" i="1"/>
  <c r="AS274" i="1" s="1"/>
  <c r="AN275" i="1"/>
  <c r="AS275" i="1" s="1"/>
  <c r="AN276" i="1"/>
  <c r="AS276" i="1" s="1"/>
  <c r="AN277" i="1"/>
  <c r="AS277" i="1" s="1"/>
  <c r="AN278" i="1"/>
  <c r="AS278" i="1" s="1"/>
  <c r="AN279" i="1"/>
  <c r="AS279" i="1" s="1"/>
  <c r="AN280" i="1"/>
  <c r="AS280" i="1" s="1"/>
  <c r="AN281" i="1"/>
  <c r="AS281" i="1" s="1"/>
  <c r="AN282" i="1"/>
  <c r="AS282" i="1" s="1"/>
  <c r="AN283" i="1"/>
  <c r="AS283" i="1" s="1"/>
  <c r="AN284" i="1"/>
  <c r="AS284" i="1" s="1"/>
  <c r="AN285" i="1"/>
  <c r="AS285" i="1" s="1"/>
  <c r="AN286" i="1"/>
  <c r="AS286" i="1" s="1"/>
  <c r="AN287" i="1"/>
  <c r="AS287" i="1" s="1"/>
  <c r="AN288" i="1"/>
  <c r="AS288" i="1" s="1"/>
  <c r="AN289" i="1"/>
  <c r="AS289" i="1" s="1"/>
  <c r="AN290" i="1"/>
  <c r="AS290" i="1" s="1"/>
  <c r="AN291" i="1"/>
  <c r="AS291" i="1" s="1"/>
  <c r="AN292" i="1"/>
  <c r="AS292" i="1" s="1"/>
  <c r="AN293" i="1"/>
  <c r="AS293" i="1" s="1"/>
  <c r="AN294" i="1"/>
  <c r="AS294" i="1" s="1"/>
  <c r="AN295" i="1"/>
  <c r="AS295" i="1" s="1"/>
  <c r="AN296" i="1"/>
  <c r="AS296" i="1" s="1"/>
  <c r="AN297" i="1"/>
  <c r="AS297" i="1" s="1"/>
  <c r="AN298" i="1"/>
  <c r="AS298" i="1" s="1"/>
  <c r="AN299" i="1"/>
  <c r="AS299" i="1" s="1"/>
  <c r="AN300" i="1"/>
  <c r="AS300" i="1" s="1"/>
  <c r="AN301" i="1"/>
  <c r="AS301" i="1" s="1"/>
  <c r="AN302" i="1"/>
  <c r="AS302" i="1" s="1"/>
  <c r="AN303" i="1"/>
  <c r="AS303" i="1" s="1"/>
  <c r="AN304" i="1"/>
  <c r="AS304" i="1" s="1"/>
  <c r="AN305" i="1"/>
  <c r="AS305" i="1" s="1"/>
  <c r="AN306" i="1"/>
  <c r="AS306" i="1" s="1"/>
  <c r="AN307" i="1"/>
  <c r="AS307" i="1" s="1"/>
  <c r="AN308" i="1"/>
  <c r="AS308" i="1" s="1"/>
  <c r="AN309" i="1"/>
  <c r="AS309" i="1" s="1"/>
  <c r="AN310" i="1"/>
  <c r="AS310" i="1" s="1"/>
  <c r="AN311" i="1"/>
  <c r="AS311" i="1" s="1"/>
  <c r="AN312" i="1"/>
  <c r="AS312" i="1" s="1"/>
  <c r="AN313" i="1"/>
  <c r="AS313" i="1" s="1"/>
  <c r="AN314" i="1"/>
  <c r="AS314" i="1" s="1"/>
  <c r="AN315" i="1"/>
  <c r="AS315" i="1" s="1"/>
  <c r="AN316" i="1"/>
  <c r="AS316" i="1" s="1"/>
  <c r="AN317" i="1"/>
  <c r="AS317" i="1" s="1"/>
  <c r="AN318" i="1"/>
  <c r="AS318" i="1" s="1"/>
  <c r="AN319" i="1"/>
  <c r="AS319" i="1" s="1"/>
  <c r="AN320" i="1"/>
  <c r="AS320" i="1" s="1"/>
  <c r="AN321" i="1"/>
  <c r="AS321" i="1" s="1"/>
  <c r="AN322" i="1"/>
  <c r="AS322" i="1" s="1"/>
  <c r="AN323" i="1"/>
  <c r="AS323" i="1" s="1"/>
  <c r="AN324" i="1"/>
  <c r="AS324" i="1" s="1"/>
  <c r="AN325" i="1"/>
  <c r="AS325" i="1" s="1"/>
  <c r="AN326" i="1"/>
  <c r="AS326" i="1" s="1"/>
  <c r="AN327" i="1"/>
  <c r="AS327" i="1" s="1"/>
  <c r="AN328" i="1"/>
  <c r="AS328" i="1" s="1"/>
  <c r="AN329" i="1"/>
  <c r="AS329" i="1" s="1"/>
  <c r="AN330" i="1"/>
  <c r="AS330" i="1" s="1"/>
  <c r="AN331" i="1"/>
  <c r="AS331" i="1" s="1"/>
  <c r="AN332" i="1"/>
  <c r="AS332" i="1" s="1"/>
  <c r="AN333" i="1"/>
  <c r="AS333" i="1" s="1"/>
  <c r="AN334" i="1"/>
  <c r="AS334" i="1" s="1"/>
  <c r="AN335" i="1"/>
  <c r="AS335" i="1" s="1"/>
  <c r="AN336" i="1"/>
  <c r="AS336" i="1" s="1"/>
  <c r="AN337" i="1"/>
  <c r="AS337" i="1" s="1"/>
  <c r="AN338" i="1"/>
  <c r="AS338" i="1" s="1"/>
  <c r="AN339" i="1"/>
  <c r="AS339" i="1" s="1"/>
  <c r="AN340" i="1"/>
  <c r="AS340" i="1" s="1"/>
  <c r="AN341" i="1"/>
  <c r="AS341" i="1" s="1"/>
  <c r="AN342" i="1"/>
  <c r="AS342" i="1" s="1"/>
  <c r="AN343" i="1"/>
  <c r="AS343" i="1" s="1"/>
  <c r="AN344" i="1"/>
  <c r="AS344" i="1" s="1"/>
  <c r="AN345" i="1"/>
  <c r="AS345" i="1" s="1"/>
  <c r="AN346" i="1"/>
  <c r="AS346" i="1" s="1"/>
  <c r="AN347" i="1"/>
  <c r="AS347" i="1" s="1"/>
  <c r="AN348" i="1"/>
  <c r="AS348" i="1" s="1"/>
  <c r="AN349" i="1"/>
  <c r="AS349" i="1" s="1"/>
  <c r="AN350" i="1"/>
  <c r="AS350" i="1" s="1"/>
  <c r="AN351" i="1"/>
  <c r="AS351" i="1" s="1"/>
  <c r="AN352" i="1"/>
  <c r="AS352" i="1" s="1"/>
  <c r="AN353" i="1"/>
  <c r="AS353" i="1" s="1"/>
  <c r="AN354" i="1"/>
  <c r="AS354" i="1" s="1"/>
  <c r="AN355" i="1"/>
  <c r="AS355" i="1" s="1"/>
  <c r="AN356" i="1"/>
  <c r="AS356" i="1" s="1"/>
  <c r="AN357" i="1"/>
  <c r="AS357" i="1" s="1"/>
  <c r="AN358" i="1"/>
  <c r="AS358" i="1" s="1"/>
  <c r="AN359" i="1"/>
  <c r="AS359" i="1" s="1"/>
  <c r="AN360" i="1"/>
  <c r="AS360" i="1" s="1"/>
  <c r="AN361" i="1"/>
  <c r="AS361" i="1" s="1"/>
  <c r="AN362" i="1"/>
  <c r="AS362" i="1" s="1"/>
  <c r="AN363" i="1"/>
  <c r="AS363" i="1" s="1"/>
  <c r="AN364" i="1"/>
  <c r="AS364" i="1" s="1"/>
  <c r="AN365" i="1"/>
  <c r="AS365" i="1" s="1"/>
  <c r="AN366" i="1"/>
  <c r="AS366" i="1" s="1"/>
  <c r="AN367" i="1"/>
  <c r="AS367" i="1" s="1"/>
  <c r="AN368" i="1"/>
  <c r="AS368" i="1" s="1"/>
  <c r="AN369" i="1"/>
  <c r="AS369" i="1" s="1"/>
  <c r="AN370" i="1"/>
  <c r="AS370" i="1" s="1"/>
  <c r="AN371" i="1"/>
  <c r="AS371" i="1" s="1"/>
  <c r="AN372" i="1"/>
  <c r="AS372" i="1" s="1"/>
  <c r="AN373" i="1"/>
  <c r="AS373" i="1" s="1"/>
  <c r="AN374" i="1"/>
  <c r="AS374" i="1" s="1"/>
  <c r="AN375" i="1"/>
  <c r="AS375" i="1" s="1"/>
  <c r="AN376" i="1"/>
  <c r="AS376" i="1" s="1"/>
  <c r="AN377" i="1"/>
  <c r="AS377" i="1" s="1"/>
  <c r="AN378" i="1"/>
  <c r="AS378" i="1" s="1"/>
  <c r="AN379" i="1"/>
  <c r="AS379" i="1" s="1"/>
  <c r="AN380" i="1"/>
  <c r="AS380" i="1" s="1"/>
  <c r="AN381" i="1"/>
  <c r="AS381" i="1" s="1"/>
  <c r="AN382" i="1"/>
  <c r="AS382" i="1" s="1"/>
  <c r="AN383" i="1"/>
  <c r="AS383" i="1" s="1"/>
  <c r="AN384" i="1"/>
  <c r="AS384" i="1" s="1"/>
  <c r="AN385" i="1"/>
  <c r="AS385" i="1" s="1"/>
  <c r="AN386" i="1"/>
  <c r="AS386" i="1" s="1"/>
  <c r="AN387" i="1"/>
  <c r="AS387" i="1" s="1"/>
  <c r="AN388" i="1"/>
  <c r="AS388" i="1" s="1"/>
  <c r="AN389" i="1"/>
  <c r="AS389" i="1" s="1"/>
  <c r="AN390" i="1"/>
  <c r="AS390" i="1" s="1"/>
  <c r="AN391" i="1"/>
  <c r="AS391" i="1" s="1"/>
  <c r="AN392" i="1"/>
  <c r="AS392" i="1" s="1"/>
  <c r="AN393" i="1"/>
  <c r="AS393" i="1" s="1"/>
  <c r="AN394" i="1"/>
  <c r="AS394" i="1" s="1"/>
  <c r="AN395" i="1"/>
  <c r="AS395" i="1" s="1"/>
  <c r="AN396" i="1"/>
  <c r="AS396" i="1" s="1"/>
  <c r="AN397" i="1"/>
  <c r="AS397" i="1" s="1"/>
  <c r="AN398" i="1"/>
  <c r="AS398" i="1" s="1"/>
  <c r="AN399" i="1"/>
  <c r="AS399" i="1" s="1"/>
  <c r="AN400" i="1"/>
  <c r="AS400" i="1" s="1"/>
  <c r="AN401" i="1"/>
  <c r="AS401" i="1" s="1"/>
  <c r="AN402" i="1"/>
  <c r="AS402" i="1" s="1"/>
  <c r="AN403" i="1"/>
  <c r="AS403" i="1" s="1"/>
  <c r="AN404" i="1"/>
  <c r="AS404" i="1" s="1"/>
  <c r="AN405" i="1"/>
  <c r="AS405" i="1" s="1"/>
  <c r="AN406" i="1"/>
  <c r="AS406" i="1" s="1"/>
  <c r="AN407" i="1"/>
  <c r="AS407" i="1" s="1"/>
  <c r="AN408" i="1"/>
  <c r="AS408" i="1" s="1"/>
  <c r="AN409" i="1"/>
  <c r="AS409" i="1" s="1"/>
  <c r="AN410" i="1"/>
  <c r="AS410" i="1" s="1"/>
  <c r="AN411" i="1"/>
  <c r="AS411" i="1" s="1"/>
  <c r="AN412" i="1"/>
  <c r="AS412" i="1" s="1"/>
  <c r="AN413" i="1"/>
  <c r="AS413" i="1" s="1"/>
  <c r="AN414" i="1"/>
  <c r="AS414" i="1" s="1"/>
  <c r="AN415" i="1"/>
  <c r="AS415" i="1" s="1"/>
  <c r="AN416" i="1"/>
  <c r="AS416" i="1" s="1"/>
  <c r="AN417" i="1"/>
  <c r="AS417" i="1" s="1"/>
  <c r="AN418" i="1"/>
  <c r="AS418" i="1" s="1"/>
  <c r="AN419" i="1"/>
  <c r="AS419" i="1" s="1"/>
  <c r="AN420" i="1"/>
  <c r="AS420" i="1" s="1"/>
  <c r="AN421" i="1"/>
  <c r="AS421" i="1" s="1"/>
  <c r="AN422" i="1"/>
  <c r="AS422" i="1" s="1"/>
  <c r="AN423" i="1"/>
  <c r="AS423" i="1" s="1"/>
  <c r="AN424" i="1"/>
  <c r="AS424" i="1" s="1"/>
  <c r="AN425" i="1"/>
  <c r="AS425" i="1" s="1"/>
  <c r="AN426" i="1"/>
  <c r="AS426" i="1" s="1"/>
  <c r="AN427" i="1"/>
  <c r="AS427" i="1" s="1"/>
  <c r="AN428" i="1"/>
  <c r="AS428" i="1" s="1"/>
  <c r="AN429" i="1"/>
  <c r="AS429" i="1" s="1"/>
  <c r="AN430" i="1"/>
  <c r="AS430" i="1" s="1"/>
  <c r="AN431" i="1"/>
  <c r="AS431" i="1" s="1"/>
  <c r="AN432" i="1"/>
  <c r="AS432" i="1" s="1"/>
  <c r="AN433" i="1"/>
  <c r="AS433" i="1" s="1"/>
  <c r="AN434" i="1"/>
  <c r="AS434" i="1" s="1"/>
  <c r="AN435" i="1"/>
  <c r="AS435" i="1" s="1"/>
  <c r="AN436" i="1"/>
  <c r="AS436" i="1" s="1"/>
  <c r="AN437" i="1"/>
  <c r="AS437" i="1" s="1"/>
  <c r="AN438" i="1"/>
  <c r="AS438" i="1" s="1"/>
  <c r="AN439" i="1"/>
  <c r="AS439" i="1" s="1"/>
  <c r="AN440" i="1"/>
  <c r="AS440" i="1" s="1"/>
  <c r="AN441" i="1"/>
  <c r="AS441" i="1" s="1"/>
  <c r="AN442" i="1"/>
  <c r="AS442" i="1" s="1"/>
  <c r="AN443" i="1"/>
  <c r="AS443" i="1" s="1"/>
  <c r="AN444" i="1"/>
  <c r="AS444" i="1" s="1"/>
  <c r="AN445" i="1"/>
  <c r="AS445" i="1" s="1"/>
  <c r="AN446" i="1"/>
  <c r="AS446" i="1" s="1"/>
  <c r="AN447" i="1"/>
  <c r="AS447" i="1" s="1"/>
  <c r="AN448" i="1"/>
  <c r="AS448" i="1" s="1"/>
  <c r="AN449" i="1"/>
  <c r="AS449" i="1" s="1"/>
  <c r="AN450" i="1"/>
  <c r="AS450" i="1" s="1"/>
  <c r="AN451" i="1"/>
  <c r="AS451" i="1" s="1"/>
  <c r="AN452" i="1"/>
  <c r="AS452" i="1" s="1"/>
  <c r="AN453" i="1"/>
  <c r="AS453" i="1" s="1"/>
  <c r="AN454" i="1"/>
  <c r="AS454" i="1" s="1"/>
  <c r="AN455" i="1"/>
  <c r="AS455" i="1" s="1"/>
  <c r="AN456" i="1"/>
  <c r="AS456" i="1" s="1"/>
  <c r="AN457" i="1"/>
  <c r="AS457" i="1" s="1"/>
  <c r="AN458" i="1"/>
  <c r="AS458" i="1" s="1"/>
  <c r="AN459" i="1"/>
  <c r="AS459" i="1" s="1"/>
  <c r="AN460" i="1"/>
  <c r="AS460" i="1" s="1"/>
  <c r="AN461" i="1"/>
  <c r="AS461" i="1" s="1"/>
  <c r="AN462" i="1"/>
  <c r="AS462" i="1" s="1"/>
  <c r="AN463" i="1"/>
  <c r="AS463" i="1" s="1"/>
  <c r="AN464" i="1"/>
  <c r="AS464" i="1" s="1"/>
  <c r="AN465" i="1"/>
  <c r="AS465" i="1" s="1"/>
  <c r="AN466" i="1"/>
  <c r="AS466" i="1" s="1"/>
  <c r="AN467" i="1"/>
  <c r="AS467" i="1" s="1"/>
  <c r="AN468" i="1"/>
  <c r="AS468" i="1" s="1"/>
  <c r="AN469" i="1"/>
  <c r="AS469" i="1" s="1"/>
  <c r="AN470" i="1"/>
  <c r="AS470" i="1" s="1"/>
  <c r="AN471" i="1"/>
  <c r="AS471" i="1" s="1"/>
  <c r="AN472" i="1"/>
  <c r="AS472" i="1" s="1"/>
  <c r="AN473" i="1"/>
  <c r="AS473" i="1" s="1"/>
  <c r="AN474" i="1"/>
  <c r="AS474" i="1" s="1"/>
  <c r="AN475" i="1"/>
  <c r="AS475" i="1" s="1"/>
  <c r="AN476" i="1"/>
  <c r="AS476" i="1" s="1"/>
  <c r="AN477" i="1"/>
  <c r="AS477" i="1" s="1"/>
  <c r="AN478" i="1"/>
  <c r="AS478" i="1" s="1"/>
  <c r="AN479" i="1"/>
  <c r="AS479" i="1" s="1"/>
  <c r="AN480" i="1"/>
  <c r="AS480" i="1" s="1"/>
  <c r="AN481" i="1"/>
  <c r="AS481" i="1" s="1"/>
  <c r="AN482" i="1"/>
  <c r="AS482" i="1" s="1"/>
  <c r="AN483" i="1"/>
  <c r="AS483" i="1" s="1"/>
  <c r="AN484" i="1"/>
  <c r="AS484" i="1" s="1"/>
  <c r="AN485" i="1"/>
  <c r="AS485" i="1" s="1"/>
  <c r="AN486" i="1"/>
  <c r="AS486" i="1" s="1"/>
  <c r="AN487" i="1"/>
  <c r="AS487" i="1" s="1"/>
  <c r="AN488" i="1"/>
  <c r="AS488" i="1" s="1"/>
  <c r="AN489" i="1"/>
  <c r="AS489" i="1" s="1"/>
  <c r="AN490" i="1"/>
  <c r="AS490" i="1" s="1"/>
  <c r="AN491" i="1"/>
  <c r="AS491" i="1" s="1"/>
  <c r="AN492" i="1"/>
  <c r="AS492" i="1" s="1"/>
  <c r="AN493" i="1"/>
  <c r="AS493" i="1" s="1"/>
  <c r="AN494" i="1"/>
  <c r="AS494" i="1" s="1"/>
  <c r="AN495" i="1"/>
  <c r="AS495" i="1" s="1"/>
  <c r="AN496" i="1"/>
  <c r="AS496" i="1" s="1"/>
  <c r="AN497" i="1"/>
  <c r="AS497" i="1" s="1"/>
  <c r="AN498" i="1"/>
  <c r="AS498" i="1" s="1"/>
  <c r="AN499" i="1"/>
  <c r="AS499" i="1" s="1"/>
  <c r="AN500" i="1"/>
  <c r="AS500" i="1" s="1"/>
  <c r="AN501" i="1"/>
  <c r="AS501" i="1" s="1"/>
  <c r="AN502" i="1"/>
  <c r="AS502" i="1" s="1"/>
  <c r="AN503" i="1"/>
  <c r="AS503" i="1" s="1"/>
  <c r="AN504" i="1"/>
  <c r="AS504" i="1" s="1"/>
  <c r="AN505" i="1"/>
  <c r="AS505" i="1" s="1"/>
  <c r="AN506" i="1"/>
  <c r="AS506" i="1" s="1"/>
  <c r="AN507" i="1"/>
  <c r="AS507" i="1" s="1"/>
  <c r="AN508" i="1"/>
  <c r="AS508" i="1" s="1"/>
  <c r="AN509" i="1"/>
  <c r="AS509" i="1" s="1"/>
  <c r="AN510" i="1"/>
  <c r="AS510" i="1" s="1"/>
  <c r="AN511" i="1"/>
  <c r="AS511" i="1" s="1"/>
  <c r="AN512" i="1"/>
  <c r="AS512" i="1" s="1"/>
  <c r="AN513" i="1"/>
  <c r="AS513" i="1" s="1"/>
  <c r="AN514" i="1"/>
  <c r="AS514" i="1" s="1"/>
  <c r="AN515" i="1"/>
  <c r="AS515" i="1" s="1"/>
  <c r="AN516" i="1"/>
  <c r="AS516" i="1" s="1"/>
  <c r="AN517" i="1"/>
  <c r="AS517" i="1" s="1"/>
  <c r="AN518" i="1"/>
  <c r="AS518" i="1" s="1"/>
  <c r="AN519" i="1"/>
  <c r="AS519" i="1" s="1"/>
  <c r="AN520" i="1"/>
  <c r="AS520" i="1" s="1"/>
  <c r="AN521" i="1"/>
  <c r="AS521" i="1" s="1"/>
  <c r="AN522" i="1"/>
  <c r="AS522" i="1" s="1"/>
  <c r="AN523" i="1"/>
  <c r="AS523" i="1" s="1"/>
  <c r="AN524" i="1"/>
  <c r="AS524" i="1" s="1"/>
  <c r="AN525" i="1"/>
  <c r="AS525" i="1" s="1"/>
  <c r="AN526" i="1"/>
  <c r="AS526" i="1" s="1"/>
  <c r="AN527" i="1"/>
  <c r="AS527" i="1" s="1"/>
  <c r="AN528" i="1"/>
  <c r="AS528" i="1" s="1"/>
  <c r="AN529" i="1"/>
  <c r="AS529" i="1" s="1"/>
  <c r="AN530" i="1"/>
  <c r="AS530" i="1" s="1"/>
  <c r="AN531" i="1"/>
  <c r="AS531" i="1" s="1"/>
  <c r="AN532" i="1"/>
  <c r="AS532" i="1" s="1"/>
  <c r="AN533" i="1"/>
  <c r="AS533" i="1" s="1"/>
  <c r="AN534" i="1"/>
  <c r="AS534" i="1" s="1"/>
  <c r="AN535" i="1"/>
  <c r="AS535" i="1" s="1"/>
  <c r="AN536" i="1"/>
  <c r="AS536" i="1" s="1"/>
  <c r="AN537" i="1"/>
  <c r="AS537" i="1" s="1"/>
  <c r="AN538" i="1"/>
  <c r="AS538" i="1" s="1"/>
  <c r="AN539" i="1"/>
  <c r="AS539" i="1" s="1"/>
  <c r="AN540" i="1"/>
  <c r="AS540" i="1" s="1"/>
  <c r="AN541" i="1"/>
  <c r="AS541" i="1" s="1"/>
  <c r="AN542" i="1"/>
  <c r="AS542" i="1" s="1"/>
  <c r="AN543" i="1"/>
  <c r="AS543" i="1" s="1"/>
  <c r="AN544" i="1"/>
  <c r="AS544" i="1" s="1"/>
  <c r="AN545" i="1"/>
  <c r="AS545" i="1" s="1"/>
  <c r="AN546" i="1"/>
  <c r="AS546" i="1" s="1"/>
  <c r="AN547" i="1"/>
  <c r="AS547" i="1" s="1"/>
  <c r="AN548" i="1"/>
  <c r="AS548" i="1" s="1"/>
  <c r="AN549" i="1"/>
  <c r="AS549" i="1" s="1"/>
  <c r="AN550" i="1"/>
  <c r="AS550" i="1" s="1"/>
  <c r="AN551" i="1"/>
  <c r="AS551" i="1" s="1"/>
  <c r="AN552" i="1"/>
  <c r="AS552" i="1" s="1"/>
  <c r="AN553" i="1"/>
  <c r="AS553" i="1" s="1"/>
  <c r="AN554" i="1"/>
  <c r="AS554" i="1" s="1"/>
  <c r="AN555" i="1"/>
  <c r="AS555" i="1" s="1"/>
  <c r="AN556" i="1"/>
  <c r="AS556" i="1" s="1"/>
  <c r="AN557" i="1"/>
  <c r="AS557" i="1" s="1"/>
  <c r="AN558" i="1"/>
  <c r="AS558" i="1" s="1"/>
  <c r="AN559" i="1"/>
  <c r="AS559" i="1" s="1"/>
  <c r="AN560" i="1"/>
  <c r="AS560" i="1" s="1"/>
  <c r="AN561" i="1"/>
  <c r="AS561" i="1" s="1"/>
  <c r="AN562" i="1"/>
  <c r="AS562" i="1" s="1"/>
  <c r="AN563" i="1"/>
  <c r="AS563" i="1" s="1"/>
  <c r="AN564" i="1"/>
  <c r="AS564" i="1" s="1"/>
  <c r="AN565" i="1"/>
  <c r="AS565" i="1" s="1"/>
  <c r="AN566" i="1"/>
  <c r="AS566" i="1" s="1"/>
  <c r="AN567" i="1"/>
  <c r="AS567" i="1" s="1"/>
  <c r="AN568" i="1"/>
  <c r="AS568" i="1" s="1"/>
  <c r="AN569" i="1"/>
  <c r="AS569" i="1" s="1"/>
  <c r="AN570" i="1"/>
  <c r="AS570" i="1" s="1"/>
  <c r="AN571" i="1"/>
  <c r="AS571" i="1" s="1"/>
  <c r="AN572" i="1"/>
  <c r="AS572" i="1" s="1"/>
  <c r="AN573" i="1"/>
  <c r="AS573" i="1" s="1"/>
  <c r="AN574" i="1"/>
  <c r="AS574" i="1" s="1"/>
  <c r="AN575" i="1"/>
  <c r="AS575" i="1" s="1"/>
  <c r="AN576" i="1"/>
  <c r="AS576" i="1" s="1"/>
  <c r="AN577" i="1"/>
  <c r="AS577" i="1" s="1"/>
  <c r="AN578" i="1"/>
  <c r="AS578" i="1" s="1"/>
  <c r="AN579" i="1"/>
  <c r="AS579" i="1" s="1"/>
  <c r="AN580" i="1"/>
  <c r="AS580" i="1" s="1"/>
  <c r="AN581" i="1"/>
  <c r="AS581" i="1" s="1"/>
  <c r="AN582" i="1"/>
  <c r="AS582" i="1" s="1"/>
  <c r="AN583" i="1"/>
  <c r="AS583" i="1" s="1"/>
  <c r="AN584" i="1"/>
  <c r="AS584" i="1" s="1"/>
  <c r="AN585" i="1"/>
  <c r="AS585" i="1" s="1"/>
  <c r="AN586" i="1"/>
  <c r="AS586" i="1" s="1"/>
  <c r="AN587" i="1"/>
  <c r="AS587" i="1" s="1"/>
  <c r="AN588" i="1"/>
  <c r="AS588" i="1" s="1"/>
  <c r="AN589" i="1"/>
  <c r="AS589" i="1" s="1"/>
  <c r="AN590" i="1"/>
  <c r="AS590" i="1" s="1"/>
  <c r="AN591" i="1"/>
  <c r="AS591" i="1" s="1"/>
  <c r="AN592" i="1"/>
  <c r="AS592" i="1" s="1"/>
  <c r="AN593" i="1"/>
  <c r="AS593" i="1" s="1"/>
  <c r="AN594" i="1"/>
  <c r="AS594" i="1" s="1"/>
  <c r="AN595" i="1"/>
  <c r="AS595" i="1" s="1"/>
  <c r="AN596" i="1"/>
  <c r="AS596" i="1" s="1"/>
  <c r="AN597" i="1"/>
  <c r="AS597" i="1" s="1"/>
  <c r="AN598" i="1"/>
  <c r="AS598" i="1" s="1"/>
  <c r="AN599" i="1"/>
  <c r="AS599" i="1" s="1"/>
  <c r="AN600" i="1"/>
  <c r="AS600" i="1" s="1"/>
  <c r="AN601" i="1"/>
  <c r="AS601" i="1" s="1"/>
  <c r="AN602" i="1"/>
  <c r="AS602" i="1" s="1"/>
  <c r="AN603" i="1"/>
  <c r="AS603" i="1" s="1"/>
  <c r="AN604" i="1"/>
  <c r="AS604" i="1" s="1"/>
  <c r="AN605" i="1"/>
  <c r="AS605" i="1" s="1"/>
  <c r="AN606" i="1"/>
  <c r="AS606" i="1" s="1"/>
  <c r="AN607" i="1"/>
  <c r="AS607" i="1" s="1"/>
  <c r="AN608" i="1"/>
  <c r="AS608" i="1" s="1"/>
  <c r="AN609" i="1"/>
  <c r="AS609" i="1" s="1"/>
  <c r="AN610" i="1"/>
  <c r="AS610" i="1" s="1"/>
  <c r="AN611" i="1"/>
  <c r="AS611" i="1" s="1"/>
  <c r="AN612" i="1"/>
  <c r="AS612" i="1" s="1"/>
  <c r="AN613" i="1"/>
  <c r="AS613" i="1" s="1"/>
  <c r="AN614" i="1"/>
  <c r="AS614" i="1" s="1"/>
  <c r="AN615" i="1"/>
  <c r="AS615" i="1" s="1"/>
  <c r="AN616" i="1"/>
  <c r="AS616" i="1" s="1"/>
  <c r="AN617" i="1"/>
  <c r="AS617" i="1" s="1"/>
  <c r="AN618" i="1"/>
  <c r="AS618" i="1" s="1"/>
  <c r="AN619" i="1"/>
  <c r="AS619" i="1" s="1"/>
  <c r="AN620" i="1"/>
  <c r="AS620" i="1" s="1"/>
  <c r="AN621" i="1"/>
  <c r="AS621" i="1" s="1"/>
  <c r="AN622" i="1"/>
  <c r="AS622" i="1" s="1"/>
  <c r="AN623" i="1"/>
  <c r="AS623" i="1" s="1"/>
  <c r="AN624" i="1"/>
  <c r="AS624" i="1" s="1"/>
  <c r="AN625" i="1"/>
  <c r="AS625" i="1" s="1"/>
  <c r="AN626" i="1"/>
  <c r="AS626" i="1" s="1"/>
  <c r="AN627" i="1"/>
  <c r="AS627" i="1" s="1"/>
  <c r="AN628" i="1"/>
  <c r="AS628" i="1" s="1"/>
  <c r="AN629" i="1"/>
  <c r="AS629" i="1" s="1"/>
  <c r="AN630" i="1"/>
  <c r="AS630" i="1" s="1"/>
  <c r="AN631" i="1"/>
  <c r="AS631" i="1" s="1"/>
  <c r="AN632" i="1"/>
  <c r="AS632" i="1" s="1"/>
  <c r="AN633" i="1"/>
  <c r="AS633" i="1" s="1"/>
  <c r="AN634" i="1"/>
  <c r="AS634" i="1" s="1"/>
  <c r="AN635" i="1"/>
  <c r="AS635" i="1" s="1"/>
  <c r="AN636" i="1"/>
  <c r="AS636" i="1" s="1"/>
  <c r="AN637" i="1"/>
  <c r="AS637" i="1" s="1"/>
  <c r="AN638" i="1"/>
  <c r="AS638" i="1" s="1"/>
  <c r="AN639" i="1"/>
  <c r="AS639" i="1" s="1"/>
  <c r="AN640" i="1"/>
  <c r="AS640" i="1" s="1"/>
  <c r="AN641" i="1"/>
  <c r="AS641" i="1" s="1"/>
  <c r="AN642" i="1"/>
  <c r="AS642" i="1" s="1"/>
  <c r="AN643" i="1"/>
  <c r="AS643" i="1" s="1"/>
  <c r="AN644" i="1"/>
  <c r="AS644" i="1" s="1"/>
  <c r="AN645" i="1"/>
  <c r="AS645" i="1" s="1"/>
  <c r="AN646" i="1"/>
  <c r="AS646" i="1" s="1"/>
  <c r="AN647" i="1"/>
  <c r="AS647" i="1" s="1"/>
  <c r="AN648" i="1"/>
  <c r="AS648" i="1" s="1"/>
  <c r="AN649" i="1"/>
  <c r="AS649" i="1" s="1"/>
  <c r="AN650" i="1"/>
  <c r="AS650" i="1" s="1"/>
  <c r="AN651" i="1"/>
  <c r="AS651" i="1" s="1"/>
  <c r="AN652" i="1"/>
  <c r="AS652" i="1" s="1"/>
  <c r="AN653" i="1"/>
  <c r="AS653" i="1" s="1"/>
  <c r="AN654" i="1"/>
  <c r="AS654" i="1" s="1"/>
  <c r="AN655" i="1"/>
  <c r="AS655" i="1" s="1"/>
  <c r="AN656" i="1"/>
  <c r="AS656" i="1" s="1"/>
  <c r="AN657" i="1"/>
  <c r="AS657" i="1" s="1"/>
  <c r="AN658" i="1"/>
  <c r="AS658" i="1" s="1"/>
  <c r="AN659" i="1"/>
  <c r="AS659" i="1" s="1"/>
  <c r="AN660" i="1"/>
  <c r="AS660" i="1" s="1"/>
  <c r="AN661" i="1"/>
  <c r="AS661" i="1" s="1"/>
  <c r="AN662" i="1"/>
  <c r="AS662" i="1" s="1"/>
  <c r="AN663" i="1"/>
  <c r="AS663" i="1" s="1"/>
  <c r="AN664" i="1"/>
  <c r="AS664" i="1" s="1"/>
  <c r="AN665" i="1"/>
  <c r="AS665" i="1" s="1"/>
  <c r="AN666" i="1"/>
  <c r="AS666" i="1" s="1"/>
  <c r="AN667" i="1"/>
  <c r="AS667" i="1" s="1"/>
  <c r="AN668" i="1"/>
  <c r="AS668" i="1" s="1"/>
  <c r="AN669" i="1"/>
  <c r="AS669" i="1" s="1"/>
  <c r="AN670" i="1"/>
  <c r="AS670" i="1" s="1"/>
  <c r="AN671" i="1"/>
  <c r="AS671" i="1" s="1"/>
  <c r="AN672" i="1"/>
  <c r="AS672" i="1" s="1"/>
  <c r="AN673" i="1"/>
  <c r="AS673" i="1" s="1"/>
  <c r="AN674" i="1"/>
  <c r="AS674" i="1" s="1"/>
  <c r="AN675" i="1"/>
  <c r="AS675" i="1" s="1"/>
  <c r="AN676" i="1"/>
  <c r="AS676" i="1" s="1"/>
  <c r="AN677" i="1"/>
  <c r="AS677" i="1" s="1"/>
  <c r="AN678" i="1"/>
  <c r="AS678" i="1" s="1"/>
  <c r="AN679" i="1"/>
  <c r="AS679" i="1" s="1"/>
  <c r="AN680" i="1"/>
  <c r="AS680" i="1" s="1"/>
  <c r="AN681" i="1"/>
  <c r="AS681" i="1" s="1"/>
  <c r="AN682" i="1"/>
  <c r="AS682" i="1" s="1"/>
  <c r="AN683" i="1"/>
  <c r="AS683" i="1" s="1"/>
  <c r="AN684" i="1"/>
  <c r="AS684" i="1" s="1"/>
  <c r="AN685" i="1"/>
  <c r="AS685" i="1" s="1"/>
  <c r="AN686" i="1"/>
  <c r="AS686" i="1" s="1"/>
  <c r="AN687" i="1"/>
  <c r="AS687" i="1" s="1"/>
  <c r="AN688" i="1"/>
  <c r="AS688" i="1" s="1"/>
  <c r="AN689" i="1"/>
  <c r="AS689" i="1" s="1"/>
  <c r="AN690" i="1"/>
  <c r="AS690" i="1" s="1"/>
  <c r="AN691" i="1"/>
  <c r="AS691" i="1" s="1"/>
  <c r="AN692" i="1"/>
  <c r="AS692" i="1" s="1"/>
  <c r="AN693" i="1"/>
  <c r="AS693" i="1" s="1"/>
  <c r="AN694" i="1"/>
  <c r="AS694" i="1" s="1"/>
  <c r="AN695" i="1"/>
  <c r="AS695" i="1" s="1"/>
  <c r="AN696" i="1"/>
  <c r="AS696" i="1" s="1"/>
  <c r="AN697" i="1"/>
  <c r="AS697" i="1" s="1"/>
  <c r="AN698" i="1"/>
  <c r="AS698" i="1" s="1"/>
  <c r="AN699" i="1"/>
  <c r="AS699" i="1" s="1"/>
  <c r="AN700" i="1"/>
  <c r="AS700" i="1" s="1"/>
  <c r="AN701" i="1"/>
  <c r="AS701" i="1" s="1"/>
  <c r="AN702" i="1"/>
  <c r="AS702" i="1" s="1"/>
  <c r="AN703" i="1"/>
  <c r="AS703" i="1" s="1"/>
  <c r="AN704" i="1"/>
  <c r="AS704" i="1" s="1"/>
  <c r="AN705" i="1"/>
  <c r="AS705" i="1" s="1"/>
  <c r="AN706" i="1"/>
  <c r="AS706" i="1" s="1"/>
  <c r="AN707" i="1"/>
  <c r="AS707" i="1" s="1"/>
  <c r="AN708" i="1"/>
  <c r="AS708" i="1" s="1"/>
  <c r="AN709" i="1"/>
  <c r="AS709" i="1" s="1"/>
  <c r="AN710" i="1"/>
  <c r="AS710" i="1" s="1"/>
  <c r="AN711" i="1"/>
  <c r="AS711" i="1" s="1"/>
  <c r="AN712" i="1"/>
  <c r="AS712" i="1" s="1"/>
  <c r="AN713" i="1"/>
  <c r="AS713" i="1" s="1"/>
  <c r="AN714" i="1"/>
  <c r="AS714" i="1" s="1"/>
  <c r="AN715" i="1"/>
  <c r="AS715" i="1" s="1"/>
  <c r="AN716" i="1"/>
  <c r="AS716" i="1" s="1"/>
  <c r="AN717" i="1"/>
  <c r="AS717" i="1" s="1"/>
  <c r="AN718" i="1"/>
  <c r="AS718" i="1" s="1"/>
  <c r="AN719" i="1"/>
  <c r="AS719" i="1" s="1"/>
  <c r="AN720" i="1"/>
  <c r="AS720" i="1" s="1"/>
  <c r="AN721" i="1"/>
  <c r="AS721" i="1" s="1"/>
  <c r="AN722" i="1"/>
  <c r="AS722" i="1" s="1"/>
  <c r="AN723" i="1"/>
  <c r="AS723" i="1" s="1"/>
  <c r="AN724" i="1"/>
  <c r="AS724" i="1" s="1"/>
  <c r="AN725" i="1"/>
  <c r="AS725" i="1" s="1"/>
  <c r="AN726" i="1"/>
  <c r="AS726" i="1" s="1"/>
  <c r="AN727" i="1"/>
  <c r="AS727" i="1" s="1"/>
  <c r="AN728" i="1"/>
  <c r="AS728" i="1" s="1"/>
  <c r="AN729" i="1"/>
  <c r="AS729" i="1" s="1"/>
  <c r="AN730" i="1"/>
  <c r="AS730" i="1" s="1"/>
  <c r="AN731" i="1"/>
  <c r="AS731" i="1" s="1"/>
  <c r="AN732" i="1"/>
  <c r="AS732" i="1" s="1"/>
  <c r="AN733" i="1"/>
  <c r="AS733" i="1" s="1"/>
  <c r="AN734" i="1"/>
  <c r="AS734" i="1" s="1"/>
  <c r="AN735" i="1"/>
  <c r="AS735" i="1" s="1"/>
  <c r="AN736" i="1"/>
  <c r="AS736" i="1" s="1"/>
  <c r="AN737" i="1"/>
  <c r="AS737" i="1" s="1"/>
  <c r="AN738" i="1"/>
  <c r="AS738" i="1" s="1"/>
  <c r="AN739" i="1"/>
  <c r="AS739" i="1" s="1"/>
  <c r="AN740" i="1"/>
  <c r="AS740" i="1" s="1"/>
  <c r="AN741" i="1"/>
  <c r="AS741" i="1" s="1"/>
  <c r="AN742" i="1"/>
  <c r="AS742" i="1" s="1"/>
  <c r="AN743" i="1"/>
  <c r="AS743" i="1" s="1"/>
  <c r="AN744" i="1"/>
  <c r="AS744" i="1" s="1"/>
  <c r="AN745" i="1"/>
  <c r="AS745" i="1" s="1"/>
  <c r="AN746" i="1"/>
  <c r="AS746" i="1" s="1"/>
  <c r="AN747" i="1"/>
  <c r="AS747" i="1" s="1"/>
  <c r="AN748" i="1"/>
  <c r="AS748" i="1" s="1"/>
  <c r="AN749" i="1"/>
  <c r="AS749" i="1" s="1"/>
  <c r="AN750" i="1"/>
  <c r="AS750" i="1" s="1"/>
  <c r="AN751" i="1"/>
  <c r="AS751" i="1" s="1"/>
  <c r="AN752" i="1"/>
  <c r="AS752" i="1" s="1"/>
  <c r="AN753" i="1"/>
  <c r="AS753" i="1" s="1"/>
  <c r="AN754" i="1"/>
  <c r="AS754" i="1" s="1"/>
  <c r="AN755" i="1"/>
  <c r="AS755" i="1" s="1"/>
  <c r="AN756" i="1"/>
  <c r="AS756" i="1" s="1"/>
  <c r="AN757" i="1"/>
  <c r="AS757" i="1" s="1"/>
  <c r="AN758" i="1"/>
  <c r="AS758" i="1" s="1"/>
  <c r="AN759" i="1"/>
  <c r="AS759" i="1" s="1"/>
  <c r="AN760" i="1"/>
  <c r="AS760" i="1" s="1"/>
  <c r="AN761" i="1"/>
  <c r="AS761" i="1" s="1"/>
  <c r="AN762" i="1"/>
  <c r="AS762" i="1" s="1"/>
  <c r="AN763" i="1"/>
  <c r="AS763" i="1" s="1"/>
  <c r="AN764" i="1"/>
  <c r="AS764" i="1" s="1"/>
  <c r="AN765" i="1"/>
  <c r="AS765" i="1" s="1"/>
  <c r="AN766" i="1"/>
  <c r="AS766" i="1" s="1"/>
  <c r="AN767" i="1"/>
  <c r="AS767" i="1" s="1"/>
  <c r="AN768" i="1"/>
  <c r="AS768" i="1" s="1"/>
  <c r="AN769" i="1"/>
  <c r="AS769" i="1" s="1"/>
  <c r="AN770" i="1"/>
  <c r="AS770" i="1" s="1"/>
  <c r="AN771" i="1"/>
  <c r="AS771" i="1" s="1"/>
  <c r="AN772" i="1"/>
  <c r="AS772" i="1" s="1"/>
  <c r="AN773" i="1"/>
  <c r="AS773" i="1" s="1"/>
  <c r="AN774" i="1"/>
  <c r="AS774" i="1" s="1"/>
  <c r="AN775" i="1"/>
  <c r="AS775" i="1" s="1"/>
  <c r="AN776" i="1"/>
  <c r="AS776" i="1" s="1"/>
  <c r="AN777" i="1"/>
  <c r="AS777" i="1" s="1"/>
  <c r="AN778" i="1"/>
  <c r="AS778" i="1" s="1"/>
  <c r="AN779" i="1"/>
  <c r="AS779" i="1" s="1"/>
  <c r="AN780" i="1"/>
  <c r="AS780" i="1" s="1"/>
  <c r="AN781" i="1"/>
  <c r="AS781" i="1" s="1"/>
  <c r="AN782" i="1"/>
  <c r="AS782" i="1" s="1"/>
  <c r="AN783" i="1"/>
  <c r="AS783" i="1" s="1"/>
  <c r="AN784" i="1"/>
  <c r="AS784" i="1" s="1"/>
  <c r="AN785" i="1"/>
  <c r="AS785" i="1" s="1"/>
  <c r="AN786" i="1"/>
  <c r="AS786" i="1" s="1"/>
  <c r="AN787" i="1"/>
  <c r="AS787" i="1" s="1"/>
  <c r="AN788" i="1"/>
  <c r="AS788" i="1" s="1"/>
  <c r="AN789" i="1"/>
  <c r="AS789" i="1" s="1"/>
  <c r="AN790" i="1"/>
  <c r="AS790" i="1" s="1"/>
  <c r="AN791" i="1"/>
  <c r="AS791" i="1" s="1"/>
  <c r="AN792" i="1"/>
  <c r="AS792" i="1" s="1"/>
  <c r="AN793" i="1"/>
  <c r="AS793" i="1" s="1"/>
  <c r="AN794" i="1"/>
  <c r="AS794" i="1" s="1"/>
  <c r="AN795" i="1"/>
  <c r="AS795" i="1" s="1"/>
  <c r="AN796" i="1"/>
  <c r="AS796" i="1" s="1"/>
  <c r="AN797" i="1"/>
  <c r="AS797" i="1" s="1"/>
  <c r="AN798" i="1"/>
  <c r="AS798" i="1" s="1"/>
  <c r="AN799" i="1"/>
  <c r="AS799" i="1" s="1"/>
  <c r="AN800" i="1"/>
  <c r="AS800" i="1" s="1"/>
  <c r="AN801" i="1"/>
  <c r="AS801" i="1" s="1"/>
  <c r="AN802" i="1"/>
  <c r="AS802" i="1" s="1"/>
  <c r="AN803" i="1"/>
  <c r="AS803" i="1" s="1"/>
  <c r="AN804" i="1"/>
  <c r="AS804" i="1" s="1"/>
  <c r="AN805" i="1"/>
  <c r="AS805" i="1" s="1"/>
  <c r="AN806" i="1"/>
  <c r="AS806" i="1" s="1"/>
  <c r="AN807" i="1"/>
  <c r="AS807" i="1" s="1"/>
  <c r="AN808" i="1"/>
  <c r="AS808" i="1" s="1"/>
  <c r="AN809" i="1"/>
  <c r="AS809" i="1" s="1"/>
  <c r="AN810" i="1"/>
  <c r="AS810" i="1" s="1"/>
  <c r="AN811" i="1"/>
  <c r="AS811" i="1" s="1"/>
  <c r="AN812" i="1"/>
  <c r="AS812" i="1" s="1"/>
  <c r="AN813" i="1"/>
  <c r="AS813" i="1" s="1"/>
  <c r="AN814" i="1"/>
  <c r="AS814" i="1" s="1"/>
  <c r="AN815" i="1"/>
  <c r="AS815" i="1" s="1"/>
  <c r="AN816" i="1"/>
  <c r="AS816" i="1" s="1"/>
  <c r="AN817" i="1"/>
  <c r="AS817" i="1" s="1"/>
  <c r="AN818" i="1"/>
  <c r="AS818" i="1" s="1"/>
  <c r="AN819" i="1"/>
  <c r="AS819" i="1" s="1"/>
  <c r="AN820" i="1"/>
  <c r="AS820" i="1" s="1"/>
  <c r="AN821" i="1"/>
  <c r="AS821" i="1" s="1"/>
  <c r="AN822" i="1"/>
  <c r="AS822" i="1" s="1"/>
  <c r="AN823" i="1"/>
  <c r="AS823" i="1" s="1"/>
  <c r="AN824" i="1"/>
  <c r="AS824" i="1" s="1"/>
  <c r="AN825" i="1"/>
  <c r="AS825" i="1" s="1"/>
  <c r="AN826" i="1"/>
  <c r="AS826" i="1" s="1"/>
  <c r="AN827" i="1"/>
  <c r="AS827" i="1" s="1"/>
  <c r="AN828" i="1"/>
  <c r="AS828" i="1" s="1"/>
  <c r="AN829" i="1"/>
  <c r="AS829" i="1" s="1"/>
  <c r="AN830" i="1"/>
  <c r="AS830" i="1" s="1"/>
  <c r="AN831" i="1"/>
  <c r="AS831" i="1" s="1"/>
  <c r="AN832" i="1"/>
  <c r="AS832" i="1" s="1"/>
  <c r="AN833" i="1"/>
  <c r="AS833" i="1" s="1"/>
  <c r="AN834" i="1"/>
  <c r="AS834" i="1" s="1"/>
  <c r="AN835" i="1"/>
  <c r="AS835" i="1" s="1"/>
  <c r="AN836" i="1"/>
  <c r="AS836" i="1" s="1"/>
  <c r="AN837" i="1"/>
  <c r="AS837" i="1" s="1"/>
  <c r="AN838" i="1"/>
  <c r="AS838" i="1" s="1"/>
  <c r="AN839" i="1"/>
  <c r="AS839" i="1" s="1"/>
  <c r="AN840" i="1"/>
  <c r="AS840" i="1" s="1"/>
  <c r="AN841" i="1"/>
  <c r="AS841" i="1" s="1"/>
  <c r="AN842" i="1"/>
  <c r="AS842" i="1" s="1"/>
  <c r="AN843" i="1"/>
  <c r="AS843" i="1" s="1"/>
  <c r="AN844" i="1"/>
  <c r="AS844" i="1" s="1"/>
  <c r="AN845" i="1"/>
  <c r="AS845" i="1" s="1"/>
  <c r="AN846" i="1"/>
  <c r="AS846" i="1" s="1"/>
  <c r="AN847" i="1"/>
  <c r="AS847" i="1" s="1"/>
  <c r="AN848" i="1"/>
  <c r="AS848" i="1" s="1"/>
  <c r="AN849" i="1"/>
  <c r="AS849" i="1" s="1"/>
  <c r="AN850" i="1"/>
  <c r="AS850" i="1" s="1"/>
  <c r="AN851" i="1"/>
  <c r="AS851" i="1" s="1"/>
  <c r="AN852" i="1"/>
  <c r="AS852" i="1" s="1"/>
  <c r="AN853" i="1"/>
  <c r="AS853" i="1" s="1"/>
  <c r="AN854" i="1"/>
  <c r="AS854" i="1" s="1"/>
  <c r="AN855" i="1"/>
  <c r="AS855" i="1" s="1"/>
  <c r="AN856" i="1"/>
  <c r="AS856" i="1" s="1"/>
  <c r="AN857" i="1"/>
  <c r="AS857" i="1" s="1"/>
  <c r="AN858" i="1"/>
  <c r="AS858" i="1" s="1"/>
  <c r="AN859" i="1"/>
  <c r="AS859" i="1" s="1"/>
  <c r="AN860" i="1"/>
  <c r="AS860" i="1" s="1"/>
  <c r="AN861" i="1"/>
  <c r="AS861" i="1" s="1"/>
  <c r="AN862" i="1"/>
  <c r="AS862" i="1" s="1"/>
  <c r="AN863" i="1"/>
  <c r="AS863" i="1" s="1"/>
  <c r="AN864" i="1"/>
  <c r="AS864" i="1" s="1"/>
  <c r="AN865" i="1"/>
  <c r="AS865" i="1" s="1"/>
  <c r="AN866" i="1"/>
  <c r="AS866" i="1" s="1"/>
  <c r="AN867" i="1"/>
  <c r="AS867" i="1" s="1"/>
  <c r="AN868" i="1"/>
  <c r="AS868" i="1" s="1"/>
  <c r="AN869" i="1"/>
  <c r="AS869" i="1" s="1"/>
  <c r="AN870" i="1"/>
  <c r="AS870" i="1" s="1"/>
  <c r="AN871" i="1"/>
  <c r="AS871" i="1" s="1"/>
  <c r="AN872" i="1"/>
  <c r="AS872" i="1" s="1"/>
  <c r="AN873" i="1"/>
  <c r="AS873" i="1" s="1"/>
  <c r="AN874" i="1"/>
  <c r="AS874" i="1" s="1"/>
  <c r="AN875" i="1"/>
  <c r="AS875" i="1" s="1"/>
  <c r="AN876" i="1"/>
  <c r="AS876" i="1" s="1"/>
  <c r="AN877" i="1"/>
  <c r="AS877" i="1" s="1"/>
  <c r="AN878" i="1"/>
  <c r="AS878" i="1" s="1"/>
  <c r="AN879" i="1"/>
  <c r="AS879" i="1" s="1"/>
  <c r="AN880" i="1"/>
  <c r="AS880" i="1" s="1"/>
  <c r="AN881" i="1"/>
  <c r="AS881" i="1" s="1"/>
  <c r="AN882" i="1"/>
  <c r="AS882" i="1" s="1"/>
  <c r="AN883" i="1"/>
  <c r="AS883" i="1" s="1"/>
  <c r="AN884" i="1"/>
  <c r="AS884" i="1" s="1"/>
  <c r="AN885" i="1"/>
  <c r="AS885" i="1" s="1"/>
  <c r="AN886" i="1"/>
  <c r="AS886" i="1" s="1"/>
  <c r="AN887" i="1"/>
  <c r="AS887" i="1" s="1"/>
  <c r="AN888" i="1"/>
  <c r="AS888" i="1" s="1"/>
  <c r="AN889" i="1"/>
  <c r="AS889" i="1" s="1"/>
  <c r="AN890" i="1"/>
  <c r="AS890" i="1" s="1"/>
  <c r="AN891" i="1"/>
  <c r="AS891" i="1" s="1"/>
  <c r="AN892" i="1"/>
  <c r="AS892" i="1" s="1"/>
  <c r="AN893" i="1"/>
  <c r="AS893" i="1" s="1"/>
  <c r="AN894" i="1"/>
  <c r="AS894" i="1" s="1"/>
  <c r="AN895" i="1"/>
  <c r="AS895" i="1" s="1"/>
  <c r="AN896" i="1"/>
  <c r="AS896" i="1" s="1"/>
  <c r="AN897" i="1"/>
  <c r="AS897" i="1" s="1"/>
  <c r="AN898" i="1"/>
  <c r="AS898" i="1" s="1"/>
  <c r="AN899" i="1"/>
  <c r="AS899" i="1" s="1"/>
  <c r="AN900" i="1"/>
  <c r="AS900" i="1" s="1"/>
  <c r="AN901" i="1"/>
  <c r="AS901" i="1" s="1"/>
  <c r="AN902" i="1"/>
  <c r="AS902" i="1" s="1"/>
  <c r="AN903" i="1"/>
  <c r="AS903" i="1" s="1"/>
  <c r="AN904" i="1"/>
  <c r="AS904" i="1" s="1"/>
  <c r="AN905" i="1"/>
  <c r="AS905" i="1" s="1"/>
  <c r="AN906" i="1"/>
  <c r="AS906" i="1" s="1"/>
  <c r="AN907" i="1"/>
  <c r="AS907" i="1" s="1"/>
  <c r="AN908" i="1"/>
  <c r="AS908" i="1" s="1"/>
  <c r="AN909" i="1"/>
  <c r="AS909" i="1" s="1"/>
  <c r="AN910" i="1"/>
  <c r="AS910" i="1" s="1"/>
  <c r="AN911" i="1"/>
  <c r="AS911" i="1" s="1"/>
  <c r="AN912" i="1"/>
  <c r="AS912" i="1" s="1"/>
  <c r="AN913" i="1"/>
  <c r="AS913" i="1" s="1"/>
  <c r="AN914" i="1"/>
  <c r="AS914" i="1" s="1"/>
  <c r="AN915" i="1"/>
  <c r="AS915" i="1" s="1"/>
  <c r="AN916" i="1"/>
  <c r="AS916" i="1" s="1"/>
  <c r="AN917" i="1"/>
  <c r="AS917" i="1" s="1"/>
  <c r="AN918" i="1"/>
  <c r="AS918" i="1" s="1"/>
  <c r="AN919" i="1"/>
  <c r="AS919" i="1" s="1"/>
  <c r="AN920" i="1"/>
  <c r="AS920" i="1" s="1"/>
  <c r="AN921" i="1"/>
  <c r="AS921" i="1" s="1"/>
  <c r="AN922" i="1"/>
  <c r="AS922" i="1" s="1"/>
  <c r="AN923" i="1"/>
  <c r="AS923" i="1" s="1"/>
  <c r="AN924" i="1"/>
  <c r="AS924" i="1" s="1"/>
  <c r="AN925" i="1"/>
  <c r="AS925" i="1" s="1"/>
  <c r="AN926" i="1"/>
  <c r="AS926" i="1" s="1"/>
  <c r="AN927" i="1"/>
  <c r="AS927" i="1" s="1"/>
  <c r="AN928" i="1"/>
  <c r="AS928" i="1" s="1"/>
  <c r="AN929" i="1"/>
  <c r="AS929" i="1" s="1"/>
  <c r="AN930" i="1"/>
  <c r="AS930" i="1" s="1"/>
  <c r="AN931" i="1"/>
  <c r="AS931" i="1" s="1"/>
  <c r="AN932" i="1"/>
  <c r="AS932" i="1" s="1"/>
  <c r="AN933" i="1"/>
  <c r="AS933" i="1" s="1"/>
  <c r="AN934" i="1"/>
  <c r="AS934" i="1" s="1"/>
  <c r="AN935" i="1"/>
  <c r="AS935" i="1" s="1"/>
  <c r="AN936" i="1"/>
  <c r="AS936" i="1" s="1"/>
  <c r="AN937" i="1"/>
  <c r="AS937" i="1" s="1"/>
  <c r="AN938" i="1"/>
  <c r="AS938" i="1" s="1"/>
  <c r="AN939" i="1"/>
  <c r="AS939" i="1" s="1"/>
  <c r="AN940" i="1"/>
  <c r="AS940" i="1" s="1"/>
  <c r="AN941" i="1"/>
  <c r="AS941" i="1" s="1"/>
  <c r="AN942" i="1"/>
  <c r="AS942" i="1" s="1"/>
  <c r="AN943" i="1"/>
  <c r="AS943" i="1" s="1"/>
  <c r="AN944" i="1"/>
  <c r="AS944" i="1" s="1"/>
  <c r="AN945" i="1"/>
  <c r="AS945" i="1" s="1"/>
  <c r="AN946" i="1"/>
  <c r="AS946" i="1" s="1"/>
  <c r="AN947" i="1"/>
  <c r="AS947" i="1" s="1"/>
  <c r="AN948" i="1"/>
  <c r="AS948" i="1" s="1"/>
  <c r="AN949" i="1"/>
  <c r="AS949" i="1" s="1"/>
  <c r="AN950" i="1"/>
  <c r="AS950" i="1" s="1"/>
  <c r="AN951" i="1"/>
  <c r="AS951" i="1" s="1"/>
  <c r="AN952" i="1"/>
  <c r="AS952" i="1" s="1"/>
  <c r="AN953" i="1"/>
  <c r="AS953" i="1" s="1"/>
  <c r="AN954" i="1"/>
  <c r="AS954" i="1" s="1"/>
  <c r="AN955" i="1"/>
  <c r="AS955" i="1" s="1"/>
  <c r="AN956" i="1"/>
  <c r="AS956" i="1" s="1"/>
  <c r="AN957" i="1"/>
  <c r="AS957" i="1" s="1"/>
  <c r="AN958" i="1"/>
  <c r="AS958" i="1" s="1"/>
  <c r="AN959" i="1"/>
  <c r="AS959" i="1" s="1"/>
  <c r="AN960" i="1"/>
  <c r="AS960" i="1" s="1"/>
  <c r="AN961" i="1"/>
  <c r="AS961" i="1" s="1"/>
  <c r="AN962" i="1"/>
  <c r="AS962" i="1" s="1"/>
  <c r="AN963" i="1"/>
  <c r="AS963" i="1" s="1"/>
  <c r="AN964" i="1"/>
  <c r="AS964" i="1" s="1"/>
  <c r="AN965" i="1"/>
  <c r="AS965" i="1" s="1"/>
  <c r="AN966" i="1"/>
  <c r="AS966" i="1" s="1"/>
  <c r="AN967" i="1"/>
  <c r="AS967" i="1" s="1"/>
  <c r="AN968" i="1"/>
  <c r="AS968" i="1" s="1"/>
  <c r="AN969" i="1"/>
  <c r="AS969" i="1" s="1"/>
  <c r="AN970" i="1"/>
  <c r="AS970" i="1" s="1"/>
  <c r="AN971" i="1"/>
  <c r="AS971" i="1" s="1"/>
  <c r="AN972" i="1"/>
  <c r="AS972" i="1" s="1"/>
  <c r="AN973" i="1"/>
  <c r="AS973" i="1" s="1"/>
  <c r="AN974" i="1"/>
  <c r="AS974" i="1" s="1"/>
  <c r="AN975" i="1"/>
  <c r="AS975" i="1" s="1"/>
  <c r="AN976" i="1"/>
  <c r="AS976" i="1" s="1"/>
  <c r="AN977" i="1"/>
  <c r="AS977" i="1" s="1"/>
  <c r="AN978" i="1"/>
  <c r="AS978" i="1" s="1"/>
  <c r="AN979" i="1"/>
  <c r="AS979" i="1" s="1"/>
  <c r="AN980" i="1"/>
  <c r="AS980" i="1" s="1"/>
  <c r="AN981" i="1"/>
  <c r="AS981" i="1" s="1"/>
  <c r="AN982" i="1"/>
  <c r="AS982" i="1" s="1"/>
  <c r="AN983" i="1"/>
  <c r="AS983" i="1" s="1"/>
  <c r="AN984" i="1"/>
  <c r="AS984" i="1" s="1"/>
  <c r="AN985" i="1"/>
  <c r="AS985" i="1" s="1"/>
  <c r="AN986" i="1"/>
  <c r="AS986" i="1" s="1"/>
  <c r="AN987" i="1"/>
  <c r="AS987" i="1" s="1"/>
  <c r="AN988" i="1"/>
  <c r="AS988" i="1" s="1"/>
  <c r="AN989" i="1"/>
  <c r="AS989" i="1" s="1"/>
  <c r="AN990" i="1"/>
  <c r="AS990" i="1" s="1"/>
  <c r="AN991" i="1"/>
  <c r="AS991" i="1" s="1"/>
  <c r="AN992" i="1"/>
  <c r="AS992" i="1" s="1"/>
  <c r="AN993" i="1"/>
  <c r="AS993" i="1" s="1"/>
  <c r="AN994" i="1"/>
  <c r="AS994" i="1" s="1"/>
  <c r="AN995" i="1"/>
  <c r="AS995" i="1" s="1"/>
  <c r="AN996" i="1"/>
  <c r="AS996" i="1" s="1"/>
  <c r="AN997" i="1"/>
  <c r="AS997" i="1" s="1"/>
  <c r="AN998" i="1"/>
  <c r="AS998" i="1" s="1"/>
  <c r="AN999" i="1"/>
  <c r="AS999" i="1" s="1"/>
  <c r="AN1000" i="1"/>
  <c r="AS1000" i="1" s="1"/>
  <c r="AN1001" i="1"/>
  <c r="AS1001" i="1" s="1"/>
  <c r="AN2" i="1"/>
  <c r="AS2" i="1" s="1"/>
</calcChain>
</file>

<file path=xl/sharedStrings.xml><?xml version="1.0" encoding="utf-8"?>
<sst xmlns="http://schemas.openxmlformats.org/spreadsheetml/2006/main" count="19026" uniqueCount="1199">
  <si>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</si>
  <si>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</si>
  <si>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</si>
  <si>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</si>
  <si>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</si>
  <si>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</si>
  <si>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</si>
  <si>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</si>
  <si>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</si>
  <si>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</si>
  <si>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</si>
  <si>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</si>
  <si>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</si>
  <si>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</si>
  <si>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</si>
  <si>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</si>
  <si>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</si>
  <si>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</si>
  <si>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</si>
  <si>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</si>
  <si>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</si>
  <si>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</si>
  <si>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</si>
  <si>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</si>
  <si>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</si>
  <si>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</si>
  <si>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</si>
  <si>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</si>
  <si>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</si>
  <si>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</si>
  <si>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</si>
  <si>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</si>
  <si>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</si>
  <si>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</si>
  <si>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</si>
  <si>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</si>
  <si>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</si>
  <si>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</si>
  <si>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</si>
  <si>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</si>
  <si>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</si>
  <si>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</si>
  <si>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</si>
  <si>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</si>
  <si>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</si>
  <si>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</si>
  <si>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</si>
  <si>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</si>
  <si>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</si>
  <si>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</si>
  <si>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</si>
  <si>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</si>
  <si>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</si>
  <si>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</si>
  <si>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</si>
  <si>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</si>
  <si>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</si>
  <si>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</si>
  <si>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</si>
  <si>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</si>
  <si>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</si>
  <si>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</si>
  <si>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</si>
  <si>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</si>
  <si>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</si>
  <si>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</si>
  <si>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</si>
  <si>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</si>
  <si>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</si>
  <si>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</si>
  <si>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</si>
  <si>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</si>
  <si>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</si>
  <si>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</si>
  <si>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</si>
  <si>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</si>
  <si>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</si>
  <si>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</si>
  <si>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</si>
  <si>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</si>
  <si>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</si>
  <si>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</si>
  <si>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</si>
  <si>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</si>
  <si>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</si>
  <si>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</si>
  <si>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</si>
  <si>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</si>
  <si>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</si>
  <si>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</si>
  <si>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</si>
  <si>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</si>
  <si>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</si>
  <si>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</si>
  <si>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</si>
  <si>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</si>
  <si>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</si>
  <si>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</si>
  <si>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</si>
  <si>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</si>
  <si>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</si>
  <si>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</si>
  <si>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</si>
  <si>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</si>
  <si>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</si>
  <si>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</si>
  <si>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</si>
  <si>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</si>
  <si>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</si>
  <si>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</si>
  <si>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</si>
  <si>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</si>
  <si>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</si>
  <si>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</si>
  <si>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</si>
  <si>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</si>
  <si>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</si>
  <si>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</si>
  <si>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</si>
  <si>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</si>
  <si>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</si>
  <si>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</si>
  <si>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</si>
  <si>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</si>
  <si>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</si>
  <si>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</si>
  <si>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</si>
  <si>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</si>
  <si>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</si>
  <si>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</si>
  <si>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</si>
  <si>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</si>
  <si>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</si>
  <si>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</si>
  <si>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</si>
  <si>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</si>
  <si>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</si>
  <si>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</si>
  <si>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</si>
  <si>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</si>
  <si>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</si>
  <si>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</si>
  <si>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</si>
  <si>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</si>
  <si>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</si>
  <si>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</si>
  <si>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</si>
  <si>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</si>
  <si>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</si>
  <si>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</si>
  <si>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</si>
  <si>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</si>
  <si>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</si>
  <si>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</si>
  <si>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</si>
  <si>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</si>
  <si>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</si>
  <si>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</si>
  <si>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</si>
  <si>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</si>
  <si>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</si>
  <si>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</si>
  <si>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</si>
  <si>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</si>
  <si>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</si>
  <si>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</si>
  <si>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</si>
  <si>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</si>
  <si>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</si>
  <si>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</si>
  <si>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</si>
  <si>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</si>
  <si>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</si>
  <si>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</si>
  <si>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</si>
  <si>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</si>
  <si>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</si>
  <si>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</si>
  <si>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</si>
  <si>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</si>
  <si>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</si>
  <si>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</si>
  <si>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</si>
  <si>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</si>
  <si>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</si>
  <si>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</si>
  <si>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</si>
  <si>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</si>
  <si>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</si>
  <si>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</si>
  <si>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</si>
  <si>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</si>
  <si>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</si>
  <si>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</si>
  <si>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</si>
  <si>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</si>
  <si>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</si>
  <si>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</si>
  <si>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</si>
  <si>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</si>
  <si>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</si>
  <si>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</si>
  <si>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</si>
  <si>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</si>
  <si>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</si>
  <si>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</si>
  <si>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</si>
  <si>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</si>
  <si>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</si>
  <si>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</si>
  <si>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</si>
  <si>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</si>
  <si>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</si>
  <si>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</si>
  <si>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</si>
  <si>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</si>
  <si>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</si>
  <si>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</si>
  <si>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</si>
  <si>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</si>
  <si>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</si>
  <si>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</si>
  <si>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</si>
  <si>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</si>
  <si>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</si>
  <si>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</si>
  <si>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</si>
  <si>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</si>
  <si>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</si>
  <si>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</si>
  <si>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</si>
  <si>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</si>
  <si>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</si>
  <si>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</si>
  <si>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</si>
  <si>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</si>
  <si>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</si>
  <si>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</si>
  <si>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</si>
  <si>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</si>
  <si>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</si>
  <si>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</si>
  <si>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</si>
  <si>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</si>
  <si>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</si>
  <si>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</si>
  <si>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</si>
  <si>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</si>
  <si>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</si>
  <si>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</si>
  <si>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</si>
  <si>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</si>
  <si>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</si>
  <si>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</si>
  <si>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</si>
  <si>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</si>
  <si>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</si>
  <si>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</si>
  <si>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</si>
  <si>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</si>
  <si>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</si>
  <si>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</si>
  <si>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</si>
  <si>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</si>
  <si>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</si>
  <si>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</si>
  <si>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</si>
  <si>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</si>
  <si>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</si>
  <si>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</si>
  <si>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</si>
  <si>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</si>
  <si>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</si>
  <si>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</si>
  <si>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</si>
  <si>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</si>
  <si>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</si>
  <si>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</si>
  <si>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</si>
  <si>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</si>
  <si>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</si>
  <si>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</si>
  <si>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</si>
  <si>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</si>
  <si>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</si>
  <si>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</si>
  <si>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</si>
  <si>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</si>
  <si>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</si>
  <si>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</si>
  <si>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</si>
  <si>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</si>
  <si>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</si>
  <si>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</si>
  <si>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</si>
  <si>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</si>
  <si>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</si>
  <si>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</si>
  <si>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</si>
  <si>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</si>
  <si>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</si>
  <si>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</si>
  <si>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</si>
  <si>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</si>
  <si>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</si>
  <si>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</si>
  <si>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</si>
  <si>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</si>
  <si>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</si>
  <si>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</si>
  <si>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</si>
  <si>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</si>
  <si>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</si>
  <si>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</si>
  <si>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</si>
  <si>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</si>
  <si>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</si>
  <si>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</si>
  <si>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</si>
  <si>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</si>
  <si>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</si>
  <si>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</si>
  <si>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</si>
  <si>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</si>
  <si>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</si>
  <si>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</si>
  <si>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</si>
  <si>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</si>
  <si>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</si>
  <si>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</si>
  <si>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</si>
  <si>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</si>
  <si>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</si>
  <si>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</si>
  <si>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</si>
  <si>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</si>
  <si>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</si>
  <si>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</si>
  <si>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</si>
  <si>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</si>
  <si>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</si>
  <si>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</si>
  <si>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</si>
  <si>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</si>
  <si>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</si>
  <si>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</si>
  <si>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</si>
  <si>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</si>
  <si>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</si>
  <si>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</si>
  <si>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</si>
  <si>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</si>
  <si>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</si>
  <si>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</si>
  <si>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</si>
  <si>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</si>
  <si>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</si>
  <si>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</si>
  <si>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</si>
  <si>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</si>
  <si>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</si>
  <si>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</si>
  <si>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</si>
  <si>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</si>
  <si>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</si>
  <si>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</si>
  <si>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</si>
  <si>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</si>
  <si>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</si>
  <si>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</si>
  <si>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</si>
  <si>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</si>
  <si>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</si>
  <si>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</si>
  <si>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</si>
  <si>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</si>
  <si>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</si>
  <si>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</si>
  <si>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</si>
  <si>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</si>
  <si>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</si>
  <si>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</si>
  <si>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</si>
  <si>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</si>
  <si>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</si>
  <si>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</si>
  <si>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</si>
  <si>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</si>
  <si>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</si>
  <si>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</si>
  <si>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</si>
  <si>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</si>
  <si>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</si>
  <si>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</si>
  <si>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</si>
  <si>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</si>
  <si>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</si>
  <si>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</si>
  <si>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</si>
  <si>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</si>
  <si>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</si>
  <si>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</si>
  <si>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</si>
  <si>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</si>
  <si>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</si>
  <si>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</si>
  <si>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</si>
  <si>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</si>
  <si>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</si>
  <si>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</si>
  <si>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</si>
  <si>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</si>
  <si>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</si>
  <si>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</si>
  <si>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</si>
  <si>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</si>
  <si>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</si>
  <si>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</si>
  <si>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</si>
  <si>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</si>
  <si>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</si>
  <si>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</si>
  <si>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</si>
  <si>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</si>
  <si>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</si>
  <si>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</si>
  <si>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</si>
  <si>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</si>
  <si>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</si>
  <si>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</si>
  <si>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</si>
  <si>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</si>
  <si>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</si>
  <si>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</si>
  <si>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</si>
  <si>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</si>
  <si>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</si>
  <si>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</si>
  <si>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</si>
  <si>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</si>
  <si>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</si>
  <si>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</si>
  <si>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</si>
  <si>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</si>
  <si>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</si>
  <si>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</si>
  <si>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</si>
  <si>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</si>
  <si>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</si>
  <si>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</si>
  <si>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</si>
  <si>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</si>
  <si>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</si>
  <si>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</si>
  <si>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</si>
  <si>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</si>
  <si>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</si>
  <si>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</si>
  <si>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</si>
  <si>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</si>
  <si>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</si>
  <si>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</si>
  <si>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</si>
  <si>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</si>
  <si>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</si>
  <si>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</si>
  <si>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</si>
  <si>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</si>
  <si>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</si>
  <si>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</si>
  <si>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</si>
  <si>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</si>
  <si>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</si>
  <si>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</si>
  <si>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</si>
  <si>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</si>
  <si>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</si>
  <si>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</si>
  <si>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</si>
  <si>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</si>
  <si>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</si>
  <si>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</si>
  <si>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</si>
  <si>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</si>
  <si>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</si>
  <si>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</si>
  <si>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</si>
  <si>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</si>
  <si>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</si>
  <si>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</si>
  <si>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</si>
  <si>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</si>
  <si>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</si>
  <si>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</si>
  <si>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</si>
  <si>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</si>
  <si>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</si>
  <si>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</si>
  <si>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</si>
  <si>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</si>
  <si>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</si>
  <si>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</si>
  <si>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</si>
  <si>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</si>
  <si>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</si>
  <si>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</si>
  <si>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</si>
  <si>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</si>
  <si>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</si>
  <si>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</si>
  <si>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</si>
  <si>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</si>
  <si>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</si>
  <si>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</si>
  <si>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</si>
  <si>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</si>
  <si>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</si>
  <si>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</si>
  <si>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</si>
  <si>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</si>
  <si>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</si>
  <si>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</si>
  <si>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</si>
  <si>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</si>
  <si>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</si>
  <si>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</si>
  <si>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</si>
  <si>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</si>
  <si>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</si>
  <si>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</si>
  <si>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</si>
  <si>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</si>
  <si>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</si>
  <si>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</si>
  <si>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</si>
  <si>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</si>
  <si>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</si>
  <si>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</si>
  <si>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</si>
  <si>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</si>
  <si>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</si>
  <si>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</si>
  <si>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</si>
  <si>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</si>
  <si>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</si>
  <si>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</si>
  <si>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</si>
  <si>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</si>
  <si>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</si>
  <si>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</si>
  <si>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</si>
  <si>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</si>
  <si>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</si>
  <si>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</si>
  <si>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</si>
  <si>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</si>
  <si>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</si>
  <si>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</si>
  <si>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</si>
  <si>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</si>
  <si>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</si>
  <si>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</si>
  <si>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</si>
  <si>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</si>
  <si>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</si>
  <si>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</si>
  <si>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</si>
  <si>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</si>
  <si>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</si>
  <si>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</si>
  <si>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</si>
  <si>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</si>
  <si>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</si>
  <si>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</si>
  <si>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</si>
  <si>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</si>
  <si>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</si>
  <si>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</si>
  <si>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</si>
  <si>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</si>
  <si>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</si>
  <si>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</si>
  <si>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</si>
  <si>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</si>
  <si>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</si>
  <si>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</si>
  <si>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</si>
  <si>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</si>
  <si>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</si>
  <si>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</si>
  <si>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</si>
  <si>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</si>
  <si>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</si>
  <si>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</si>
  <si>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</si>
  <si>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</si>
  <si>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</si>
  <si>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</si>
  <si>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</si>
  <si>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</si>
  <si>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</si>
  <si>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</si>
  <si>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</si>
  <si>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</si>
  <si>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</si>
  <si>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</si>
  <si>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</si>
  <si>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</si>
  <si>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</si>
  <si>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</si>
  <si>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</si>
  <si>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</si>
  <si>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</si>
  <si>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</si>
  <si>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</si>
  <si>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</si>
  <si>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</si>
  <si>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</si>
  <si>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</si>
  <si>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</si>
  <si>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</si>
  <si>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</si>
  <si>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</si>
  <si>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</si>
  <si>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</si>
  <si>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</si>
  <si>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</si>
  <si>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</si>
  <si>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</si>
  <si>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</si>
  <si>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</si>
  <si>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</si>
  <si>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</si>
  <si>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</si>
  <si>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</si>
  <si>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</si>
  <si>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</si>
  <si>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</si>
  <si>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</si>
  <si>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</si>
  <si>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</si>
  <si>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</si>
  <si>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</si>
  <si>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</si>
  <si>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</si>
  <si>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</si>
  <si>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</si>
  <si>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</si>
  <si>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</si>
  <si>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</si>
  <si>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</si>
  <si>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</si>
  <si>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</si>
  <si>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</si>
  <si>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</si>
  <si>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</si>
  <si>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</si>
  <si>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</si>
  <si>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</si>
  <si>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</si>
  <si>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</si>
  <si>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</si>
  <si>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</si>
  <si>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</si>
  <si>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</si>
  <si>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</si>
  <si>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</si>
  <si>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</si>
  <si>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</si>
  <si>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</si>
  <si>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</si>
  <si>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</si>
  <si>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</si>
  <si>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</si>
  <si>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</si>
  <si>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</si>
  <si>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</si>
  <si>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</si>
  <si>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</si>
  <si>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</si>
  <si>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</si>
  <si>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</si>
  <si>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</si>
  <si>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</si>
  <si>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</si>
  <si>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</si>
  <si>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</si>
  <si>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</si>
  <si>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</si>
  <si>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</si>
  <si>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</si>
  <si>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</si>
  <si>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</si>
  <si>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</si>
  <si>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</si>
  <si>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</si>
  <si>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</si>
  <si>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</si>
  <si>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</si>
  <si>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</si>
  <si>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</si>
  <si>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</si>
  <si>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</si>
  <si>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</si>
  <si>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</si>
  <si>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</si>
  <si>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</si>
  <si>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</si>
  <si>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</si>
  <si>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</si>
  <si>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</si>
  <si>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</si>
  <si>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</si>
  <si>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</si>
  <si>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</si>
  <si>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</si>
  <si>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</si>
  <si>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</si>
  <si>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</si>
  <si>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</si>
  <si>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</si>
  <si>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</si>
  <si>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</si>
  <si>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</si>
  <si>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</si>
  <si>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</si>
  <si>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</si>
  <si>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</si>
  <si>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</si>
  <si>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</si>
  <si>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</si>
  <si>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</si>
  <si>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</si>
  <si>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</si>
  <si>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</si>
  <si>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</si>
  <si>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</si>
  <si>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</si>
  <si>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</si>
  <si>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</si>
  <si>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</si>
  <si>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</si>
  <si>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</si>
  <si>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</si>
  <si>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</si>
  <si>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</si>
  <si>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</si>
  <si>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</si>
  <si>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</si>
  <si>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</si>
  <si>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</si>
  <si>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</si>
  <si>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</si>
  <si>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</si>
  <si>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</si>
  <si>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</si>
  <si>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</si>
  <si>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</si>
  <si>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</si>
  <si>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</si>
  <si>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</si>
  <si>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</si>
  <si>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</si>
  <si>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</si>
  <si>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</si>
  <si>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</si>
  <si>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</si>
  <si>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</si>
  <si>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</si>
  <si>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</si>
  <si>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</si>
  <si>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</si>
  <si>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</si>
  <si>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</si>
  <si>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</si>
  <si>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</si>
  <si>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</si>
  <si>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</si>
  <si>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</si>
  <si>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</si>
  <si>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</si>
  <si>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</si>
  <si>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</si>
  <si>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</si>
  <si>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</si>
  <si>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</si>
  <si>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</si>
  <si>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</si>
  <si>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</si>
  <si>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</si>
  <si>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</si>
  <si>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</si>
  <si>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</si>
  <si>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</si>
  <si>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</si>
  <si>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</si>
  <si>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</si>
  <si>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</si>
  <si>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</si>
  <si>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</si>
  <si>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</si>
  <si>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</si>
  <si>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</si>
  <si>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</si>
  <si>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</si>
  <si>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</si>
  <si>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</si>
  <si>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</si>
  <si>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</si>
  <si>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</si>
  <si>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</si>
  <si>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</si>
  <si>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</si>
  <si>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</si>
  <si>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</si>
  <si>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</si>
  <si>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</si>
  <si>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</si>
  <si>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</si>
  <si>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</si>
  <si>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</si>
  <si>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</si>
  <si>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</si>
  <si>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</si>
  <si>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</si>
  <si>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</si>
  <si>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</si>
  <si>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</si>
  <si>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</si>
  <si>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</si>
  <si>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</si>
  <si>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</si>
  <si>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</si>
  <si>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</si>
  <si>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</si>
  <si>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</si>
  <si>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</si>
  <si>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</si>
  <si>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</si>
  <si>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</si>
  <si>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</si>
  <si>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</si>
  <si>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</si>
  <si>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</si>
  <si>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</si>
  <si>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</si>
  <si>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</si>
  <si>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</si>
  <si>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</si>
  <si>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</si>
  <si>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</si>
  <si>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</si>
  <si>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</si>
  <si>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</si>
  <si>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</si>
  <si>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</si>
  <si>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</si>
  <si>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</si>
  <si>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</si>
  <si>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</si>
  <si>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</si>
  <si>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</si>
  <si>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</si>
  <si>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</si>
  <si>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</si>
  <si>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</si>
  <si>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</si>
  <si>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</si>
  <si>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</si>
  <si>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</si>
  <si>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</si>
  <si>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</si>
  <si>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</si>
  <si>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</si>
  <si>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</si>
  <si>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</si>
  <si>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</si>
  <si>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</si>
  <si>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</si>
  <si>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</si>
  <si>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</si>
  <si>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</si>
  <si>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</si>
  <si>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</si>
  <si>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</si>
  <si>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</si>
  <si>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</si>
  <si>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</si>
  <si>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</si>
  <si>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</si>
  <si>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</si>
  <si>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</si>
  <si>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</si>
  <si>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</si>
  <si>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</si>
  <si>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</si>
  <si>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</si>
  <si>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</si>
  <si>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</si>
  <si>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</si>
  <si>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</si>
  <si>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</si>
  <si>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</si>
  <si>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</si>
  <si>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</si>
  <si>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</si>
  <si>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</si>
  <si>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</si>
  <si>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</si>
  <si>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</si>
  <si>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</si>
  <si>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</si>
  <si>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</si>
  <si>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</si>
  <si>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</si>
  <si>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</si>
  <si>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</si>
  <si>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</si>
  <si>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</si>
  <si>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</si>
  <si>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</si>
  <si>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</si>
  <si>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</si>
  <si>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</si>
  <si>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</si>
  <si>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</si>
  <si>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</si>
  <si>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</si>
  <si>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</si>
  <si>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</si>
  <si>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</si>
  <si>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</si>
  <si>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</si>
  <si>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</si>
  <si>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</si>
  <si>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</si>
  <si>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</si>
  <si>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</si>
  <si>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</si>
  <si>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</si>
  <si>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</si>
  <si>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</si>
  <si>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</si>
  <si>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</si>
  <si>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</si>
  <si>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</si>
  <si>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</si>
  <si>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</si>
  <si>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</si>
  <si>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</si>
  <si>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</si>
  <si>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</si>
  <si>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</si>
  <si>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</si>
  <si>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</si>
  <si>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</si>
  <si>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</si>
  <si>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</si>
  <si>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</si>
  <si>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</si>
  <si>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</si>
  <si>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</si>
  <si>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</si>
  <si>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</si>
  <si>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</si>
  <si>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</si>
  <si>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</si>
  <si>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</si>
  <si>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</si>
  <si>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</si>
  <si>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</si>
  <si>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</si>
  <si>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</si>
  <si>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</si>
  <si>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</si>
  <si>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</si>
  <si>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</si>
  <si>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</si>
  <si>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</si>
  <si>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</si>
  <si>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</si>
  <si>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</si>
  <si>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</si>
  <si>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</si>
  <si>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</si>
  <si>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</si>
  <si>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</si>
  <si>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</si>
  <si>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</si>
  <si>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</si>
  <si>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</si>
  <si>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</si>
  <si>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</si>
  <si>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</si>
  <si>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</si>
  <si>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</si>
  <si>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</si>
  <si>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</si>
  <si>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</si>
  <si>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</si>
  <si>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</si>
  <si>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</si>
  <si>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</si>
  <si>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</si>
  <si>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</si>
  <si>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</si>
  <si>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</si>
  <si>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</si>
  <si>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</si>
  <si>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</si>
  <si>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</si>
  <si>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</si>
  <si>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</si>
  <si>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</si>
  <si>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</si>
  <si>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</si>
  <si>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</si>
  <si>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</si>
  <si>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</si>
  <si>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</si>
  <si>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</si>
  <si>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</si>
  <si>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</si>
  <si>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</si>
  <si>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</si>
  <si>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</si>
  <si>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</si>
  <si>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</si>
  <si>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</si>
  <si>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</si>
  <si>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</si>
  <si>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</si>
  <si>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</si>
  <si>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</si>
  <si>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</si>
  <si>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</si>
  <si>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</si>
  <si>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</si>
  <si>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</si>
  <si>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</si>
  <si>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</si>
  <si>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</si>
  <si>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</si>
  <si>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</si>
  <si>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</si>
  <si>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</si>
  <si>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</si>
  <si>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</si>
  <si>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</si>
  <si>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</si>
  <si>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</si>
  <si>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</si>
  <si>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</si>
  <si>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</si>
  <si>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</si>
  <si>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</si>
  <si>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</si>
  <si>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</si>
  <si>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</si>
  <si>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</si>
  <si>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</si>
  <si>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</si>
  <si>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</si>
  <si>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</si>
  <si>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</si>
  <si>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</si>
  <si>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</si>
  <si>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</si>
  <si>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</si>
  <si>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</si>
  <si>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</si>
  <si>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</si>
  <si>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</si>
  <si>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</si>
  <si>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</si>
  <si>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</si>
  <si>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</si>
  <si>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</si>
  <si>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</si>
  <si>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</si>
  <si>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</si>
  <si>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</si>
  <si>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</si>
  <si>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</si>
  <si>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</si>
  <si>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</si>
  <si>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</si>
  <si>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</si>
  <si>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</si>
  <si>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</si>
  <si>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</si>
  <si>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</si>
  <si>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</si>
  <si>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</si>
  <si>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</si>
  <si>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</si>
  <si>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</si>
  <si>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</si>
  <si>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</si>
  <si>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</si>
  <si>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</si>
  <si>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</si>
  <si>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</si>
  <si>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</si>
  <si>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</si>
  <si>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</si>
  <si>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</si>
  <si>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</si>
  <si>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</si>
  <si>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</si>
  <si>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</si>
  <si>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</si>
  <si>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</si>
  <si>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</si>
  <si>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</si>
  <si>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</si>
  <si>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</si>
  <si>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</si>
  <si>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</si>
  <si>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</si>
  <si>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</si>
  <si>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</si>
  <si>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</si>
  <si>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</si>
  <si>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</si>
  <si>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</si>
  <si>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</si>
  <si>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</si>
  <si>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</si>
  <si>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</si>
  <si>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</si>
  <si>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</si>
  <si>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</si>
  <si>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</si>
  <si>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</si>
  <si>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</si>
  <si>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</si>
  <si>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</si>
  <si>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</si>
  <si>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</si>
  <si>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</si>
  <si>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</si>
  <si>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</si>
  <si>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</si>
  <si>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</si>
  <si>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</si>
  <si>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</si>
  <si>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</si>
  <si>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</si>
  <si>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</si>
  <si>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</si>
  <si>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</si>
  <si>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</si>
  <si>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</si>
  <si>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</si>
  <si>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</si>
  <si>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</si>
  <si>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</si>
  <si>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</si>
  <si>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</si>
  <si>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</si>
  <si>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</si>
  <si>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</si>
  <si>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</si>
  <si>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</si>
  <si>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</si>
  <si>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</si>
  <si>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</si>
  <si>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</si>
  <si>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</si>
  <si>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</si>
  <si>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</si>
  <si>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</si>
  <si>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</si>
  <si>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</si>
  <si>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</si>
  <si>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</si>
  <si>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</si>
  <si>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</si>
  <si>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claim_ratio</t>
  </si>
  <si>
    <t>profit_margin_estimate</t>
  </si>
  <si>
    <t>premium_to_claim_ratio</t>
  </si>
  <si>
    <t>vehicle_age</t>
  </si>
  <si>
    <t>tenure_months</t>
  </si>
  <si>
    <t>Row Labels</t>
  </si>
  <si>
    <t>Grand Total</t>
  </si>
  <si>
    <t>Column Labels</t>
  </si>
  <si>
    <t>claim_ratio_band</t>
  </si>
  <si>
    <t>profit_margin_band</t>
  </si>
  <si>
    <t>High Profit</t>
  </si>
  <si>
    <t>Loss Making</t>
  </si>
  <si>
    <t>Low Profit</t>
  </si>
  <si>
    <t>High Claim Ratio</t>
  </si>
  <si>
    <t>Low Claim Ratio</t>
  </si>
  <si>
    <t>Medium Claim Ratio</t>
  </si>
  <si>
    <t>Total Sum of total_claim_amount</t>
  </si>
  <si>
    <t>Sum of total_claim_amount</t>
  </si>
  <si>
    <t>Total Sum of policy_annual_premium</t>
  </si>
  <si>
    <t>Sum of policy_annual_premium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</si>
</sst>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jal Kothari" refreshedDate="45999.604319675927" createdVersion="8" refreshedVersion="8" minRefreshableVersion="3" recordCount="1000" xr:uid="{AD5E58CF-729D-3543-AC48-F1D14901CDA0}">
  <cacheSource type="worksheet">
    <worksheetSource ref="A1:AT1001" sheet="insurance_repricing"/>
  </cacheSource>
  <cacheFields count="46">
    <cacheField name="months_as_customer" numFmtId="0">
      <sharedItems containsSemiMixedTypes="0" containsString="0" containsNumber="1" containsInteger="1" minValue="0" maxValue="479"/>
    </cacheField>
    <cacheField name="age" numFmtId="0">
      <sharedItems containsSemiMixedTypes="0" containsString="0" containsNumber="1" containsInteger="1" minValue="19" maxValue="64"/>
    </cacheField>
    <cacheField name="policy_number" numFmtId="0">
      <sharedItems containsSemiMixedTypes="0" containsString="0" containsNumber="1" containsInteger="1" minValue="100804" maxValue="999435"/>
    </cacheField>
    <cacheField name="policy_bind_date" numFmtId="14">
      <sharedItems containsSemiMixedTypes="0" containsNonDate="0" containsDate="1" containsString="0" minDate="1990-01-08T00:00:00" maxDate="2015-02-23T00:00:00"/>
    </cacheField>
    <cacheField name="policy_state" numFmtId="0">
      <sharedItems/>
    </cacheField>
    <cacheField name="policy_csl" numFmtId="0">
      <sharedItems/>
    </cacheField>
    <cacheField name="policy_deductable" numFmtId="0">
      <sharedItems containsSemiMixedTypes="0" containsString="0" containsNumber="1" containsInteger="1" minValue="500" maxValue="2000"/>
    </cacheField>
    <cacheField name="policy_annual_premium" numFmtId="0">
      <sharedItems containsSemiMixedTypes="0" containsString="0" containsNumber="1" minValue="433.33" maxValue="2047.59"/>
    </cacheField>
    <cacheField name="umbrella_limit" numFmtId="0">
      <sharedItems containsSemiMixedTypes="0" containsString="0" containsNumber="1" containsInteger="1" minValue="-1000000" maxValue="10000000"/>
    </cacheField>
    <cacheField name="insured_zip" numFmtId="0">
      <sharedItems containsSemiMixedTypes="0" containsString="0" containsNumber="1" containsInteger="1" minValue="430104" maxValue="620962"/>
    </cacheField>
    <cacheField name="insured_sex" numFmtId="0">
      <sharedItems/>
    </cacheField>
    <cacheField name="insured_education_level" numFmtId="0">
      <sharedItems/>
    </cacheField>
    <cacheField name="insured_occupation" numFmtId="0">
      <sharedItems/>
    </cacheField>
    <cacheField name="insured_hobbies" numFmtId="0">
      <sharedItems/>
    </cacheField>
    <cacheField name="insured_relationship" numFmtId="0">
      <sharedItems/>
    </cacheField>
    <cacheField name="capital-gains" numFmtId="0">
      <sharedItems containsSemiMixedTypes="0" containsString="0" containsNumber="1" containsInteger="1" minValue="0" maxValue="100500"/>
    </cacheField>
    <cacheField name="capital-loss" numFmtId="0">
      <sharedItems containsSemiMixedTypes="0" containsString="0" containsNumber="1" containsInteger="1" minValue="-111100" maxValue="0"/>
    </cacheField>
    <cacheField name="incident_date" numFmtId="14">
      <sharedItems containsSemiMixedTypes="0" containsNonDate="0" containsDate="1" containsString="0" minDate="2015-01-01T00:00:00" maxDate="2015-03-02T00:00:00"/>
    </cacheField>
    <cacheField name="incident_type" numFmtId="0">
      <sharedItems/>
    </cacheField>
    <cacheField name="collision_type" numFmtId="0">
      <sharedItems/>
    </cacheField>
    <cacheField name="incident_severity" numFmtId="0">
      <sharedItems/>
    </cacheField>
    <cacheField name="authorities_contacted" numFmtId="0">
      <sharedItems/>
    </cacheField>
    <cacheField name="incident_state" numFmtId="0">
      <sharedItems count="7">
        <s v="SC"/>
        <s v="VA"/>
        <s v="NY"/>
        <s v="OH"/>
        <s v="WV"/>
        <s v="NC"/>
        <s v="PA"/>
      </sharedItems>
    </cacheField>
    <cacheField name="incident_city" numFmtId="0">
      <sharedItems count="7">
        <s v="Columbus"/>
        <s v="Riverwood"/>
        <s v="Arlington"/>
        <s v="Springfield"/>
        <s v="Hillsdale"/>
        <s v="Northbend"/>
        <s v="Northbrook"/>
      </sharedItems>
    </cacheField>
    <cacheField name="incident_location" numFmtId="0">
      <sharedItems/>
    </cacheField>
    <cacheField name="incident_hour_of_the_day" numFmtId="0">
      <sharedItems containsSemiMixedTypes="0" containsString="0" containsNumber="1" containsInteger="1" minValue="0" maxValue="23"/>
    </cacheField>
    <cacheField name="number_of_vehicles_involved" numFmtId="0">
      <sharedItems containsSemiMixedTypes="0" containsString="0" containsNumber="1" containsInteger="1" minValue="1" maxValue="4"/>
    </cacheField>
    <cacheField name="property_damage" numFmtId="0">
      <sharedItems/>
    </cacheField>
    <cacheField name="bodily_injuries" numFmtId="0">
      <sharedItems containsSemiMixedTypes="0" containsString="0" containsNumber="1" containsInteger="1" minValue="0" maxValue="2"/>
    </cacheField>
    <cacheField name="witnesses" numFmtId="0">
      <sharedItems containsSemiMixedTypes="0" containsString="0" containsNumber="1" containsInteger="1" minValue="0" maxValue="3"/>
    </cacheField>
    <cacheField name="police_report_available" numFmtId="0">
      <sharedItems/>
    </cacheField>
    <cacheField name="total_claim_amount" numFmtId="0">
      <sharedItems containsSemiMixedTypes="0" containsString="0" containsNumber="1" containsInteger="1" minValue="100" maxValue="114920"/>
    </cacheField>
    <cacheField name="injury_claim" numFmtId="0">
      <sharedItems containsSemiMixedTypes="0" containsString="0" containsNumber="1" containsInteger="1" minValue="0" maxValue="21450"/>
    </cacheField>
    <cacheField name="property_claim" numFmtId="0">
      <sharedItems containsSemiMixedTypes="0" containsString="0" containsNumber="1" containsInteger="1" minValue="0" maxValue="23670"/>
    </cacheField>
    <cacheField name="vehicle_claim" numFmtId="0">
      <sharedItems containsSemiMixedTypes="0" containsString="0" containsNumber="1" containsInteger="1" minValue="70" maxValue="79560"/>
    </cacheField>
    <cacheField name="auto_make" numFmtId="0">
      <sharedItems/>
    </cacheField>
    <cacheField name="auto_model" numFmtId="0">
      <sharedItems containsMixedTypes="1" containsNumber="1" containsInteger="1" minValue="93" maxValue="95"/>
    </cacheField>
    <cacheField name="auto_year" numFmtId="0">
      <sharedItems containsSemiMixedTypes="0" containsString="0" containsNumber="1" containsInteger="1" minValue="1995" maxValue="2015"/>
    </cacheField>
    <cacheField name="fraud_reported" numFmtId="0">
      <sharedItems/>
    </cacheField>
    <cacheField name="claim_ratio" numFmtId="2">
      <sharedItems containsSemiMixedTypes="0" containsString="0" containsNumber="1" minValue="6.7406793256624409E-2" maxValue="157.75087856306129"/>
    </cacheField>
    <cacheField name="profit_margin_estimate" numFmtId="0">
      <sharedItems containsSemiMixedTypes="0" containsString="0" containsNumber="1" minValue="-113782.84" maxValue="1382.53"/>
    </cacheField>
    <cacheField name="premium_to_claim_ratio" numFmtId="2">
      <sharedItems containsSemiMixedTypes="0" containsString="0" containsNumber="1" minValue="6.329528469835588E-3" maxValue="14.678514851485149"/>
    </cacheField>
    <cacheField name="vehicle_age" numFmtId="2">
      <sharedItems containsSemiMixedTypes="0" containsString="0" containsNumber="1" containsInteger="1" minValue="0" maxValue="20"/>
    </cacheField>
    <cacheField name="tenure_months" numFmtId="0">
      <sharedItems containsSemiMixedTypes="0" containsString="0" containsNumber="1" containsInteger="1" minValue="0" maxValue="479"/>
    </cacheField>
    <cacheField name="claim_ratio_band" numFmtId="0">
      <sharedItems count="3">
        <s v="High Claim Ratio"/>
        <s v="Low Claim Ratio"/>
        <s v="Medium Claim Ratio"/>
      </sharedItems>
    </cacheField>
    <cacheField name="profit_margin_band" numFmtId="0">
      <sharedItems count="3">
        <s v="High Profit"/>
        <s v="Low Profit"/>
        <s v="Loss Mak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328"/>
    <n v="48"/>
    <n v="521585"/>
    <d v="2014-10-17T00:00:00"/>
    <s v="OH"/>
    <s v="250/500"/>
    <n v="1000"/>
    <n v="1406.91"/>
    <n v="0"/>
    <n v="466132"/>
    <s v="MALE"/>
    <s v="MD"/>
    <s v="craft-repair"/>
    <s v="sleeping"/>
    <s v="husband"/>
    <n v="53300"/>
    <n v="0"/>
    <d v="2015-01-25T00:00:00"/>
    <s v="Single Vehicle Collision"/>
    <s v="Side Collision"/>
    <s v="Major Damage"/>
    <s v="Police"/>
    <x v="0"/>
    <x v="0"/>
    <s v="9935 4th Drive"/>
    <n v="5"/>
    <n v="1"/>
    <s v="YES"/>
    <n v="1"/>
    <n v="2"/>
    <s v="YES"/>
    <n v="71610"/>
    <n v="6510"/>
    <n v="13020"/>
    <n v="52080"/>
    <s v="Saab"/>
    <s v="92x"/>
    <n v="2004"/>
    <s v="Y"/>
    <n v="50.862626162183659"/>
    <n v="-70203.09"/>
    <n v="1.9646562678918046E-2"/>
    <n v="11"/>
    <n v="328"/>
    <x v="0"/>
    <x v="0"/>
  </r>
  <r>
    <n v="228"/>
    <n v="42"/>
    <n v="342868"/>
    <d v="2006-06-27T00:00:00"/>
    <s v="IN"/>
    <s v="250/500"/>
    <n v="2000"/>
    <n v="1197.22"/>
    <n v="5000000"/>
    <n v="468176"/>
    <s v="MALE"/>
    <s v="MD"/>
    <s v="machine-op-inspct"/>
    <s v="reading"/>
    <s v="other-relative"/>
    <n v="0"/>
    <n v="0"/>
    <d v="2015-01-21T00:00:00"/>
    <s v="Vehicle Theft"/>
    <s v="?"/>
    <s v="Minor Damage"/>
    <s v="Police"/>
    <x v="1"/>
    <x v="1"/>
    <s v="6608 MLK Hwy"/>
    <n v="8"/>
    <n v="1"/>
    <s v="?"/>
    <n v="0"/>
    <n v="0"/>
    <s v="?"/>
    <n v="5070"/>
    <n v="780"/>
    <n v="780"/>
    <n v="3510"/>
    <s v="Mercedes"/>
    <s v="E400"/>
    <n v="2007"/>
    <s v="Y"/>
    <n v="4.2312763933167528"/>
    <n v="-3872.7799999999997"/>
    <n v="0.23609150069019919"/>
    <n v="8"/>
    <n v="228"/>
    <x v="1"/>
    <x v="1"/>
  </r>
  <r>
    <n v="134"/>
    <n v="29"/>
    <n v="687698"/>
    <d v="2000-09-06T00:00:00"/>
    <s v="OH"/>
    <s v="100/300"/>
    <n v="2000"/>
    <n v="1413.14"/>
    <n v="5000000"/>
    <n v="430632"/>
    <s v="FEMALE"/>
    <s v="PhD"/>
    <s v="sales"/>
    <s v="board-games"/>
    <s v="own-child"/>
    <n v="35100"/>
    <n v="0"/>
    <d v="2015-02-22T00:00:00"/>
    <s v="Multi-vehicle Collision"/>
    <s v="Rear Collision"/>
    <s v="Minor Damage"/>
    <s v="Police"/>
    <x v="2"/>
    <x v="0"/>
    <s v="7121 Francis Lane"/>
    <n v="7"/>
    <n v="3"/>
    <s v="NO"/>
    <n v="2"/>
    <n v="3"/>
    <s v="NO"/>
    <n v="34650"/>
    <n v="7700"/>
    <n v="3850"/>
    <n v="23100"/>
    <s v="Dodge"/>
    <s v="RAM"/>
    <n v="2007"/>
    <s v="N"/>
    <n v="24.502524502524501"/>
    <n v="-33236.86"/>
    <n v="4.0782084211133877E-2"/>
    <n v="8"/>
    <n v="134"/>
    <x v="0"/>
    <x v="0"/>
  </r>
  <r>
    <n v="256"/>
    <n v="41"/>
    <n v="227811"/>
    <d v="1990-05-25T00:00:00"/>
    <s v="IL"/>
    <s v="250/500"/>
    <n v="2000"/>
    <n v="1415.74"/>
    <n v="6000000"/>
    <n v="608117"/>
    <s v="FEMALE"/>
    <s v="PhD"/>
    <s v="armed-forces"/>
    <s v="board-games"/>
    <s v="unmarried"/>
    <n v="48900"/>
    <n v="-62400"/>
    <d v="2015-01-10T00:00:00"/>
    <s v="Single Vehicle Collision"/>
    <s v="Front Collision"/>
    <s v="Major Damage"/>
    <s v="Police"/>
    <x v="3"/>
    <x v="2"/>
    <s v="6956 Maple Drive"/>
    <n v="5"/>
    <n v="1"/>
    <s v="?"/>
    <n v="1"/>
    <n v="2"/>
    <s v="NO"/>
    <n v="63400"/>
    <n v="6340"/>
    <n v="6340"/>
    <n v="50720"/>
    <s v="Chevrolet"/>
    <s v="Tahoe"/>
    <n v="2014"/>
    <s v="Y"/>
    <n v="44.750624673546312"/>
    <n v="-61984.26"/>
    <n v="2.2329931704547248E-2"/>
    <n v="1"/>
    <n v="256"/>
    <x v="0"/>
    <x v="0"/>
  </r>
  <r>
    <n v="228"/>
    <n v="44"/>
    <n v="367455"/>
    <d v="2014-06-06T00:00:00"/>
    <s v="IL"/>
    <s v="500/1000"/>
    <n v="1000"/>
    <n v="1583.91"/>
    <n v="6000000"/>
    <n v="610706"/>
    <s v="MALE"/>
    <s v="Associate"/>
    <s v="sales"/>
    <s v="board-games"/>
    <s v="unmarried"/>
    <n v="66000"/>
    <n v="-46000"/>
    <d v="2015-02-17T00:00:00"/>
    <s v="Vehicle Theft"/>
    <s v="?"/>
    <s v="Minor Damage"/>
    <s v="None"/>
    <x v="2"/>
    <x v="2"/>
    <s v="3041 3rd Ave"/>
    <n v="20"/>
    <n v="1"/>
    <s v="NO"/>
    <n v="0"/>
    <n v="1"/>
    <s v="NO"/>
    <n v="6500"/>
    <n v="1300"/>
    <n v="650"/>
    <n v="4550"/>
    <s v="Accura"/>
    <s v="RSX"/>
    <n v="2009"/>
    <s v="N"/>
    <n v="4.1011792467711095"/>
    <n v="-4916.09"/>
    <n v="0.24364097831102907"/>
    <n v="6"/>
    <n v="228"/>
    <x v="1"/>
    <x v="1"/>
  </r>
  <r>
    <n v="256"/>
    <n v="39"/>
    <n v="104594"/>
    <d v="2006-10-12T00:00:00"/>
    <s v="OH"/>
    <s v="250/500"/>
    <n v="1000"/>
    <n v="1351.1"/>
    <n v="0"/>
    <n v="478456"/>
    <s v="FEMALE"/>
    <s v="PhD"/>
    <s v="tech-support"/>
    <s v="bungie-jumping"/>
    <s v="unmarried"/>
    <n v="0"/>
    <n v="0"/>
    <d v="2015-01-02T00:00:00"/>
    <s v="Multi-vehicle Collision"/>
    <s v="Rear Collision"/>
    <s v="Major Damage"/>
    <s v="Fire"/>
    <x v="0"/>
    <x v="2"/>
    <s v="8973 Washington St"/>
    <n v="19"/>
    <n v="3"/>
    <s v="NO"/>
    <n v="0"/>
    <n v="2"/>
    <s v="NO"/>
    <n v="64100"/>
    <n v="6410"/>
    <n v="6410"/>
    <n v="51280"/>
    <s v="Saab"/>
    <n v="95"/>
    <n v="2003"/>
    <s v="Y"/>
    <n v="47.407736114192737"/>
    <n v="-62748.9"/>
    <n v="2.1077674295252802E-2"/>
    <n v="12"/>
    <n v="256"/>
    <x v="0"/>
    <x v="0"/>
  </r>
  <r>
    <n v="137"/>
    <n v="34"/>
    <n v="413978"/>
    <d v="2000-06-04T00:00:00"/>
    <s v="IN"/>
    <s v="250/500"/>
    <n v="1000"/>
    <n v="1333.35"/>
    <n v="0"/>
    <n v="441716"/>
    <s v="MALE"/>
    <s v="PhD"/>
    <s v="prof-specialty"/>
    <s v="board-games"/>
    <s v="husband"/>
    <n v="0"/>
    <n v="-77000"/>
    <d v="2015-01-13T00:00:00"/>
    <s v="Multi-vehicle Collision"/>
    <s v="Front Collision"/>
    <s v="Minor Damage"/>
    <s v="Police"/>
    <x v="2"/>
    <x v="3"/>
    <s v="5846 Weaver Drive"/>
    <n v="0"/>
    <n v="3"/>
    <s v="?"/>
    <n v="0"/>
    <n v="0"/>
    <s v="?"/>
    <n v="78650"/>
    <n v="21450"/>
    <n v="7150"/>
    <n v="50050"/>
    <s v="Nissan"/>
    <s v="Pathfinder"/>
    <n v="2012"/>
    <s v="N"/>
    <n v="58.942556300820627"/>
    <n v="-77316.649999999994"/>
    <n v="1.695274058816798E-2"/>
    <n v="3"/>
    <n v="137"/>
    <x v="0"/>
    <x v="0"/>
  </r>
  <r>
    <n v="165"/>
    <n v="37"/>
    <n v="429027"/>
    <d v="1990-02-03T00:00:00"/>
    <s v="IL"/>
    <s v="100/300"/>
    <n v="1000"/>
    <n v="1137.03"/>
    <n v="0"/>
    <n v="603195"/>
    <s v="MALE"/>
    <s v="Associate"/>
    <s v="tech-support"/>
    <s v="base-jumping"/>
    <s v="unmarried"/>
    <n v="0"/>
    <n v="0"/>
    <d v="2015-02-27T00:00:00"/>
    <s v="Multi-vehicle Collision"/>
    <s v="Front Collision"/>
    <s v="Total Loss"/>
    <s v="Police"/>
    <x v="1"/>
    <x v="0"/>
    <s v="3525 3rd Hwy"/>
    <n v="23"/>
    <n v="3"/>
    <s v="?"/>
    <n v="2"/>
    <n v="2"/>
    <s v="YES"/>
    <n v="51590"/>
    <n v="9380"/>
    <n v="9380"/>
    <n v="32830"/>
    <s v="Audi"/>
    <s v="A5"/>
    <n v="2015"/>
    <s v="N"/>
    <n v="45.332724093389452"/>
    <n v="-50452.97"/>
    <n v="2.2039309181834041E-2"/>
    <n v="0"/>
    <n v="165"/>
    <x v="0"/>
    <x v="0"/>
  </r>
  <r>
    <n v="27"/>
    <n v="33"/>
    <n v="485665"/>
    <d v="1997-02-05T00:00:00"/>
    <s v="IL"/>
    <s v="100/300"/>
    <n v="500"/>
    <n v="1442.99"/>
    <n v="0"/>
    <n v="601734"/>
    <s v="FEMALE"/>
    <s v="PhD"/>
    <s v="other-service"/>
    <s v="golf"/>
    <s v="own-child"/>
    <n v="0"/>
    <n v="0"/>
    <d v="2015-01-30T00:00:00"/>
    <s v="Single Vehicle Collision"/>
    <s v="Front Collision"/>
    <s v="Total Loss"/>
    <s v="Police"/>
    <x v="4"/>
    <x v="2"/>
    <s v="4872 Rock Ridge"/>
    <n v="21"/>
    <n v="1"/>
    <s v="NO"/>
    <n v="1"/>
    <n v="1"/>
    <s v="YES"/>
    <n v="27700"/>
    <n v="2770"/>
    <n v="2770"/>
    <n v="22160"/>
    <s v="Toyota"/>
    <s v="Camry"/>
    <n v="2012"/>
    <s v="N"/>
    <n v="19.182958330736362"/>
    <n v="-26257.01"/>
    <n v="5.2091621241110428E-2"/>
    <n v="3"/>
    <n v="27"/>
    <x v="2"/>
    <x v="0"/>
  </r>
  <r>
    <n v="212"/>
    <n v="42"/>
    <n v="636550"/>
    <d v="2011-07-25T00:00:00"/>
    <s v="IL"/>
    <s v="100/300"/>
    <n v="500"/>
    <n v="1315.68"/>
    <n v="0"/>
    <n v="600983"/>
    <s v="MALE"/>
    <s v="PhD"/>
    <s v="priv-house-serv"/>
    <s v="camping"/>
    <s v="wife"/>
    <n v="0"/>
    <n v="-39300"/>
    <d v="2015-01-05T00:00:00"/>
    <s v="Single Vehicle Collision"/>
    <s v="Rear Collision"/>
    <s v="Total Loss"/>
    <s v="Other"/>
    <x v="5"/>
    <x v="4"/>
    <s v="3066 Francis Ave"/>
    <n v="14"/>
    <n v="1"/>
    <s v="NO"/>
    <n v="2"/>
    <n v="1"/>
    <s v="?"/>
    <n v="42300"/>
    <n v="4700"/>
    <n v="4700"/>
    <n v="32900"/>
    <s v="Saab"/>
    <s v="92x"/>
    <n v="1996"/>
    <s v="N"/>
    <n v="32.126256949296717"/>
    <n v="-40984.32"/>
    <n v="3.1102810808255124E-2"/>
    <n v="19"/>
    <n v="212"/>
    <x v="0"/>
    <x v="0"/>
  </r>
  <r>
    <n v="235"/>
    <n v="42"/>
    <n v="543610"/>
    <d v="2002-05-26T00:00:00"/>
    <s v="OH"/>
    <s v="100/300"/>
    <n v="500"/>
    <n v="1253.1199999999999"/>
    <n v="4000000"/>
    <n v="462283"/>
    <s v="FEMALE"/>
    <s v="Masters"/>
    <s v="exec-managerial"/>
    <s v="dancing"/>
    <s v="other-relative"/>
    <n v="38400"/>
    <n v="0"/>
    <d v="2015-01-06T00:00:00"/>
    <s v="Single Vehicle Collision"/>
    <s v="Front Collision"/>
    <s v="Total Loss"/>
    <s v="Police"/>
    <x v="2"/>
    <x v="5"/>
    <s v="1558 1st Ridge"/>
    <n v="22"/>
    <n v="1"/>
    <s v="YES"/>
    <n v="2"/>
    <n v="2"/>
    <s v="?"/>
    <n v="87010"/>
    <n v="7910"/>
    <n v="15820"/>
    <n v="63280"/>
    <s v="Ford"/>
    <s v="F150"/>
    <n v="2002"/>
    <s v="N"/>
    <n v="69.379325742353217"/>
    <n v="-85756.88"/>
    <n v="1.4401857236441369E-2"/>
    <n v="13"/>
    <n v="235"/>
    <x v="0"/>
    <x v="0"/>
  </r>
  <r>
    <n v="447"/>
    <n v="61"/>
    <n v="214618"/>
    <d v="1999-05-29T00:00:00"/>
    <s v="OH"/>
    <s v="100/300"/>
    <n v="2000"/>
    <n v="1137.1600000000001"/>
    <n v="0"/>
    <n v="615561"/>
    <s v="FEMALE"/>
    <s v="High School"/>
    <s v="exec-managerial"/>
    <s v="skydiving"/>
    <s v="other-relative"/>
    <n v="0"/>
    <n v="-51000"/>
    <d v="2015-02-15T00:00:00"/>
    <s v="Multi-vehicle Collision"/>
    <s v="Front Collision"/>
    <s v="Major Damage"/>
    <s v="Fire"/>
    <x v="0"/>
    <x v="3"/>
    <s v="5971 5th Hwy"/>
    <n v="21"/>
    <n v="3"/>
    <s v="YES"/>
    <n v="1"/>
    <n v="2"/>
    <s v="YES"/>
    <n v="114920"/>
    <n v="17680"/>
    <n v="17680"/>
    <n v="79560"/>
    <s v="Audi"/>
    <s v="A3"/>
    <n v="2006"/>
    <s v="N"/>
    <n v="100.9699866451114"/>
    <n v="-113782.84"/>
    <n v="9.8951453607260646E-3"/>
    <n v="9"/>
    <n v="447"/>
    <x v="0"/>
    <x v="0"/>
  </r>
  <r>
    <n v="60"/>
    <n v="23"/>
    <n v="842643"/>
    <d v="1997-11-20T00:00:00"/>
    <s v="OH"/>
    <s v="500/1000"/>
    <n v="500"/>
    <n v="1215.3599999999999"/>
    <n v="3000000"/>
    <n v="432220"/>
    <s v="MALE"/>
    <s v="MD"/>
    <s v="protective-serv"/>
    <s v="reading"/>
    <s v="wife"/>
    <n v="0"/>
    <n v="0"/>
    <d v="2015-01-22T00:00:00"/>
    <s v="Single Vehicle Collision"/>
    <s v="Rear Collision"/>
    <s v="Total Loss"/>
    <s v="Ambulance"/>
    <x v="0"/>
    <x v="5"/>
    <s v="6655 5th Drive"/>
    <n v="9"/>
    <n v="1"/>
    <s v="YES"/>
    <n v="1"/>
    <n v="0"/>
    <s v="NO"/>
    <n v="56520"/>
    <n v="4710"/>
    <n v="9420"/>
    <n v="42390"/>
    <s v="Saab"/>
    <n v="95"/>
    <n v="2000"/>
    <s v="N"/>
    <n v="46.466506626327735"/>
    <n v="-55304.639999999999"/>
    <n v="2.1502804267440417E-2"/>
    <n v="15"/>
    <n v="60"/>
    <x v="0"/>
    <x v="0"/>
  </r>
  <r>
    <n v="121"/>
    <n v="34"/>
    <n v="626808"/>
    <d v="2012-10-26T00:00:00"/>
    <s v="OH"/>
    <s v="100/300"/>
    <n v="1000"/>
    <n v="936.61"/>
    <n v="0"/>
    <n v="464652"/>
    <s v="FEMALE"/>
    <s v="MD"/>
    <s v="armed-forces"/>
    <s v="bungie-jumping"/>
    <s v="wife"/>
    <n v="52800"/>
    <n v="-32800"/>
    <d v="2015-01-08T00:00:00"/>
    <s v="Parked Car"/>
    <s v="?"/>
    <s v="Minor Damage"/>
    <s v="None"/>
    <x v="0"/>
    <x v="3"/>
    <s v="6582 Elm Lane"/>
    <n v="5"/>
    <n v="1"/>
    <s v="NO"/>
    <n v="1"/>
    <n v="1"/>
    <s v="NO"/>
    <n v="7280"/>
    <n v="1120"/>
    <n v="1120"/>
    <n v="5040"/>
    <s v="Toyota"/>
    <s v="Highlander"/>
    <n v="2010"/>
    <s v="N"/>
    <n v="7.7644223077825538"/>
    <n v="-6343.39"/>
    <n v="0.12863754978711717"/>
    <n v="5"/>
    <n v="121"/>
    <x v="2"/>
    <x v="0"/>
  </r>
  <r>
    <n v="180"/>
    <n v="38"/>
    <n v="644081"/>
    <d v="1998-12-28T00:00:00"/>
    <s v="OH"/>
    <s v="250/500"/>
    <n v="2000"/>
    <n v="1301.1300000000001"/>
    <n v="0"/>
    <n v="476685"/>
    <s v="FEMALE"/>
    <s v="College"/>
    <s v="machine-op-inspct"/>
    <s v="board-games"/>
    <s v="not-in-family"/>
    <n v="41300"/>
    <n v="-55500"/>
    <d v="2015-01-15T00:00:00"/>
    <s v="Single Vehicle Collision"/>
    <s v="Rear Collision"/>
    <s v="Total Loss"/>
    <s v="Police"/>
    <x v="0"/>
    <x v="3"/>
    <s v="6851 3rd Drive"/>
    <n v="12"/>
    <n v="1"/>
    <s v="NO"/>
    <n v="0"/>
    <n v="2"/>
    <s v="YES"/>
    <n v="46200"/>
    <n v="4200"/>
    <n v="8400"/>
    <n v="33600"/>
    <s v="Dodge"/>
    <s v="Neon"/>
    <n v="2003"/>
    <s v="Y"/>
    <n v="35.480328385030674"/>
    <n v="-44898.87"/>
    <n v="2.8162377437717802E-2"/>
    <n v="12"/>
    <n v="180"/>
    <x v="0"/>
    <x v="0"/>
  </r>
  <r>
    <n v="473"/>
    <n v="58"/>
    <n v="892874"/>
    <d v="1992-10-19T00:00:00"/>
    <s v="IN"/>
    <s v="100/300"/>
    <n v="2000"/>
    <n v="1131.4000000000001"/>
    <n v="0"/>
    <n v="458733"/>
    <s v="FEMALE"/>
    <s v="MD"/>
    <s v="transport-moving"/>
    <s v="movies"/>
    <s v="other-relative"/>
    <n v="55700"/>
    <n v="0"/>
    <d v="2015-01-29T00:00:00"/>
    <s v="Multi-vehicle Collision"/>
    <s v="Side Collision"/>
    <s v="Major Damage"/>
    <s v="Other"/>
    <x v="4"/>
    <x v="4"/>
    <s v="9573 Weaver Ave"/>
    <n v="12"/>
    <n v="4"/>
    <s v="YES"/>
    <n v="0"/>
    <n v="0"/>
    <s v="NO"/>
    <n v="63120"/>
    <n v="10520"/>
    <n v="10520"/>
    <n v="42080"/>
    <s v="Accura"/>
    <s v="MDX"/>
    <n v="1999"/>
    <s v="Y"/>
    <n v="55.740021193924406"/>
    <n v="-61988.6"/>
    <n v="1.7924304114320118E-2"/>
    <n v="16"/>
    <n v="473"/>
    <x v="0"/>
    <x v="0"/>
  </r>
  <r>
    <n v="70"/>
    <n v="26"/>
    <n v="558938"/>
    <d v="2005-06-08T00:00:00"/>
    <s v="OH"/>
    <s v="500/1000"/>
    <n v="1000"/>
    <n v="1199.44"/>
    <n v="5000000"/>
    <n v="619884"/>
    <s v="MALE"/>
    <s v="College"/>
    <s v="machine-op-inspct"/>
    <s v="hiking"/>
    <s v="own-child"/>
    <n v="63600"/>
    <n v="0"/>
    <d v="2015-02-22T00:00:00"/>
    <s v="Multi-vehicle Collision"/>
    <s v="Rear Collision"/>
    <s v="Major Damage"/>
    <s v="Other"/>
    <x v="2"/>
    <x v="1"/>
    <s v="5074 3rd St"/>
    <n v="0"/>
    <n v="3"/>
    <s v="?"/>
    <n v="1"/>
    <n v="2"/>
    <s v="YES"/>
    <n v="52110"/>
    <n v="5790"/>
    <n v="5790"/>
    <n v="40530"/>
    <s v="Nissan"/>
    <s v="Maxima"/>
    <n v="2012"/>
    <s v="N"/>
    <n v="43.409083336110093"/>
    <n v="-50910.559999999998"/>
    <n v="2.3017021358254498E-2"/>
    <n v="3"/>
    <n v="70"/>
    <x v="0"/>
    <x v="0"/>
  </r>
  <r>
    <n v="140"/>
    <n v="31"/>
    <n v="275265"/>
    <d v="2004-11-15T00:00:00"/>
    <s v="IN"/>
    <s v="500/1000"/>
    <n v="500"/>
    <n v="708.64"/>
    <n v="6000000"/>
    <n v="470610"/>
    <s v="MALE"/>
    <s v="High School"/>
    <s v="machine-op-inspct"/>
    <s v="reading"/>
    <s v="unmarried"/>
    <n v="53500"/>
    <n v="0"/>
    <d v="2015-01-06T00:00:00"/>
    <s v="Single Vehicle Collision"/>
    <s v="Side Collision"/>
    <s v="Total Loss"/>
    <s v="Police"/>
    <x v="4"/>
    <x v="5"/>
    <s v="4546 Tree St"/>
    <n v="9"/>
    <n v="1"/>
    <s v="NO"/>
    <n v="0"/>
    <n v="2"/>
    <s v="YES"/>
    <n v="77880"/>
    <n v="14160"/>
    <n v="7080"/>
    <n v="56640"/>
    <s v="Suburu"/>
    <s v="Legacy"/>
    <n v="2015"/>
    <s v="N"/>
    <n v="109.74578659602052"/>
    <n v="-77171.360000000001"/>
    <n v="9.0990100281198236E-3"/>
    <n v="0"/>
    <n v="140"/>
    <x v="0"/>
    <x v="0"/>
  </r>
  <r>
    <n v="160"/>
    <n v="37"/>
    <n v="921202"/>
    <d v="2014-12-28T00:00:00"/>
    <s v="OH"/>
    <s v="500/1000"/>
    <n v="500"/>
    <n v="1374.22"/>
    <n v="0"/>
    <n v="472135"/>
    <s v="FEMALE"/>
    <s v="MD"/>
    <s v="craft-repair"/>
    <s v="yachting"/>
    <s v="other-relative"/>
    <n v="45500"/>
    <n v="-37800"/>
    <d v="2015-01-19T00:00:00"/>
    <s v="Single Vehicle Collision"/>
    <s v="Side Collision"/>
    <s v="Total Loss"/>
    <s v="Other"/>
    <x v="2"/>
    <x v="6"/>
    <s v="3842 Solo Ridge"/>
    <n v="19"/>
    <n v="1"/>
    <s v="YES"/>
    <n v="1"/>
    <n v="0"/>
    <s v="NO"/>
    <n v="72930"/>
    <n v="6630"/>
    <n v="13260"/>
    <n v="53040"/>
    <s v="Accura"/>
    <s v="TL"/>
    <n v="2015"/>
    <s v="N"/>
    <n v="53.031514957606781"/>
    <n v="-71555.78"/>
    <n v="1.8842741769617859E-2"/>
    <n v="0"/>
    <n v="160"/>
    <x v="0"/>
    <x v="0"/>
  </r>
  <r>
    <n v="196"/>
    <n v="39"/>
    <n v="143972"/>
    <d v="1992-08-02T00:00:00"/>
    <s v="IN"/>
    <s v="500/1000"/>
    <n v="2000"/>
    <n v="1475.73"/>
    <n v="0"/>
    <n v="477670"/>
    <s v="FEMALE"/>
    <s v="High School"/>
    <s v="handlers-cleaners"/>
    <s v="camping"/>
    <s v="own-child"/>
    <n v="57000"/>
    <n v="-27300"/>
    <d v="2015-02-22T00:00:00"/>
    <s v="Multi-vehicle Collision"/>
    <s v="Side Collision"/>
    <s v="Major Damage"/>
    <s v="Police"/>
    <x v="1"/>
    <x v="0"/>
    <s v="8101 3rd Ridge"/>
    <n v="8"/>
    <n v="3"/>
    <s v="?"/>
    <n v="2"/>
    <n v="0"/>
    <s v="NO"/>
    <n v="60400"/>
    <n v="6040"/>
    <n v="6040"/>
    <n v="48320"/>
    <s v="Nissan"/>
    <s v="Pathfinder"/>
    <n v="2014"/>
    <s v="N"/>
    <n v="40.901180310551013"/>
    <n v="-58924.27"/>
    <n v="2.4432211387228689E-2"/>
    <n v="1"/>
    <n v="196"/>
    <x v="0"/>
    <x v="0"/>
  </r>
  <r>
    <n v="460"/>
    <n v="62"/>
    <n v="183430"/>
    <d v="2002-06-25T00:00:00"/>
    <s v="IN"/>
    <s v="250/500"/>
    <n v="1000"/>
    <n v="1187.96"/>
    <n v="4000000"/>
    <n v="618845"/>
    <s v="MALE"/>
    <s v="JD"/>
    <s v="other-service"/>
    <s v="bungie-jumping"/>
    <s v="own-child"/>
    <n v="0"/>
    <n v="0"/>
    <d v="2015-01-01T00:00:00"/>
    <s v="Multi-vehicle Collision"/>
    <s v="Rear Collision"/>
    <s v="Minor Damage"/>
    <s v="Police"/>
    <x v="2"/>
    <x v="0"/>
    <s v="5380 Pine St"/>
    <n v="20"/>
    <n v="3"/>
    <s v="NO"/>
    <n v="1"/>
    <n v="0"/>
    <s v="?"/>
    <n v="47160"/>
    <n v="0"/>
    <n v="5240"/>
    <n v="41920"/>
    <s v="Suburu"/>
    <s v="Impreza"/>
    <n v="2011"/>
    <s v="N"/>
    <n v="39.664917238595073"/>
    <n v="-45972.04"/>
    <n v="2.5189457390640574E-2"/>
    <n v="4"/>
    <n v="460"/>
    <x v="0"/>
    <x v="0"/>
  </r>
  <r>
    <n v="217"/>
    <n v="41"/>
    <n v="431876"/>
    <d v="2005-11-27T00:00:00"/>
    <s v="IL"/>
    <s v="500/1000"/>
    <n v="2000"/>
    <n v="875.15"/>
    <n v="0"/>
    <n v="442479"/>
    <s v="FEMALE"/>
    <s v="Associate"/>
    <s v="machine-op-inspct"/>
    <s v="skydiving"/>
    <s v="own-child"/>
    <n v="46700"/>
    <n v="0"/>
    <d v="2015-02-10T00:00:00"/>
    <s v="Multi-vehicle Collision"/>
    <s v="Side Collision"/>
    <s v="Total Loss"/>
    <s v="Police"/>
    <x v="0"/>
    <x v="2"/>
    <s v="8957 Weaver Drive"/>
    <n v="15"/>
    <n v="3"/>
    <s v="?"/>
    <n v="1"/>
    <n v="2"/>
    <s v="?"/>
    <n v="37840"/>
    <n v="0"/>
    <n v="4730"/>
    <n v="33110"/>
    <s v="Accura"/>
    <s v="RSX"/>
    <n v="1996"/>
    <s v="N"/>
    <n v="43.188951663527938"/>
    <n v="-36964.85"/>
    <n v="2.3127031526650986E-2"/>
    <n v="19"/>
    <n v="217"/>
    <x v="0"/>
    <x v="0"/>
  </r>
  <r>
    <n v="370"/>
    <n v="55"/>
    <n v="285496"/>
    <d v="1994-05-27T00:00:00"/>
    <s v="IL"/>
    <s v="100/300"/>
    <n v="2000"/>
    <n v="972.18"/>
    <n v="0"/>
    <n v="443920"/>
    <s v="MALE"/>
    <s v="High School"/>
    <s v="prof-specialty"/>
    <s v="paintball"/>
    <s v="other-relative"/>
    <n v="72700"/>
    <n v="-68200"/>
    <d v="2015-01-11T00:00:00"/>
    <s v="Multi-vehicle Collision"/>
    <s v="Rear Collision"/>
    <s v="Major Damage"/>
    <s v="Ambulance"/>
    <x v="0"/>
    <x v="4"/>
    <s v="2526 Embaracadero Ave"/>
    <n v="20"/>
    <n v="3"/>
    <s v="NO"/>
    <n v="0"/>
    <n v="0"/>
    <s v="YES"/>
    <n v="71520"/>
    <n v="17880"/>
    <n v="5960"/>
    <n v="47680"/>
    <s v="Suburu"/>
    <s v="Forrestor"/>
    <n v="2000"/>
    <s v="Y"/>
    <n v="73.491029408742477"/>
    <n v="-70547.820000000007"/>
    <n v="1.3592930747612588E-2"/>
    <n v="15"/>
    <n v="370"/>
    <x v="0"/>
    <x v="0"/>
  </r>
  <r>
    <n v="413"/>
    <n v="55"/>
    <n v="115399"/>
    <d v="1991-02-08T00:00:00"/>
    <s v="IN"/>
    <s v="100/300"/>
    <n v="2000"/>
    <n v="1268.79"/>
    <n v="0"/>
    <n v="453148"/>
    <s v="MALE"/>
    <s v="MD"/>
    <s v="priv-house-serv"/>
    <s v="chess"/>
    <s v="own-child"/>
    <n v="0"/>
    <n v="-31000"/>
    <d v="2015-01-19T00:00:00"/>
    <s v="Single Vehicle Collision"/>
    <s v="Front Collision"/>
    <s v="Total Loss"/>
    <s v="Ambulance"/>
    <x v="4"/>
    <x v="5"/>
    <s v="5667 4th Drive"/>
    <n v="15"/>
    <n v="1"/>
    <s v="?"/>
    <n v="2"/>
    <n v="2"/>
    <s v="?"/>
    <n v="98160"/>
    <n v="8180"/>
    <n v="16360"/>
    <n v="73620"/>
    <s v="Dodge"/>
    <s v="RAM"/>
    <n v="2011"/>
    <s v="Y"/>
    <n v="77.304121153891586"/>
    <n v="-96891.21"/>
    <n v="1.2925601817422397E-2"/>
    <n v="4"/>
    <n v="413"/>
    <x v="0"/>
    <x v="0"/>
  </r>
  <r>
    <n v="237"/>
    <n v="40"/>
    <n v="736882"/>
    <d v="1996-02-02T00:00:00"/>
    <s v="IN"/>
    <s v="100/300"/>
    <n v="1000"/>
    <n v="883.31"/>
    <n v="0"/>
    <n v="434733"/>
    <s v="MALE"/>
    <s v="College"/>
    <s v="craft-repair"/>
    <s v="kayaking"/>
    <s v="husband"/>
    <n v="0"/>
    <n v="-53500"/>
    <d v="2015-02-24T00:00:00"/>
    <s v="Single Vehicle Collision"/>
    <s v="Rear Collision"/>
    <s v="Minor Damage"/>
    <s v="Other"/>
    <x v="1"/>
    <x v="1"/>
    <s v="2502 Apache Hwy"/>
    <n v="6"/>
    <n v="1"/>
    <s v="NO"/>
    <n v="1"/>
    <n v="3"/>
    <s v="NO"/>
    <n v="77880"/>
    <n v="7080"/>
    <n v="14160"/>
    <n v="56640"/>
    <s v="Ford"/>
    <s v="Escape"/>
    <n v="2005"/>
    <s v="N"/>
    <n v="88.068663703904747"/>
    <n v="-76996.69"/>
    <n v="1.1341790680653817E-2"/>
    <n v="10"/>
    <n v="237"/>
    <x v="0"/>
    <x v="0"/>
  </r>
  <r>
    <n v="8"/>
    <n v="35"/>
    <n v="699044"/>
    <d v="2013-12-05T00:00:00"/>
    <s v="OH"/>
    <s v="100/300"/>
    <n v="2000"/>
    <n v="1266.92"/>
    <n v="0"/>
    <n v="613982"/>
    <s v="MALE"/>
    <s v="Masters"/>
    <s v="sales"/>
    <s v="polo"/>
    <s v="own-child"/>
    <n v="0"/>
    <n v="0"/>
    <d v="2015-01-09T00:00:00"/>
    <s v="Multi-vehicle Collision"/>
    <s v="Rear Collision"/>
    <s v="Major Damage"/>
    <s v="Other"/>
    <x v="3"/>
    <x v="2"/>
    <s v="3418 Texas Lane"/>
    <n v="16"/>
    <n v="3"/>
    <s v="NO"/>
    <n v="1"/>
    <n v="3"/>
    <s v="YES"/>
    <n v="71500"/>
    <n v="16500"/>
    <n v="11000"/>
    <n v="44000"/>
    <s v="Ford"/>
    <s v="Escape"/>
    <n v="2006"/>
    <s v="Y"/>
    <n v="56.39157044608492"/>
    <n v="-70233.08"/>
    <n v="1.7718913022195495E-2"/>
    <n v="9"/>
    <n v="8"/>
    <x v="0"/>
    <x v="0"/>
  </r>
  <r>
    <n v="257"/>
    <n v="43"/>
    <n v="863236"/>
    <d v="1990-09-20T00:00:00"/>
    <s v="IN"/>
    <s v="100/300"/>
    <n v="2000"/>
    <n v="1322.1"/>
    <n v="0"/>
    <n v="436984"/>
    <s v="MALE"/>
    <s v="High School"/>
    <s v="prof-specialty"/>
    <s v="golf"/>
    <s v="own-child"/>
    <n v="0"/>
    <n v="-29200"/>
    <d v="2015-01-28T00:00:00"/>
    <s v="Parked Car"/>
    <s v="?"/>
    <s v="Minor Damage"/>
    <s v="Police"/>
    <x v="6"/>
    <x v="2"/>
    <s v="2533 Elm St"/>
    <n v="4"/>
    <n v="1"/>
    <s v="YES"/>
    <n v="1"/>
    <n v="3"/>
    <s v="YES"/>
    <n v="9020"/>
    <n v="1640"/>
    <n v="820"/>
    <n v="6560"/>
    <s v="Toyota"/>
    <s v="Camry"/>
    <n v="2005"/>
    <s v="N"/>
    <n v="6.8173229536694135"/>
    <n v="-7697.9"/>
    <n v="0.14655803126039241"/>
    <n v="10"/>
    <n v="257"/>
    <x v="2"/>
    <x v="0"/>
  </r>
  <r>
    <n v="202"/>
    <n v="34"/>
    <n v="608513"/>
    <d v="2002-07-18T00:00:00"/>
    <s v="IN"/>
    <s v="100/300"/>
    <n v="500"/>
    <n v="848.07"/>
    <n v="3000000"/>
    <n v="607730"/>
    <s v="MALE"/>
    <s v="JD"/>
    <s v="exec-managerial"/>
    <s v="chess"/>
    <s v="not-in-family"/>
    <n v="31000"/>
    <n v="-30200"/>
    <d v="2015-01-07T00:00:00"/>
    <s v="Vehicle Theft"/>
    <s v="?"/>
    <s v="Minor Damage"/>
    <s v="None"/>
    <x v="1"/>
    <x v="6"/>
    <s v="3790 Andromedia Hwy"/>
    <n v="5"/>
    <n v="1"/>
    <s v="YES"/>
    <n v="2"/>
    <n v="1"/>
    <s v="?"/>
    <n v="5720"/>
    <n v="1040"/>
    <n v="520"/>
    <n v="4160"/>
    <s v="Suburu"/>
    <s v="Forrestor"/>
    <n v="2003"/>
    <s v="Y"/>
    <n v="6.7367825974301292"/>
    <n v="-4871.93"/>
    <n v="0.14823807026743577"/>
    <n v="12"/>
    <n v="202"/>
    <x v="2"/>
    <x v="1"/>
  </r>
  <r>
    <n v="224"/>
    <n v="40"/>
    <n v="914088"/>
    <d v="1990-02-08T00:00:00"/>
    <s v="OH"/>
    <s v="100/300"/>
    <n v="2000"/>
    <n v="1291.7"/>
    <n v="0"/>
    <n v="609837"/>
    <s v="FEMALE"/>
    <s v="JD"/>
    <s v="sales"/>
    <s v="kayaking"/>
    <s v="not-in-family"/>
    <n v="0"/>
    <n v="-55600"/>
    <d v="2015-01-08T00:00:00"/>
    <s v="Single Vehicle Collision"/>
    <s v="Side Collision"/>
    <s v="Minor Damage"/>
    <s v="Other"/>
    <x v="0"/>
    <x v="5"/>
    <s v="3220 Rock Drive"/>
    <n v="21"/>
    <n v="1"/>
    <s v="NO"/>
    <n v="1"/>
    <n v="0"/>
    <s v="YES"/>
    <n v="69840"/>
    <n v="7760"/>
    <n v="15520"/>
    <n v="46560"/>
    <s v="Dodge"/>
    <s v="Neon"/>
    <n v="2009"/>
    <s v="N"/>
    <n v="54.026456254351359"/>
    <n v="-68548.3"/>
    <n v="1.8494866911985798E-2"/>
    <n v="6"/>
    <n v="224"/>
    <x v="0"/>
    <x v="0"/>
  </r>
  <r>
    <n v="241"/>
    <n v="45"/>
    <n v="596785"/>
    <d v="2014-03-04T00:00:00"/>
    <s v="IL"/>
    <s v="500/1000"/>
    <n v="2000"/>
    <n v="1104.5"/>
    <n v="0"/>
    <n v="432211"/>
    <s v="FEMALE"/>
    <s v="PhD"/>
    <s v="machine-op-inspct"/>
    <s v="basketball"/>
    <s v="unmarried"/>
    <n v="0"/>
    <n v="0"/>
    <d v="2015-02-15T00:00:00"/>
    <s v="Single Vehicle Collision"/>
    <s v="Rear Collision"/>
    <s v="Minor Damage"/>
    <s v="Police"/>
    <x v="0"/>
    <x v="6"/>
    <s v="2100 Francis Drive"/>
    <n v="5"/>
    <n v="1"/>
    <s v="NO"/>
    <n v="2"/>
    <n v="2"/>
    <s v="NO"/>
    <n v="91650"/>
    <n v="14100"/>
    <n v="14100"/>
    <n v="63450"/>
    <s v="Accura"/>
    <s v="TL"/>
    <n v="2011"/>
    <s v="N"/>
    <n v="82.903663500678419"/>
    <n v="-90545.5"/>
    <n v="1.2051150560277574E-2"/>
    <n v="4"/>
    <n v="241"/>
    <x v="0"/>
    <x v="0"/>
  </r>
  <r>
    <n v="64"/>
    <n v="25"/>
    <n v="908616"/>
    <d v="2000-02-18T00:00:00"/>
    <s v="IL"/>
    <s v="250/500"/>
    <n v="1000"/>
    <n v="954.16"/>
    <n v="0"/>
    <n v="473328"/>
    <s v="MALE"/>
    <s v="Masters"/>
    <s v="prof-specialty"/>
    <s v="video-games"/>
    <s v="husband"/>
    <n v="53200"/>
    <n v="0"/>
    <d v="2015-01-18T00:00:00"/>
    <s v="Multi-vehicle Collision"/>
    <s v="Side Collision"/>
    <s v="Major Damage"/>
    <s v="Ambulance"/>
    <x v="0"/>
    <x v="0"/>
    <s v="4687 5th Drive"/>
    <n v="22"/>
    <n v="4"/>
    <s v="NO"/>
    <n v="0"/>
    <n v="0"/>
    <s v="?"/>
    <n v="75600"/>
    <n v="12600"/>
    <n v="12600"/>
    <n v="50400"/>
    <s v="Toyota"/>
    <s v="Corolla"/>
    <n v="2005"/>
    <s v="N"/>
    <n v="79.149043092256804"/>
    <n v="-74645.84"/>
    <n v="1.2620997076758244E-2"/>
    <n v="10"/>
    <n v="64"/>
    <x v="0"/>
    <x v="0"/>
  </r>
  <r>
    <n v="166"/>
    <n v="37"/>
    <n v="666333"/>
    <d v="2008-06-19T00:00:00"/>
    <s v="IL"/>
    <s v="100/300"/>
    <n v="2000"/>
    <n v="1337.28"/>
    <n v="8000000"/>
    <n v="610393"/>
    <s v="MALE"/>
    <s v="JD"/>
    <s v="craft-repair"/>
    <s v="reading"/>
    <s v="husband"/>
    <n v="27500"/>
    <n v="0"/>
    <d v="2015-02-28T00:00:00"/>
    <s v="Multi-vehicle Collision"/>
    <s v="Side Collision"/>
    <s v="Major Damage"/>
    <s v="Police"/>
    <x v="4"/>
    <x v="1"/>
    <s v="9038 2nd Lane"/>
    <n v="10"/>
    <n v="3"/>
    <s v="NO"/>
    <n v="2"/>
    <n v="2"/>
    <s v="?"/>
    <n v="67140"/>
    <n v="7460"/>
    <n v="7460"/>
    <n v="52220"/>
    <s v="Ford"/>
    <s v="F150"/>
    <n v="2006"/>
    <s v="Y"/>
    <n v="50.168873479391458"/>
    <n v="-65802.720000000001"/>
    <n v="1.9917487079429856E-2"/>
    <n v="9"/>
    <n v="166"/>
    <x v="0"/>
    <x v="0"/>
  </r>
  <r>
    <n v="155"/>
    <n v="35"/>
    <n v="336614"/>
    <d v="2003-08-01T00:00:00"/>
    <s v="IL"/>
    <s v="500/1000"/>
    <n v="1000"/>
    <n v="1088.3399999999999"/>
    <n v="0"/>
    <n v="614780"/>
    <s v="FEMALE"/>
    <s v="Associate"/>
    <s v="adm-clerical"/>
    <s v="yachting"/>
    <s v="other-relative"/>
    <n v="81100"/>
    <n v="0"/>
    <d v="2015-02-24T00:00:00"/>
    <s v="Multi-vehicle Collision"/>
    <s v="Front Collision"/>
    <s v="Total Loss"/>
    <s v="Police"/>
    <x v="2"/>
    <x v="2"/>
    <s v="6092 5th Ave"/>
    <n v="16"/>
    <n v="3"/>
    <s v="YES"/>
    <n v="2"/>
    <n v="3"/>
    <s v="NO"/>
    <n v="29790"/>
    <n v="3310"/>
    <n v="3310"/>
    <n v="23170"/>
    <s v="BMW"/>
    <s v="3 Series"/>
    <n v="2008"/>
    <s v="N"/>
    <n v="27.346833862705861"/>
    <n v="-28701.66"/>
    <n v="3.6532509818401525E-2"/>
    <n v="7"/>
    <n v="155"/>
    <x v="0"/>
    <x v="0"/>
  </r>
  <r>
    <n v="114"/>
    <n v="30"/>
    <n v="584859"/>
    <d v="1992-04-04T00:00:00"/>
    <s v="IL"/>
    <s v="100/300"/>
    <n v="1000"/>
    <n v="1558.29"/>
    <n v="0"/>
    <n v="472248"/>
    <s v="MALE"/>
    <s v="High School"/>
    <s v="farming-fishing"/>
    <s v="video-games"/>
    <s v="wife"/>
    <n v="51400"/>
    <n v="-64000"/>
    <d v="2015-01-09T00:00:00"/>
    <s v="Multi-vehicle Collision"/>
    <s v="Front Collision"/>
    <s v="Major Damage"/>
    <s v="Ambulance"/>
    <x v="2"/>
    <x v="4"/>
    <s v="8353 Britain Ridge"/>
    <n v="1"/>
    <n v="3"/>
    <s v="NO"/>
    <n v="1"/>
    <n v="2"/>
    <s v="?"/>
    <n v="77110"/>
    <n v="14020"/>
    <n v="14020"/>
    <n v="49070"/>
    <s v="Suburu"/>
    <s v="Impreza"/>
    <n v="2015"/>
    <s v="N"/>
    <n v="49.451994176836898"/>
    <n v="-75551.710000000006"/>
    <n v="2.0208400876658324E-2"/>
    <n v="0"/>
    <n v="114"/>
    <x v="0"/>
    <x v="0"/>
  </r>
  <r>
    <n v="149"/>
    <n v="37"/>
    <n v="990493"/>
    <d v="1991-01-13T00:00:00"/>
    <s v="IL"/>
    <s v="500/1000"/>
    <n v="500"/>
    <n v="1415.68"/>
    <n v="0"/>
    <n v="603381"/>
    <s v="MALE"/>
    <s v="PhD"/>
    <s v="prof-specialty"/>
    <s v="yachting"/>
    <s v="own-child"/>
    <n v="0"/>
    <n v="0"/>
    <d v="2015-02-12T00:00:00"/>
    <s v="Single Vehicle Collision"/>
    <s v="Side Collision"/>
    <s v="Total Loss"/>
    <s v="Fire"/>
    <x v="4"/>
    <x v="4"/>
    <s v="3540 Maple St"/>
    <n v="17"/>
    <n v="1"/>
    <s v="YES"/>
    <n v="0"/>
    <n v="1"/>
    <s v="YES"/>
    <n v="64800"/>
    <n v="10800"/>
    <n v="5400"/>
    <n v="48600"/>
    <s v="Audi"/>
    <s v="A3"/>
    <n v="1999"/>
    <s v="N"/>
    <n v="45.740745969449698"/>
    <n v="-63384.32"/>
    <n v="2.1846576441721579E-2"/>
    <n v="16"/>
    <n v="149"/>
    <x v="0"/>
    <x v="0"/>
  </r>
  <r>
    <n v="147"/>
    <n v="33"/>
    <n v="129872"/>
    <d v="2010-08-08T00:00:00"/>
    <s v="OH"/>
    <s v="100/300"/>
    <n v="1000"/>
    <n v="1334.15"/>
    <n v="6000000"/>
    <n v="479224"/>
    <s v="MALE"/>
    <s v="High School"/>
    <s v="craft-repair"/>
    <s v="reading"/>
    <s v="not-in-family"/>
    <n v="53300"/>
    <n v="-49200"/>
    <d v="2015-01-24T00:00:00"/>
    <s v="Single Vehicle Collision"/>
    <s v="Front Collision"/>
    <s v="Major Damage"/>
    <s v="Other"/>
    <x v="4"/>
    <x v="3"/>
    <s v="3104 Sky Drive"/>
    <n v="15"/>
    <n v="1"/>
    <s v="YES"/>
    <n v="2"/>
    <n v="0"/>
    <s v="YES"/>
    <n v="53100"/>
    <n v="10620"/>
    <n v="5310"/>
    <n v="37170"/>
    <s v="Mercedes"/>
    <s v="C300"/>
    <n v="1995"/>
    <s v="Y"/>
    <n v="39.770812268284459"/>
    <n v="-51765.85"/>
    <n v="2.51247622455321E-2"/>
    <n v="20"/>
    <n v="147"/>
    <x v="0"/>
    <x v="0"/>
  </r>
  <r>
    <n v="62"/>
    <n v="28"/>
    <n v="200152"/>
    <d v="2003-03-09T00:00:00"/>
    <s v="IL"/>
    <s v="100/300"/>
    <n v="1000"/>
    <n v="988.45"/>
    <n v="0"/>
    <n v="430141"/>
    <s v="FEMALE"/>
    <s v="Masters"/>
    <s v="protective-serv"/>
    <s v="camping"/>
    <s v="unmarried"/>
    <n v="0"/>
    <n v="0"/>
    <d v="2015-01-09T00:00:00"/>
    <s v="Single Vehicle Collision"/>
    <s v="Rear Collision"/>
    <s v="Total Loss"/>
    <s v="Police"/>
    <x v="2"/>
    <x v="6"/>
    <s v="4981 Weaver St"/>
    <n v="3"/>
    <n v="1"/>
    <s v="?"/>
    <n v="1"/>
    <n v="1"/>
    <s v="YES"/>
    <n v="60200"/>
    <n v="6020"/>
    <n v="6020"/>
    <n v="48160"/>
    <s v="Suburu"/>
    <s v="Forrestor"/>
    <n v="2004"/>
    <s v="Y"/>
    <n v="60.841881853555002"/>
    <n v="-59211.55"/>
    <n v="1.6419162472384181E-2"/>
    <n v="11"/>
    <n v="62"/>
    <x v="0"/>
    <x v="0"/>
  </r>
  <r>
    <n v="289"/>
    <n v="49"/>
    <n v="933293"/>
    <d v="1993-02-03T00:00:00"/>
    <s v="IL"/>
    <s v="500/1000"/>
    <n v="2000"/>
    <n v="1222.48"/>
    <n v="0"/>
    <n v="620757"/>
    <s v="FEMALE"/>
    <s v="JD"/>
    <s v="priv-house-serv"/>
    <s v="golf"/>
    <s v="unmarried"/>
    <n v="0"/>
    <n v="0"/>
    <d v="2015-01-18T00:00:00"/>
    <s v="Parked Car"/>
    <s v="?"/>
    <s v="Minor Damage"/>
    <s v="None"/>
    <x v="4"/>
    <x v="2"/>
    <s v="6676 Tree Lane"/>
    <n v="16"/>
    <n v="1"/>
    <s v="NO"/>
    <n v="1"/>
    <n v="1"/>
    <s v="YES"/>
    <n v="5330"/>
    <n v="1230"/>
    <n v="820"/>
    <n v="3280"/>
    <s v="Suburu"/>
    <s v="Legacy"/>
    <n v="2001"/>
    <s v="N"/>
    <n v="4.3564259325857391"/>
    <n v="-4107.5200000000004"/>
    <n v="0.2293153254548865"/>
    <n v="14"/>
    <n v="289"/>
    <x v="1"/>
    <x v="1"/>
  </r>
  <r>
    <n v="431"/>
    <n v="54"/>
    <n v="485664"/>
    <d v="2002-11-25T00:00:00"/>
    <s v="IN"/>
    <s v="500/1000"/>
    <n v="2000"/>
    <n v="1155.55"/>
    <n v="0"/>
    <n v="615901"/>
    <s v="FEMALE"/>
    <s v="MD"/>
    <s v="craft-repair"/>
    <s v="bungie-jumping"/>
    <s v="unmarried"/>
    <n v="65700"/>
    <n v="0"/>
    <d v="2015-01-21T00:00:00"/>
    <s v="Multi-vehicle Collision"/>
    <s v="Rear Collision"/>
    <s v="Major Damage"/>
    <s v="Police"/>
    <x v="2"/>
    <x v="4"/>
    <s v="3930 Embaracadero St"/>
    <n v="4"/>
    <n v="3"/>
    <s v="?"/>
    <n v="2"/>
    <n v="0"/>
    <s v="?"/>
    <n v="62300"/>
    <n v="12460"/>
    <n v="6230"/>
    <n v="43610"/>
    <s v="Jeep"/>
    <s v="Wrangler"/>
    <n v="2007"/>
    <s v="N"/>
    <n v="53.86710475119969"/>
    <n v="-61144.45"/>
    <n v="1.8547856374697035E-2"/>
    <n v="8"/>
    <n v="431"/>
    <x v="0"/>
    <x v="0"/>
  </r>
  <r>
    <n v="199"/>
    <n v="37"/>
    <n v="982871"/>
    <d v="1997-07-27T00:00:00"/>
    <s v="IN"/>
    <s v="250/500"/>
    <n v="500"/>
    <n v="1262.08"/>
    <n v="0"/>
    <n v="474615"/>
    <s v="MALE"/>
    <s v="JD"/>
    <s v="tech-support"/>
    <s v="video-games"/>
    <s v="wife"/>
    <n v="48500"/>
    <n v="0"/>
    <d v="2015-01-08T00:00:00"/>
    <s v="Single Vehicle Collision"/>
    <s v="Front Collision"/>
    <s v="Major Damage"/>
    <s v="Ambulance"/>
    <x v="5"/>
    <x v="0"/>
    <s v="3422 Flute St"/>
    <n v="4"/>
    <n v="1"/>
    <s v="?"/>
    <n v="0"/>
    <n v="3"/>
    <s v="NO"/>
    <n v="60170"/>
    <n v="10940"/>
    <n v="10940"/>
    <n v="38290"/>
    <s v="Nissan"/>
    <s v="Pathfinder"/>
    <n v="2011"/>
    <s v="Y"/>
    <n v="47.637520980460465"/>
    <n v="-58907.92"/>
    <n v="2.0974888235196356E-2"/>
    <n v="4"/>
    <n v="199"/>
    <x v="0"/>
    <x v="0"/>
  </r>
  <r>
    <n v="79"/>
    <n v="26"/>
    <n v="206213"/>
    <d v="1995-05-08T00:00:00"/>
    <s v="IL"/>
    <s v="100/300"/>
    <n v="500"/>
    <n v="1451.62"/>
    <n v="0"/>
    <n v="456446"/>
    <s v="MALE"/>
    <s v="Associate"/>
    <s v="tech-support"/>
    <s v="kayaking"/>
    <s v="not-in-family"/>
    <n v="0"/>
    <n v="-55700"/>
    <d v="2015-01-03T00:00:00"/>
    <s v="Single Vehicle Collision"/>
    <s v="Rear Collision"/>
    <s v="Minor Damage"/>
    <s v="Ambulance"/>
    <x v="4"/>
    <x v="0"/>
    <s v="4862 Lincoln Hwy"/>
    <n v="19"/>
    <n v="1"/>
    <s v="NO"/>
    <n v="2"/>
    <n v="2"/>
    <s v="?"/>
    <n v="40000"/>
    <n v="8000"/>
    <n v="4000"/>
    <n v="28000"/>
    <s v="BMW"/>
    <s v="M5"/>
    <n v="2010"/>
    <s v="N"/>
    <n v="27.536451377510982"/>
    <n v="-38548.379999999997"/>
    <n v="3.628959276018099E-2"/>
    <n v="5"/>
    <n v="79"/>
    <x v="0"/>
    <x v="0"/>
  </r>
  <r>
    <n v="116"/>
    <n v="34"/>
    <n v="616337"/>
    <d v="2012-08-30T00:00:00"/>
    <s v="IN"/>
    <s v="250/500"/>
    <n v="500"/>
    <n v="1737.66"/>
    <n v="0"/>
    <n v="470577"/>
    <s v="MALE"/>
    <s v="Associate"/>
    <s v="transport-moving"/>
    <s v="chess"/>
    <s v="unmarried"/>
    <n v="0"/>
    <n v="-24100"/>
    <d v="2015-01-01T00:00:00"/>
    <s v="Single Vehicle Collision"/>
    <s v="Side Collision"/>
    <s v="Major Damage"/>
    <s v="Police"/>
    <x v="4"/>
    <x v="6"/>
    <s v="5719 2nd Lane"/>
    <n v="1"/>
    <n v="1"/>
    <s v="?"/>
    <n v="1"/>
    <n v="1"/>
    <s v="?"/>
    <n v="97080"/>
    <n v="16180"/>
    <n v="16180"/>
    <n v="64720"/>
    <s v="BMW"/>
    <s v="X5"/>
    <n v="2001"/>
    <s v="Y"/>
    <n v="55.836103666041659"/>
    <n v="-95342.34"/>
    <n v="1.7899073969159775E-2"/>
    <n v="14"/>
    <n v="116"/>
    <x v="0"/>
    <x v="0"/>
  </r>
  <r>
    <n v="37"/>
    <n v="23"/>
    <n v="448961"/>
    <d v="2006-04-30T00:00:00"/>
    <s v="IL"/>
    <s v="500/1000"/>
    <n v="500"/>
    <n v="1475.93"/>
    <n v="0"/>
    <n v="441648"/>
    <s v="FEMALE"/>
    <s v="College"/>
    <s v="prof-specialty"/>
    <s v="hiking"/>
    <s v="husband"/>
    <n v="0"/>
    <n v="-67400"/>
    <d v="2015-01-16T00:00:00"/>
    <s v="Multi-vehicle Collision"/>
    <s v="Side Collision"/>
    <s v="Minor Damage"/>
    <s v="Other"/>
    <x v="0"/>
    <x v="3"/>
    <s v="3221 Solo Ridge"/>
    <n v="17"/>
    <n v="3"/>
    <s v="YES"/>
    <n v="1"/>
    <n v="0"/>
    <s v="NO"/>
    <n v="51660"/>
    <n v="5740"/>
    <n v="5740"/>
    <n v="40180"/>
    <s v="Dodge"/>
    <s v="RAM"/>
    <n v="2010"/>
    <s v="N"/>
    <n v="34.977961040807621"/>
    <n v="-50184.07"/>
    <n v="2.8569520528057918E-2"/>
    <n v="5"/>
    <n v="37"/>
    <x v="0"/>
    <x v="0"/>
  </r>
  <r>
    <n v="106"/>
    <n v="30"/>
    <n v="790442"/>
    <d v="2003-04-13T00:00:00"/>
    <s v="OH"/>
    <s v="250/500"/>
    <n v="500"/>
    <n v="538.16999999999996"/>
    <n v="0"/>
    <n v="433782"/>
    <s v="FEMALE"/>
    <s v="PhD"/>
    <s v="transport-moving"/>
    <s v="reading"/>
    <s v="own-child"/>
    <n v="49700"/>
    <n v="-60200"/>
    <d v="2015-02-10T00:00:00"/>
    <s v="Single Vehicle Collision"/>
    <s v="Rear Collision"/>
    <s v="Total Loss"/>
    <s v="Other"/>
    <x v="5"/>
    <x v="2"/>
    <s v="6660 MLK Drive"/>
    <n v="23"/>
    <n v="1"/>
    <s v="NO"/>
    <n v="2"/>
    <n v="2"/>
    <s v="NO"/>
    <n v="51120"/>
    <n v="5680"/>
    <n v="5680"/>
    <n v="39760"/>
    <s v="Mercedes"/>
    <s v="E400"/>
    <n v="2005"/>
    <s v="N"/>
    <n v="94.812396832167963"/>
    <n v="-50581.83"/>
    <n v="1.0527376225034722E-2"/>
    <n v="10"/>
    <n v="106"/>
    <x v="0"/>
    <x v="0"/>
  </r>
  <r>
    <n v="269"/>
    <n v="44"/>
    <n v="108844"/>
    <d v="2007-12-05T00:00:00"/>
    <s v="IL"/>
    <s v="100/300"/>
    <n v="2000"/>
    <n v="1081.08"/>
    <n v="0"/>
    <n v="468104"/>
    <s v="MALE"/>
    <s v="JD"/>
    <s v="priv-house-serv"/>
    <s v="reading"/>
    <s v="unmarried"/>
    <n v="36400"/>
    <n v="-28700"/>
    <d v="2015-02-14T00:00:00"/>
    <s v="Single Vehicle Collision"/>
    <s v="Front Collision"/>
    <s v="Minor Damage"/>
    <s v="Other"/>
    <x v="0"/>
    <x v="3"/>
    <s v="1699 Oak Drive"/>
    <n v="14"/>
    <n v="1"/>
    <s v="YES"/>
    <n v="0"/>
    <n v="2"/>
    <s v="?"/>
    <n v="56400"/>
    <n v="11280"/>
    <n v="11280"/>
    <n v="33840"/>
    <s v="Toyota"/>
    <s v="Highlander"/>
    <n v="2014"/>
    <s v="N"/>
    <n v="52.121839420375579"/>
    <n v="-55318.92"/>
    <n v="1.9167745252743746E-2"/>
    <n v="1"/>
    <n v="269"/>
    <x v="0"/>
    <x v="0"/>
  </r>
  <r>
    <n v="265"/>
    <n v="40"/>
    <n v="430029"/>
    <d v="2006-08-21T00:00:00"/>
    <s v="IL"/>
    <s v="250/500"/>
    <n v="1000"/>
    <n v="1454.43"/>
    <n v="0"/>
    <n v="459407"/>
    <s v="FEMALE"/>
    <s v="MD"/>
    <s v="protective-serv"/>
    <s v="yachting"/>
    <s v="husband"/>
    <n v="0"/>
    <n v="0"/>
    <d v="2015-02-21T00:00:00"/>
    <s v="Multi-vehicle Collision"/>
    <s v="Rear Collision"/>
    <s v="Total Loss"/>
    <s v="Other"/>
    <x v="2"/>
    <x v="2"/>
    <s v="4234 Cherokee Lane"/>
    <n v="17"/>
    <n v="3"/>
    <s v="NO"/>
    <n v="2"/>
    <n v="3"/>
    <s v="?"/>
    <n v="55120"/>
    <n v="6890"/>
    <n v="0"/>
    <n v="48230"/>
    <s v="Accura"/>
    <s v="MDX"/>
    <n v="2002"/>
    <s v="N"/>
    <n v="37.87196910878572"/>
    <n v="-53665.57"/>
    <n v="2.6386132327062283E-2"/>
    <n v="13"/>
    <n v="265"/>
    <x v="0"/>
    <x v="0"/>
  </r>
  <r>
    <n v="163"/>
    <n v="33"/>
    <n v="529112"/>
    <d v="1990-01-08T00:00:00"/>
    <s v="IN"/>
    <s v="100/300"/>
    <n v="500"/>
    <n v="1240.47"/>
    <n v="0"/>
    <n v="472573"/>
    <s v="FEMALE"/>
    <s v="Associate"/>
    <s v="other-service"/>
    <s v="polo"/>
    <s v="husband"/>
    <n v="35300"/>
    <n v="0"/>
    <d v="2015-02-18T00:00:00"/>
    <s v="Multi-vehicle Collision"/>
    <s v="Rear Collision"/>
    <s v="Total Loss"/>
    <s v="Fire"/>
    <x v="5"/>
    <x v="5"/>
    <s v="7476 4th St"/>
    <n v="11"/>
    <n v="3"/>
    <s v="YES"/>
    <n v="1"/>
    <n v="1"/>
    <s v="?"/>
    <n v="77110"/>
    <n v="0"/>
    <n v="14020"/>
    <n v="63090"/>
    <s v="Honda"/>
    <s v="Civic"/>
    <n v="2014"/>
    <s v="N"/>
    <n v="62.111851273087545"/>
    <n v="-75869.53"/>
    <n v="1.6086809923357238E-2"/>
    <n v="1"/>
    <n v="163"/>
    <x v="0"/>
    <x v="0"/>
  </r>
  <r>
    <n v="355"/>
    <n v="47"/>
    <n v="939631"/>
    <d v="1990-03-18T00:00:00"/>
    <s v="OH"/>
    <s v="500/1000"/>
    <n v="2000"/>
    <n v="1273.7"/>
    <n v="4000000"/>
    <n v="433473"/>
    <s v="MALE"/>
    <s v="College"/>
    <s v="other-service"/>
    <s v="kayaking"/>
    <s v="husband"/>
    <n v="0"/>
    <n v="0"/>
    <d v="2015-01-10T00:00:00"/>
    <s v="Multi-vehicle Collision"/>
    <s v="Front Collision"/>
    <s v="Major Damage"/>
    <s v="Fire"/>
    <x v="4"/>
    <x v="2"/>
    <s v="8907 Tree Ave"/>
    <n v="19"/>
    <n v="3"/>
    <s v="NO"/>
    <n v="2"/>
    <n v="1"/>
    <s v="NO"/>
    <n v="62800"/>
    <n v="6280"/>
    <n v="6280"/>
    <n v="50240"/>
    <s v="Audi"/>
    <s v="A3"/>
    <n v="2003"/>
    <s v="Y"/>
    <n v="49.266494077037734"/>
    <n v="-61526.3"/>
    <n v="2.0281524179551282E-2"/>
    <n v="12"/>
    <n v="355"/>
    <x v="0"/>
    <x v="0"/>
  </r>
  <r>
    <n v="175"/>
    <n v="34"/>
    <n v="866931"/>
    <d v="2008-01-07T00:00:00"/>
    <s v="IN"/>
    <s v="500/1000"/>
    <n v="1000"/>
    <n v="1123.8699999999999"/>
    <n v="8000000"/>
    <n v="446326"/>
    <s v="FEMALE"/>
    <s v="PhD"/>
    <s v="protective-serv"/>
    <s v="dancing"/>
    <s v="other-relative"/>
    <n v="0"/>
    <n v="0"/>
    <d v="2015-02-26T00:00:00"/>
    <s v="Vehicle Theft"/>
    <s v="?"/>
    <s v="Trivial Damage"/>
    <s v="Police"/>
    <x v="2"/>
    <x v="2"/>
    <s v="6619 Flute Ave"/>
    <n v="5"/>
    <n v="1"/>
    <s v="?"/>
    <n v="2"/>
    <n v="0"/>
    <s v="YES"/>
    <n v="7290"/>
    <n v="810"/>
    <n v="810"/>
    <n v="5670"/>
    <s v="Volkswagen"/>
    <s v="Passat"/>
    <n v="1995"/>
    <s v="N"/>
    <n v="6.4807488865380005"/>
    <n v="-6166.13"/>
    <n v="0.15414483609930049"/>
    <n v="20"/>
    <n v="175"/>
    <x v="2"/>
    <x v="0"/>
  </r>
  <r>
    <n v="192"/>
    <n v="35"/>
    <n v="582011"/>
    <d v="1997-03-10T00:00:00"/>
    <s v="IL"/>
    <s v="100/300"/>
    <n v="1000"/>
    <n v="1245.8900000000001"/>
    <n v="0"/>
    <n v="435481"/>
    <s v="FEMALE"/>
    <s v="Masters"/>
    <s v="exec-managerial"/>
    <s v="movies"/>
    <s v="wife"/>
    <n v="0"/>
    <n v="-40300"/>
    <d v="2015-01-01T00:00:00"/>
    <s v="Single Vehicle Collision"/>
    <s v="Rear Collision"/>
    <s v="Total Loss"/>
    <s v="Other"/>
    <x v="4"/>
    <x v="3"/>
    <s v="6011 Britain St"/>
    <n v="19"/>
    <n v="1"/>
    <s v="NO"/>
    <n v="0"/>
    <n v="0"/>
    <s v="?"/>
    <n v="76600"/>
    <n v="15320"/>
    <n v="7660"/>
    <n v="53620"/>
    <s v="Mercedes"/>
    <s v="C300"/>
    <n v="2000"/>
    <s v="N"/>
    <n v="61.43284491815637"/>
    <n v="-75354.11"/>
    <n v="1.6264670174018617E-2"/>
    <n v="15"/>
    <n v="192"/>
    <x v="0"/>
    <x v="0"/>
  </r>
  <r>
    <n v="430"/>
    <n v="59"/>
    <n v="691189"/>
    <d v="2004-01-10T00:00:00"/>
    <s v="OH"/>
    <s v="250/500"/>
    <n v="2000"/>
    <n v="1326.62"/>
    <n v="7000000"/>
    <n v="477310"/>
    <s v="MALE"/>
    <s v="MD"/>
    <s v="other-service"/>
    <s v="bungie-jumping"/>
    <s v="own-child"/>
    <n v="0"/>
    <n v="0"/>
    <d v="2015-01-03T00:00:00"/>
    <s v="Multi-vehicle Collision"/>
    <s v="Front Collision"/>
    <s v="Minor Damage"/>
    <s v="Fire"/>
    <x v="2"/>
    <x v="1"/>
    <s v="5104 Francis Drive"/>
    <n v="19"/>
    <n v="3"/>
    <s v="?"/>
    <n v="0"/>
    <n v="3"/>
    <s v="YES"/>
    <n v="81800"/>
    <n v="16360"/>
    <n v="8180"/>
    <n v="57260"/>
    <s v="Nissan"/>
    <s v="Pathfinder"/>
    <n v="1998"/>
    <s v="N"/>
    <n v="61.614016058812012"/>
    <n v="-80473.38"/>
    <n v="1.6217650150976148E-2"/>
    <n v="17"/>
    <n v="430"/>
    <x v="0"/>
    <x v="0"/>
  </r>
  <r>
    <n v="91"/>
    <n v="27"/>
    <n v="537546"/>
    <d v="1994-08-20T00:00:00"/>
    <s v="IL"/>
    <s v="100/300"/>
    <n v="2000"/>
    <n v="1073.83"/>
    <n v="0"/>
    <n v="609930"/>
    <s v="FEMALE"/>
    <s v="JD"/>
    <s v="farming-fishing"/>
    <s v="polo"/>
    <s v="husband"/>
    <n v="0"/>
    <n v="0"/>
    <d v="2015-01-17T00:00:00"/>
    <s v="Vehicle Theft"/>
    <s v="?"/>
    <s v="Trivial Damage"/>
    <s v="None"/>
    <x v="2"/>
    <x v="2"/>
    <s v="2280 4th Ave"/>
    <n v="4"/>
    <n v="1"/>
    <s v="?"/>
    <n v="1"/>
    <n v="2"/>
    <s v="?"/>
    <n v="7260"/>
    <n v="1320"/>
    <n v="660"/>
    <n v="5280"/>
    <s v="BMW"/>
    <s v="M5"/>
    <n v="2008"/>
    <s v="N"/>
    <n v="6.7545565345217389"/>
    <n v="-6186.17"/>
    <n v="0.14789009778267456"/>
    <n v="7"/>
    <n v="91"/>
    <x v="2"/>
    <x v="0"/>
  </r>
  <r>
    <n v="217"/>
    <n v="39"/>
    <n v="394975"/>
    <d v="2002-06-02T00:00:00"/>
    <s v="IN"/>
    <s v="100/300"/>
    <n v="1000"/>
    <n v="1530.52"/>
    <n v="0"/>
    <n v="603993"/>
    <s v="MALE"/>
    <s v="College"/>
    <s v="armed-forces"/>
    <s v="basketball"/>
    <s v="not-in-family"/>
    <n v="0"/>
    <n v="0"/>
    <d v="2015-02-22T00:00:00"/>
    <s v="Vehicle Theft"/>
    <s v="?"/>
    <s v="Minor Damage"/>
    <s v="None"/>
    <x v="4"/>
    <x v="5"/>
    <s v="2644 Elm Drive"/>
    <n v="8"/>
    <n v="1"/>
    <s v="?"/>
    <n v="2"/>
    <n v="1"/>
    <s v="YES"/>
    <n v="4300"/>
    <n v="430"/>
    <n v="430"/>
    <n v="3440"/>
    <s v="Toyota"/>
    <s v="Corolla"/>
    <n v="2000"/>
    <s v="N"/>
    <n v="2.8076681989134977"/>
    <n v="-2769.48"/>
    <n v="0.35585212741222971"/>
    <n v="15"/>
    <n v="217"/>
    <x v="1"/>
    <x v="1"/>
  </r>
  <r>
    <n v="223"/>
    <n v="40"/>
    <n v="729634"/>
    <d v="1994-04-28T00:00:00"/>
    <s v="IN"/>
    <s v="100/300"/>
    <n v="500"/>
    <n v="1201.4100000000001"/>
    <n v="0"/>
    <n v="437818"/>
    <s v="FEMALE"/>
    <s v="JD"/>
    <s v="priv-house-serv"/>
    <s v="movies"/>
    <s v="husband"/>
    <n v="88400"/>
    <n v="-46500"/>
    <d v="2015-01-27T00:00:00"/>
    <s v="Multi-vehicle Collision"/>
    <s v="Side Collision"/>
    <s v="Major Damage"/>
    <s v="Police"/>
    <x v="5"/>
    <x v="0"/>
    <s v="7466 MLK Ridge"/>
    <n v="7"/>
    <n v="3"/>
    <s v="YES"/>
    <n v="1"/>
    <n v="0"/>
    <s v="?"/>
    <n v="70510"/>
    <n v="12820"/>
    <n v="12820"/>
    <n v="44870"/>
    <s v="Suburu"/>
    <s v="Forrestor"/>
    <n v="1999"/>
    <s v="N"/>
    <n v="58.640563534900735"/>
    <n v="-69308.59"/>
    <n v="1.7038618087957907E-2"/>
    <n v="16"/>
    <n v="223"/>
    <x v="0"/>
    <x v="0"/>
  </r>
  <r>
    <n v="195"/>
    <n v="39"/>
    <n v="282195"/>
    <d v="2014-08-17T00:00:00"/>
    <s v="OH"/>
    <s v="250/500"/>
    <n v="1000"/>
    <n v="1393.57"/>
    <n v="0"/>
    <n v="478423"/>
    <s v="MALE"/>
    <s v="PhD"/>
    <s v="machine-op-inspct"/>
    <s v="movies"/>
    <s v="not-in-family"/>
    <n v="47600"/>
    <n v="-39600"/>
    <d v="2015-02-27T00:00:00"/>
    <s v="Parked Car"/>
    <s v="?"/>
    <s v="Minor Damage"/>
    <s v="Police"/>
    <x v="1"/>
    <x v="5"/>
    <s v="5821 2nd St"/>
    <n v="5"/>
    <n v="1"/>
    <s v="NO"/>
    <n v="0"/>
    <n v="1"/>
    <s v="YES"/>
    <n v="2640"/>
    <n v="480"/>
    <n v="480"/>
    <n v="1680"/>
    <s v="Ford"/>
    <s v="F150"/>
    <n v="2009"/>
    <s v="N"/>
    <n v="1.8930566411151826"/>
    <n v="-1246.43"/>
    <n v="0.52766755017039002"/>
    <n v="6"/>
    <n v="195"/>
    <x v="1"/>
    <x v="1"/>
  </r>
  <r>
    <n v="22"/>
    <n v="26"/>
    <n v="420810"/>
    <d v="2007-08-11T00:00:00"/>
    <s v="OH"/>
    <s v="100/300"/>
    <n v="1000"/>
    <n v="1276.57"/>
    <n v="0"/>
    <n v="467784"/>
    <s v="MALE"/>
    <s v="PhD"/>
    <s v="craft-repair"/>
    <s v="skydiving"/>
    <s v="not-in-family"/>
    <n v="71500"/>
    <n v="0"/>
    <d v="2015-01-06T00:00:00"/>
    <s v="Single Vehicle Collision"/>
    <s v="Rear Collision"/>
    <s v="Minor Damage"/>
    <s v="Fire"/>
    <x v="2"/>
    <x v="2"/>
    <s v="6723 Best Drive"/>
    <n v="3"/>
    <n v="1"/>
    <s v="YES"/>
    <n v="1"/>
    <n v="2"/>
    <s v="NO"/>
    <n v="78900"/>
    <n v="15780"/>
    <n v="7890"/>
    <n v="55230"/>
    <s v="Chevrolet"/>
    <s v="Silverado"/>
    <n v="1995"/>
    <s v="N"/>
    <n v="61.757868453391993"/>
    <n v="-77623.429999999993"/>
    <n v="1.6179389361351566E-2"/>
    <n v="20"/>
    <n v="22"/>
    <x v="0"/>
    <x v="0"/>
  </r>
  <r>
    <n v="439"/>
    <n v="56"/>
    <n v="524836"/>
    <d v="2008-11-20T00:00:00"/>
    <s v="IN"/>
    <s v="250/500"/>
    <n v="500"/>
    <n v="1082.49"/>
    <n v="0"/>
    <n v="606714"/>
    <s v="FEMALE"/>
    <s v="PhD"/>
    <s v="prof-specialty"/>
    <s v="chess"/>
    <s v="unmarried"/>
    <n v="36100"/>
    <n v="-55000"/>
    <d v="2015-02-28T00:00:00"/>
    <s v="Multi-vehicle Collision"/>
    <s v="Front Collision"/>
    <s v="Major Damage"/>
    <s v="Fire"/>
    <x v="0"/>
    <x v="0"/>
    <s v="4866 4th Hwy"/>
    <n v="12"/>
    <n v="3"/>
    <s v="?"/>
    <n v="2"/>
    <n v="3"/>
    <s v="?"/>
    <n v="56430"/>
    <n v="0"/>
    <n v="6270"/>
    <n v="50160"/>
    <s v="Honda"/>
    <s v="CRV"/>
    <n v="2014"/>
    <s v="N"/>
    <n v="52.081698954305068"/>
    <n v="-55347.51"/>
    <n v="1.9182541510871683E-2"/>
    <n v="1"/>
    <n v="439"/>
    <x v="0"/>
    <x v="0"/>
  </r>
  <r>
    <n v="94"/>
    <n v="32"/>
    <n v="307195"/>
    <d v="1995-10-18T00:00:00"/>
    <s v="IN"/>
    <s v="500/1000"/>
    <n v="1000"/>
    <n v="1414.74"/>
    <n v="0"/>
    <n v="464691"/>
    <s v="FEMALE"/>
    <s v="Masters"/>
    <s v="adm-clerical"/>
    <s v="hiking"/>
    <s v="own-child"/>
    <n v="0"/>
    <n v="0"/>
    <d v="2015-02-22T00:00:00"/>
    <s v="Parked Car"/>
    <s v="?"/>
    <s v="Minor Damage"/>
    <s v="None"/>
    <x v="1"/>
    <x v="1"/>
    <s v="5418 Britain Ave"/>
    <n v="19"/>
    <n v="1"/>
    <s v="NO"/>
    <n v="1"/>
    <n v="3"/>
    <s v="NO"/>
    <n v="2400"/>
    <n v="300"/>
    <n v="300"/>
    <n v="1800"/>
    <s v="Chevrolet"/>
    <s v="Silverado"/>
    <n v="2014"/>
    <s v="N"/>
    <n v="1.6952265246443556"/>
    <n v="-985.26"/>
    <n v="0.58922948771345274"/>
    <n v="1"/>
    <n v="94"/>
    <x v="1"/>
    <x v="1"/>
  </r>
  <r>
    <n v="11"/>
    <n v="39"/>
    <n v="623648"/>
    <d v="1993-05-19T00:00:00"/>
    <s v="IL"/>
    <s v="250/500"/>
    <n v="2000"/>
    <n v="1470.06"/>
    <n v="0"/>
    <n v="431683"/>
    <s v="MALE"/>
    <s v="PhD"/>
    <s v="other-service"/>
    <s v="yachting"/>
    <s v="husband"/>
    <n v="56600"/>
    <n v="-45800"/>
    <d v="2015-01-07T00:00:00"/>
    <s v="Single Vehicle Collision"/>
    <s v="Front Collision"/>
    <s v="Total Loss"/>
    <s v="Ambulance"/>
    <x v="4"/>
    <x v="1"/>
    <s v="4296 Pine Hwy"/>
    <n v="22"/>
    <n v="1"/>
    <s v="YES"/>
    <n v="0"/>
    <n v="1"/>
    <s v="NO"/>
    <n v="65790"/>
    <n v="7310"/>
    <n v="7310"/>
    <n v="51170"/>
    <s v="Saab"/>
    <n v="93"/>
    <n v="2007"/>
    <s v="N"/>
    <n v="44.722852908786862"/>
    <n v="-64319.94"/>
    <n v="2.2344393610068247E-2"/>
    <n v="8"/>
    <n v="11"/>
    <x v="0"/>
    <x v="0"/>
  </r>
  <r>
    <n v="151"/>
    <n v="36"/>
    <n v="485372"/>
    <d v="2005-02-26T00:00:00"/>
    <s v="OH"/>
    <s v="250/500"/>
    <n v="2000"/>
    <n v="870.63"/>
    <n v="0"/>
    <n v="431725"/>
    <s v="FEMALE"/>
    <s v="MD"/>
    <s v="adm-clerical"/>
    <s v="kayaking"/>
    <s v="own-child"/>
    <n v="94800"/>
    <n v="-58500"/>
    <d v="2015-01-06T00:00:00"/>
    <s v="Multi-vehicle Collision"/>
    <s v="Side Collision"/>
    <s v="Minor Damage"/>
    <s v="Police"/>
    <x v="1"/>
    <x v="4"/>
    <s v="2299 1st St"/>
    <n v="12"/>
    <n v="3"/>
    <s v="NO"/>
    <n v="1"/>
    <n v="1"/>
    <s v="NO"/>
    <n v="62920"/>
    <n v="11440"/>
    <n v="5720"/>
    <n v="45760"/>
    <s v="Ford"/>
    <s v="Escape"/>
    <n v="2000"/>
    <s v="N"/>
    <n v="72.186592935075666"/>
    <n v="-62049.37"/>
    <n v="1.3836874811271277E-2"/>
    <n v="15"/>
    <n v="151"/>
    <x v="0"/>
    <x v="0"/>
  </r>
  <r>
    <n v="154"/>
    <n v="34"/>
    <n v="598554"/>
    <d v="1990-02-14T00:00:00"/>
    <s v="IN"/>
    <s v="100/300"/>
    <n v="500"/>
    <n v="795.23"/>
    <n v="0"/>
    <n v="609216"/>
    <s v="MALE"/>
    <s v="PhD"/>
    <s v="machine-op-inspct"/>
    <s v="base-jumping"/>
    <s v="other-relative"/>
    <n v="36900"/>
    <n v="0"/>
    <d v="2015-01-10T00:00:00"/>
    <s v="Multi-vehicle Collision"/>
    <s v="Rear Collision"/>
    <s v="Major Damage"/>
    <s v="Police"/>
    <x v="2"/>
    <x v="3"/>
    <s v="6618 Cherokee Drive"/>
    <n v="15"/>
    <n v="3"/>
    <s v="YES"/>
    <n v="2"/>
    <n v="1"/>
    <s v="?"/>
    <n v="69480"/>
    <n v="15440"/>
    <n v="0"/>
    <n v="54040"/>
    <s v="Nissan"/>
    <s v="Maxima"/>
    <n v="2014"/>
    <s v="Y"/>
    <n v="87.261218492144224"/>
    <n v="-68684.77"/>
    <n v="1.144528720081749E-2"/>
    <n v="1"/>
    <n v="154"/>
    <x v="0"/>
    <x v="0"/>
  </r>
  <r>
    <n v="245"/>
    <n v="44"/>
    <n v="303987"/>
    <d v="1993-09-30T00:00:00"/>
    <s v="IL"/>
    <s v="500/1000"/>
    <n v="1000"/>
    <n v="1168.2"/>
    <n v="0"/>
    <n v="452787"/>
    <s v="MALE"/>
    <s v="JD"/>
    <s v="handlers-cleaners"/>
    <s v="basketball"/>
    <s v="husband"/>
    <n v="69100"/>
    <n v="0"/>
    <d v="2015-02-11T00:00:00"/>
    <s v="Multi-vehicle Collision"/>
    <s v="Side Collision"/>
    <s v="Total Loss"/>
    <s v="Other"/>
    <x v="3"/>
    <x v="3"/>
    <s v="7459 Flute St"/>
    <n v="23"/>
    <n v="3"/>
    <s v="NO"/>
    <n v="0"/>
    <n v="3"/>
    <s v="NO"/>
    <n v="44280"/>
    <n v="7380"/>
    <n v="3690"/>
    <n v="33210"/>
    <s v="Honda"/>
    <s v="Accord"/>
    <n v="1997"/>
    <s v="N"/>
    <n v="37.872049264454326"/>
    <n v="-43111.8"/>
    <n v="2.638151803256476E-2"/>
    <n v="18"/>
    <n v="245"/>
    <x v="0"/>
    <x v="0"/>
  </r>
  <r>
    <n v="119"/>
    <n v="32"/>
    <n v="343161"/>
    <d v="2014-06-10T00:00:00"/>
    <s v="IL"/>
    <s v="500/1000"/>
    <n v="1000"/>
    <n v="993.51"/>
    <n v="0"/>
    <n v="468767"/>
    <s v="MALE"/>
    <s v="High School"/>
    <s v="armed-forces"/>
    <s v="bungie-jumping"/>
    <s v="unmarried"/>
    <n v="0"/>
    <n v="-49500"/>
    <d v="2015-01-12T00:00:00"/>
    <s v="Single Vehicle Collision"/>
    <s v="Side Collision"/>
    <s v="Minor Damage"/>
    <s v="Other"/>
    <x v="4"/>
    <x v="4"/>
    <s v="3567 4th Drive"/>
    <n v="12"/>
    <n v="1"/>
    <s v="NO"/>
    <n v="0"/>
    <n v="3"/>
    <s v="YES"/>
    <n v="56300"/>
    <n v="5630"/>
    <n v="11260"/>
    <n v="39410"/>
    <s v="BMW"/>
    <s v="M5"/>
    <n v="2011"/>
    <s v="N"/>
    <n v="56.610793254969785"/>
    <n v="-55306.49"/>
    <n v="1.764640059679224E-2"/>
    <n v="4"/>
    <n v="119"/>
    <x v="0"/>
    <x v="0"/>
  </r>
  <r>
    <n v="215"/>
    <n v="42"/>
    <n v="519312"/>
    <d v="2008-10-28T00:00:00"/>
    <s v="OH"/>
    <s v="500/1000"/>
    <n v="500"/>
    <n v="1848.81"/>
    <n v="0"/>
    <n v="435489"/>
    <s v="MALE"/>
    <s v="JD"/>
    <s v="transport-moving"/>
    <s v="video-games"/>
    <s v="own-child"/>
    <n v="0"/>
    <n v="-49000"/>
    <d v="2015-02-06T00:00:00"/>
    <s v="Multi-vehicle Collision"/>
    <s v="Front Collision"/>
    <s v="Major Damage"/>
    <s v="Fire"/>
    <x v="4"/>
    <x v="5"/>
    <s v="2457 Washington Ave"/>
    <n v="20"/>
    <n v="3"/>
    <s v="YES"/>
    <n v="2"/>
    <n v="2"/>
    <s v="YES"/>
    <n v="68520"/>
    <n v="11420"/>
    <n v="5710"/>
    <n v="51390"/>
    <s v="Suburu"/>
    <s v="Legacy"/>
    <n v="2003"/>
    <s v="Y"/>
    <n v="37.041642114595554"/>
    <n v="-66671.19"/>
    <n v="2.6981655258971702E-2"/>
    <n v="12"/>
    <n v="215"/>
    <x v="0"/>
    <x v="0"/>
  </r>
  <r>
    <n v="295"/>
    <n v="42"/>
    <n v="132902"/>
    <d v="2007-04-24T00:00:00"/>
    <s v="OH"/>
    <s v="250/500"/>
    <n v="2000"/>
    <n v="1641.73"/>
    <n v="5000000"/>
    <n v="450149"/>
    <s v="MALE"/>
    <s v="PhD"/>
    <s v="sales"/>
    <s v="chess"/>
    <s v="not-in-family"/>
    <n v="62400"/>
    <n v="0"/>
    <d v="2015-01-20T00:00:00"/>
    <s v="Multi-vehicle Collision"/>
    <s v="Rear Collision"/>
    <s v="Total Loss"/>
    <s v="Fire"/>
    <x v="1"/>
    <x v="1"/>
    <s v="1269 Flute Drive"/>
    <n v="16"/>
    <n v="3"/>
    <s v="NO"/>
    <n v="0"/>
    <n v="0"/>
    <s v="NO"/>
    <n v="59130"/>
    <n v="6570"/>
    <n v="6570"/>
    <n v="45990"/>
    <s v="Ford"/>
    <s v="Escape"/>
    <n v="2006"/>
    <s v="Y"/>
    <n v="35.994959609917636"/>
    <n v="-57488.27"/>
    <n v="2.7764286076677209E-2"/>
    <n v="9"/>
    <n v="295"/>
    <x v="0"/>
    <x v="0"/>
  </r>
  <r>
    <n v="254"/>
    <n v="39"/>
    <n v="332867"/>
    <d v="1993-12-13T00:00:00"/>
    <s v="IN"/>
    <s v="100/300"/>
    <n v="500"/>
    <n v="1362.87"/>
    <n v="0"/>
    <n v="458364"/>
    <s v="FEMALE"/>
    <s v="MD"/>
    <s v="exec-managerial"/>
    <s v="chess"/>
    <s v="other-relative"/>
    <n v="35700"/>
    <n v="0"/>
    <d v="2015-02-22T00:00:00"/>
    <s v="Multi-vehicle Collision"/>
    <s v="Front Collision"/>
    <s v="Minor Damage"/>
    <s v="Ambulance"/>
    <x v="2"/>
    <x v="2"/>
    <s v="1218 Sky Hwy"/>
    <n v="6"/>
    <n v="3"/>
    <s v="YES"/>
    <n v="2"/>
    <n v="2"/>
    <s v="NO"/>
    <n v="82320"/>
    <n v="13720"/>
    <n v="6860"/>
    <n v="61740"/>
    <s v="Dodge"/>
    <s v="Neon"/>
    <n v="1995"/>
    <s v="Y"/>
    <n v="60.357658721139117"/>
    <n v="-80957.13"/>
    <n v="1.6555556905285405E-2"/>
    <n v="20"/>
    <n v="254"/>
    <x v="0"/>
    <x v="0"/>
  </r>
  <r>
    <n v="107"/>
    <n v="31"/>
    <n v="356590"/>
    <d v="2011-08-17T00:00:00"/>
    <s v="IN"/>
    <s v="250/500"/>
    <n v="500"/>
    <n v="1239.22"/>
    <n v="7000000"/>
    <n v="476458"/>
    <s v="FEMALE"/>
    <s v="High School"/>
    <s v="tech-support"/>
    <s v="paintball"/>
    <s v="not-in-family"/>
    <n v="43400"/>
    <n v="-91200"/>
    <d v="2015-01-30T00:00:00"/>
    <s v="Single Vehicle Collision"/>
    <s v="Side Collision"/>
    <s v="Minor Damage"/>
    <s v="Fire"/>
    <x v="0"/>
    <x v="3"/>
    <s v="9169 Pine Ridge"/>
    <n v="12"/>
    <n v="1"/>
    <s v="YES"/>
    <n v="0"/>
    <n v="1"/>
    <s v="NO"/>
    <n v="89700"/>
    <n v="13800"/>
    <n v="13800"/>
    <n v="62100"/>
    <s v="Audi"/>
    <s v="A5"/>
    <n v="2009"/>
    <s v="Y"/>
    <n v="72.325877666865551"/>
    <n v="-88460.78"/>
    <n v="1.3815007636481198E-2"/>
    <n v="6"/>
    <n v="107"/>
    <x v="0"/>
    <x v="0"/>
  </r>
  <r>
    <n v="478"/>
    <n v="64"/>
    <n v="346002"/>
    <d v="1990-08-20T00:00:00"/>
    <s v="OH"/>
    <s v="250/500"/>
    <n v="500"/>
    <n v="835.02"/>
    <n v="0"/>
    <n v="602433"/>
    <s v="FEMALE"/>
    <s v="Associate"/>
    <s v="adm-clerical"/>
    <s v="reading"/>
    <s v="unmarried"/>
    <n v="59600"/>
    <n v="0"/>
    <d v="2015-02-02T00:00:00"/>
    <s v="Multi-vehicle Collision"/>
    <s v="Side Collision"/>
    <s v="Minor Damage"/>
    <s v="Fire"/>
    <x v="4"/>
    <x v="4"/>
    <s v="8538 Texas Lane"/>
    <n v="17"/>
    <n v="3"/>
    <s v="NO"/>
    <n v="1"/>
    <n v="1"/>
    <s v="NO"/>
    <n v="33930"/>
    <n v="0"/>
    <n v="3770"/>
    <n v="30160"/>
    <s v="BMW"/>
    <s v="X6"/>
    <n v="1998"/>
    <s v="N"/>
    <n v="40.585153465228103"/>
    <n v="-33094.980000000003"/>
    <n v="2.4609354277799061E-2"/>
    <n v="17"/>
    <n v="478"/>
    <x v="0"/>
    <x v="0"/>
  </r>
  <r>
    <n v="128"/>
    <n v="30"/>
    <n v="500533"/>
    <d v="1994-02-11T00:00:00"/>
    <s v="OH"/>
    <s v="100/300"/>
    <n v="1000"/>
    <n v="1061.33"/>
    <n v="0"/>
    <n v="478575"/>
    <s v="MALE"/>
    <s v="MD"/>
    <s v="machine-op-inspct"/>
    <s v="movies"/>
    <s v="own-child"/>
    <n v="43300"/>
    <n v="-66200"/>
    <d v="2015-01-10T00:00:00"/>
    <s v="Single Vehicle Collision"/>
    <s v="Front Collision"/>
    <s v="Major Damage"/>
    <s v="Ambulance"/>
    <x v="4"/>
    <x v="6"/>
    <s v="5783 Oak Ave"/>
    <n v="8"/>
    <n v="1"/>
    <s v="NO"/>
    <n v="0"/>
    <n v="3"/>
    <s v="NO"/>
    <n v="68530"/>
    <n v="12460"/>
    <n v="6230"/>
    <n v="49840"/>
    <s v="Audi"/>
    <s v="A5"/>
    <n v="1997"/>
    <s v="N"/>
    <n v="64.509144992610587"/>
    <n v="-67468.67"/>
    <n v="1.5486859961185448E-2"/>
    <n v="18"/>
    <n v="128"/>
    <x v="0"/>
    <x v="0"/>
  </r>
  <r>
    <n v="338"/>
    <n v="49"/>
    <n v="348209"/>
    <d v="1994-02-22T00:00:00"/>
    <s v="IN"/>
    <s v="500/1000"/>
    <n v="1000"/>
    <n v="1279.08"/>
    <n v="0"/>
    <n v="449718"/>
    <s v="MALE"/>
    <s v="MD"/>
    <s v="other-service"/>
    <s v="kayaking"/>
    <s v="own-child"/>
    <n v="0"/>
    <n v="-51500"/>
    <d v="2015-02-27T00:00:00"/>
    <s v="Parked Car"/>
    <s v="?"/>
    <s v="Minor Damage"/>
    <s v="None"/>
    <x v="5"/>
    <x v="1"/>
    <s v="7721 Washington Ridge"/>
    <n v="13"/>
    <n v="1"/>
    <s v="NO"/>
    <n v="0"/>
    <n v="1"/>
    <s v="?"/>
    <n v="4300"/>
    <n v="860"/>
    <n v="860"/>
    <n v="2580"/>
    <s v="Ford"/>
    <s v="F150"/>
    <n v="2004"/>
    <s v="N"/>
    <n v="3.3591650521842387"/>
    <n v="-3020.92"/>
    <n v="0.29739130434782607"/>
    <n v="11"/>
    <n v="338"/>
    <x v="1"/>
    <x v="1"/>
  </r>
  <r>
    <n v="271"/>
    <n v="42"/>
    <n v="486676"/>
    <d v="2011-08-15T00:00:00"/>
    <s v="OH"/>
    <s v="100/300"/>
    <n v="500"/>
    <n v="1105.49"/>
    <n v="0"/>
    <n v="463181"/>
    <s v="FEMALE"/>
    <s v="Associate"/>
    <s v="prof-specialty"/>
    <s v="sleeping"/>
    <s v="own-child"/>
    <n v="56200"/>
    <n v="-50000"/>
    <d v="2015-02-20T00:00:00"/>
    <s v="Multi-vehicle Collision"/>
    <s v="Side Collision"/>
    <s v="Major Damage"/>
    <s v="Other"/>
    <x v="0"/>
    <x v="4"/>
    <s v="8006 Maple Hwy"/>
    <n v="12"/>
    <n v="2"/>
    <s v="?"/>
    <n v="2"/>
    <n v="3"/>
    <s v="?"/>
    <n v="68310"/>
    <n v="12420"/>
    <n v="6210"/>
    <n v="49680"/>
    <s v="Audi"/>
    <s v="A3"/>
    <n v="2003"/>
    <s v="Y"/>
    <n v="61.73575902177155"/>
    <n v="-67204.509999999995"/>
    <n v="1.618319157968702E-2"/>
    <n v="12"/>
    <n v="271"/>
    <x v="0"/>
    <x v="0"/>
  </r>
  <r>
    <n v="222"/>
    <n v="41"/>
    <n v="260845"/>
    <d v="1998-11-11T00:00:00"/>
    <s v="OH"/>
    <s v="100/300"/>
    <n v="2000"/>
    <n v="1055.53"/>
    <n v="0"/>
    <n v="441992"/>
    <s v="FEMALE"/>
    <s v="MD"/>
    <s v="armed-forces"/>
    <s v="cross-fit"/>
    <s v="not-in-family"/>
    <n v="37800"/>
    <n v="-50300"/>
    <d v="2015-02-08T00:00:00"/>
    <s v="Single Vehicle Collision"/>
    <s v="Front Collision"/>
    <s v="Total Loss"/>
    <s v="Other"/>
    <x v="4"/>
    <x v="6"/>
    <s v="6751 Pine Ridge"/>
    <n v="7"/>
    <n v="1"/>
    <s v="NO"/>
    <n v="0"/>
    <n v="2"/>
    <s v="NO"/>
    <n v="61290"/>
    <n v="6810"/>
    <n v="6810"/>
    <n v="47670"/>
    <s v="Honda"/>
    <s v="Civic"/>
    <n v="1995"/>
    <s v="Y"/>
    <n v="58.010657529838248"/>
    <n v="-60234.47"/>
    <n v="1.7221614918992999E-2"/>
    <n v="20"/>
    <n v="222"/>
    <x v="0"/>
    <x v="0"/>
  </r>
  <r>
    <n v="199"/>
    <n v="41"/>
    <n v="657045"/>
    <d v="1995-12-04T00:00:00"/>
    <s v="OH"/>
    <s v="250/500"/>
    <n v="1000"/>
    <n v="895.83"/>
    <n v="0"/>
    <n v="452597"/>
    <s v="FEMALE"/>
    <s v="Associate"/>
    <s v="sales"/>
    <s v="paintball"/>
    <s v="husband"/>
    <n v="0"/>
    <n v="0"/>
    <d v="2015-02-11T00:00:00"/>
    <s v="Single Vehicle Collision"/>
    <s v="Rear Collision"/>
    <s v="Minor Damage"/>
    <s v="Ambulance"/>
    <x v="5"/>
    <x v="2"/>
    <s v="2324 Texas Ridge"/>
    <n v="10"/>
    <n v="1"/>
    <s v="NO"/>
    <n v="1"/>
    <n v="2"/>
    <s v="NO"/>
    <n v="30100"/>
    <n v="3010"/>
    <n v="0"/>
    <n v="27090"/>
    <s v="Chevrolet"/>
    <s v="Malibu"/>
    <n v="1999"/>
    <s v="N"/>
    <n v="33.562659589888831"/>
    <n v="-29204.17"/>
    <n v="2.9760805288860836E-2"/>
    <n v="16"/>
    <n v="199"/>
    <x v="0"/>
    <x v="0"/>
  </r>
  <r>
    <n v="215"/>
    <n v="37"/>
    <n v="761189"/>
    <d v="2002-12-28T00:00:00"/>
    <s v="IN"/>
    <s v="100/300"/>
    <n v="500"/>
    <n v="1632.93"/>
    <n v="0"/>
    <n v="614417"/>
    <s v="FEMALE"/>
    <s v="College"/>
    <s v="transport-moving"/>
    <s v="golf"/>
    <s v="not-in-family"/>
    <n v="0"/>
    <n v="-42900"/>
    <d v="2015-02-23T00:00:00"/>
    <s v="Multi-vehicle Collision"/>
    <s v="Rear Collision"/>
    <s v="Minor Damage"/>
    <s v="Fire"/>
    <x v="0"/>
    <x v="1"/>
    <s v="7923 Elm Ave"/>
    <n v="7"/>
    <n v="3"/>
    <s v="NO"/>
    <n v="2"/>
    <n v="0"/>
    <s v="YES"/>
    <n v="57120"/>
    <n v="9520"/>
    <n v="4760"/>
    <n v="42840"/>
    <s v="Mercedes"/>
    <s v="C300"/>
    <n v="2002"/>
    <s v="N"/>
    <n v="34.958657959643311"/>
    <n v="-55487.07"/>
    <n v="2.8587209607674937E-2"/>
    <n v="13"/>
    <n v="215"/>
    <x v="0"/>
    <x v="0"/>
  </r>
  <r>
    <n v="192"/>
    <n v="40"/>
    <n v="175177"/>
    <d v="2004-04-15T00:00:00"/>
    <s v="IL"/>
    <s v="100/300"/>
    <n v="1000"/>
    <n v="1405.99"/>
    <n v="0"/>
    <n v="472895"/>
    <s v="FEMALE"/>
    <s v="Associate"/>
    <s v="sales"/>
    <s v="yachting"/>
    <s v="wife"/>
    <n v="0"/>
    <n v="0"/>
    <d v="2015-03-01T00:00:00"/>
    <s v="Multi-vehicle Collision"/>
    <s v="Side Collision"/>
    <s v="Minor Damage"/>
    <s v="Ambulance"/>
    <x v="1"/>
    <x v="3"/>
    <s v="4755 Best Lane"/>
    <n v="18"/>
    <n v="3"/>
    <s v="YES"/>
    <n v="1"/>
    <n v="0"/>
    <s v="YES"/>
    <n v="42930"/>
    <n v="9540"/>
    <n v="4770"/>
    <n v="28620"/>
    <s v="BMW"/>
    <s v="X6"/>
    <n v="2005"/>
    <s v="N"/>
    <n v="30.511943937057122"/>
    <n v="-41524.01"/>
    <n v="3.274999417670215E-2"/>
    <n v="10"/>
    <n v="192"/>
    <x v="0"/>
    <x v="0"/>
  </r>
  <r>
    <n v="120"/>
    <n v="35"/>
    <n v="116700"/>
    <d v="2001-02-02T00:00:00"/>
    <s v="OH"/>
    <s v="100/300"/>
    <n v="1000"/>
    <n v="1425.54"/>
    <n v="0"/>
    <n v="475847"/>
    <s v="FEMALE"/>
    <s v="High School"/>
    <s v="transport-moving"/>
    <s v="bungie-jumping"/>
    <s v="other-relative"/>
    <n v="78300"/>
    <n v="0"/>
    <d v="2015-01-15T00:00:00"/>
    <s v="Multi-vehicle Collision"/>
    <s v="Front Collision"/>
    <s v="Total Loss"/>
    <s v="Ambulance"/>
    <x v="0"/>
    <x v="1"/>
    <s v="5053 Tree Drive"/>
    <n v="22"/>
    <n v="3"/>
    <s v="NO"/>
    <n v="2"/>
    <n v="0"/>
    <s v="NO"/>
    <n v="51210"/>
    <n v="11380"/>
    <n v="5690"/>
    <n v="34140"/>
    <s v="Ford"/>
    <s v="Fusion"/>
    <n v="2010"/>
    <s v="N"/>
    <n v="35.898047022866514"/>
    <n v="-49784.46"/>
    <n v="2.7836597605983088E-2"/>
    <n v="5"/>
    <n v="120"/>
    <x v="0"/>
    <x v="0"/>
  </r>
  <r>
    <n v="270"/>
    <n v="45"/>
    <n v="166264"/>
    <d v="2010-01-12T00:00:00"/>
    <s v="OH"/>
    <s v="500/1000"/>
    <n v="1000"/>
    <n v="1038.0899999999999"/>
    <n v="0"/>
    <n v="476978"/>
    <s v="FEMALE"/>
    <s v="College"/>
    <s v="handlers-cleaners"/>
    <s v="golf"/>
    <s v="husband"/>
    <n v="0"/>
    <n v="-19700"/>
    <d v="2015-01-14T00:00:00"/>
    <s v="Multi-vehicle Collision"/>
    <s v="Front Collision"/>
    <s v="Minor Damage"/>
    <s v="Fire"/>
    <x v="2"/>
    <x v="3"/>
    <s v="2078 3rd Ave"/>
    <n v="18"/>
    <n v="3"/>
    <s v="NO"/>
    <n v="1"/>
    <n v="1"/>
    <s v="YES"/>
    <n v="89400"/>
    <n v="14900"/>
    <n v="7450"/>
    <n v="67050"/>
    <s v="Suburu"/>
    <s v="Legacy"/>
    <n v="1998"/>
    <s v="N"/>
    <n v="86.036820679633152"/>
    <n v="-88361.91"/>
    <n v="1.161161508260534E-2"/>
    <n v="17"/>
    <n v="270"/>
    <x v="0"/>
    <x v="0"/>
  </r>
  <r>
    <n v="319"/>
    <n v="47"/>
    <n v="527945"/>
    <d v="1992-04-14T00:00:00"/>
    <s v="IN"/>
    <s v="250/500"/>
    <n v="500"/>
    <n v="1307.1099999999999"/>
    <n v="0"/>
    <n v="600648"/>
    <s v="MALE"/>
    <s v="College"/>
    <s v="transport-moving"/>
    <s v="dancing"/>
    <s v="not-in-family"/>
    <n v="0"/>
    <n v="0"/>
    <d v="2015-02-17T00:00:00"/>
    <s v="Multi-vehicle Collision"/>
    <s v="Front Collision"/>
    <s v="Total Loss"/>
    <s v="Police"/>
    <x v="4"/>
    <x v="6"/>
    <s v="2804 Best St"/>
    <n v="22"/>
    <n v="3"/>
    <s v="NO"/>
    <n v="0"/>
    <n v="2"/>
    <s v="?"/>
    <n v="59730"/>
    <n v="10860"/>
    <n v="10860"/>
    <n v="38010"/>
    <s v="Audi"/>
    <s v="A3"/>
    <n v="2005"/>
    <s v="N"/>
    <n v="45.661297597296866"/>
    <n v="-58422.89"/>
    <n v="2.188327669049572E-2"/>
    <n v="10"/>
    <n v="319"/>
    <x v="0"/>
    <x v="0"/>
  </r>
  <r>
    <n v="194"/>
    <n v="39"/>
    <n v="627540"/>
    <d v="2010-05-21T00:00:00"/>
    <s v="OH"/>
    <s v="500/1000"/>
    <n v="1000"/>
    <n v="1489.24"/>
    <n v="6000000"/>
    <n v="608335"/>
    <s v="FEMALE"/>
    <s v="JD"/>
    <s v="other-service"/>
    <s v="kayaking"/>
    <s v="wife"/>
    <n v="0"/>
    <n v="-45000"/>
    <d v="2015-01-24T00:00:00"/>
    <s v="Vehicle Theft"/>
    <s v="?"/>
    <s v="Minor Damage"/>
    <s v="None"/>
    <x v="0"/>
    <x v="3"/>
    <s v="7877 Sky Lane"/>
    <n v="15"/>
    <n v="1"/>
    <s v="YES"/>
    <n v="2"/>
    <n v="2"/>
    <s v="YES"/>
    <n v="8060"/>
    <n v="1240"/>
    <n v="1240"/>
    <n v="5580"/>
    <s v="Saab"/>
    <n v="95"/>
    <n v="2004"/>
    <s v="N"/>
    <n v="5.4085248013742753"/>
    <n v="-6570.76"/>
    <n v="0.18474630939089443"/>
    <n v="11"/>
    <n v="194"/>
    <x v="2"/>
    <x v="0"/>
  </r>
  <r>
    <n v="227"/>
    <n v="38"/>
    <n v="279422"/>
    <d v="2013-10-27T00:00:00"/>
    <s v="OH"/>
    <s v="500/1000"/>
    <n v="500"/>
    <n v="976.67"/>
    <n v="0"/>
    <n v="471600"/>
    <s v="FEMALE"/>
    <s v="PhD"/>
    <s v="handlers-cleaners"/>
    <s v="polo"/>
    <s v="unmarried"/>
    <n v="0"/>
    <n v="0"/>
    <d v="2015-01-21T00:00:00"/>
    <s v="Single Vehicle Collision"/>
    <s v="Rear Collision"/>
    <s v="Major Damage"/>
    <s v="Fire"/>
    <x v="0"/>
    <x v="6"/>
    <s v="6530 Weaver Ave"/>
    <n v="16"/>
    <n v="1"/>
    <s v="?"/>
    <n v="1"/>
    <n v="2"/>
    <s v="?"/>
    <n v="72200"/>
    <n v="14440"/>
    <n v="7220"/>
    <n v="50540"/>
    <s v="BMW"/>
    <s v="M5"/>
    <n v="2013"/>
    <s v="Y"/>
    <n v="73.849049270203651"/>
    <n v="-71223.33"/>
    <n v="1.3527097962632096E-2"/>
    <n v="2"/>
    <n v="227"/>
    <x v="0"/>
    <x v="0"/>
  </r>
  <r>
    <n v="137"/>
    <n v="31"/>
    <n v="484200"/>
    <d v="1994-10-12T00:00:00"/>
    <s v="OH"/>
    <s v="250/500"/>
    <n v="2000"/>
    <n v="1340.43"/>
    <n v="0"/>
    <n v="441175"/>
    <s v="MALE"/>
    <s v="High School"/>
    <s v="exec-managerial"/>
    <s v="paintball"/>
    <s v="husband"/>
    <n v="52700"/>
    <n v="-40600"/>
    <d v="2015-02-19T00:00:00"/>
    <s v="Multi-vehicle Collision"/>
    <s v="Side Collision"/>
    <s v="Minor Damage"/>
    <s v="Ambulance"/>
    <x v="5"/>
    <x v="2"/>
    <s v="3087 Oak Hwy"/>
    <n v="6"/>
    <n v="3"/>
    <s v="NO"/>
    <n v="1"/>
    <n v="2"/>
    <s v="NO"/>
    <n v="50800"/>
    <n v="10160"/>
    <n v="10160"/>
    <n v="30480"/>
    <s v="Accura"/>
    <s v="MDX"/>
    <n v="2005"/>
    <s v="N"/>
    <n v="37.870034217215952"/>
    <n v="-49459.57"/>
    <n v="2.6385897915395369E-2"/>
    <n v="10"/>
    <n v="137"/>
    <x v="0"/>
    <x v="0"/>
  </r>
  <r>
    <n v="244"/>
    <n v="40"/>
    <n v="645258"/>
    <d v="1997-07-04T00:00:00"/>
    <s v="OH"/>
    <s v="500/1000"/>
    <n v="2000"/>
    <n v="1267.81"/>
    <n v="5000000"/>
    <n v="603123"/>
    <s v="FEMALE"/>
    <s v="Masters"/>
    <s v="exec-managerial"/>
    <s v="video-games"/>
    <s v="wife"/>
    <n v="0"/>
    <n v="0"/>
    <d v="2015-01-03T00:00:00"/>
    <s v="Vehicle Theft"/>
    <s v="?"/>
    <s v="Trivial Damage"/>
    <s v="None"/>
    <x v="5"/>
    <x v="6"/>
    <s v="7098 Lincoln Hwy"/>
    <n v="10"/>
    <n v="1"/>
    <s v="?"/>
    <n v="2"/>
    <n v="1"/>
    <s v="?"/>
    <n v="6600"/>
    <n v="660"/>
    <n v="1320"/>
    <n v="4620"/>
    <s v="Accura"/>
    <s v="TL"/>
    <n v="2005"/>
    <s v="N"/>
    <n v="5.2017244504693378"/>
    <n v="-5332.1900000000005"/>
    <n v="0.19206332373882745"/>
    <n v="10"/>
    <n v="244"/>
    <x v="2"/>
    <x v="0"/>
  </r>
  <r>
    <n v="78"/>
    <n v="29"/>
    <n v="694662"/>
    <d v="2011-02-15T00:00:00"/>
    <s v="IL"/>
    <s v="250/500"/>
    <n v="1000"/>
    <n v="1234.2"/>
    <n v="6000000"/>
    <n v="457767"/>
    <s v="MALE"/>
    <s v="Masters"/>
    <s v="other-service"/>
    <s v="bungie-jumping"/>
    <s v="other-relative"/>
    <n v="0"/>
    <n v="0"/>
    <d v="2015-01-29T00:00:00"/>
    <s v="Vehicle Theft"/>
    <s v="?"/>
    <s v="Minor Damage"/>
    <s v="Police"/>
    <x v="2"/>
    <x v="6"/>
    <s v="5124 Maple St"/>
    <n v="3"/>
    <n v="1"/>
    <s v="YES"/>
    <n v="2"/>
    <n v="2"/>
    <s v="NO"/>
    <n v="7500"/>
    <n v="750"/>
    <n v="1500"/>
    <n v="5250"/>
    <s v="Nissan"/>
    <s v="Maxima"/>
    <n v="2002"/>
    <s v="N"/>
    <n v="6.0718911917098444"/>
    <n v="-6265.8"/>
    <n v="0.16453806159178777"/>
    <n v="13"/>
    <n v="78"/>
    <x v="2"/>
    <x v="0"/>
  </r>
  <r>
    <n v="200"/>
    <n v="35"/>
    <n v="960680"/>
    <d v="1994-08-21T00:00:00"/>
    <s v="IN"/>
    <s v="250/500"/>
    <n v="2000"/>
    <n v="1318.06"/>
    <n v="0"/>
    <n v="618498"/>
    <s v="MALE"/>
    <s v="High School"/>
    <s v="exec-managerial"/>
    <s v="video-games"/>
    <s v="wife"/>
    <n v="57300"/>
    <n v="-80600"/>
    <d v="2015-01-19T00:00:00"/>
    <s v="Vehicle Theft"/>
    <s v="?"/>
    <s v="Trivial Damage"/>
    <s v="None"/>
    <x v="1"/>
    <x v="4"/>
    <s v="2333 Maple Lane"/>
    <n v="13"/>
    <n v="1"/>
    <s v="NO"/>
    <n v="0"/>
    <n v="3"/>
    <s v="YES"/>
    <n v="6490"/>
    <n v="1180"/>
    <n v="1180"/>
    <n v="4130"/>
    <s v="Volkswagen"/>
    <s v="Jetta"/>
    <n v="2002"/>
    <s v="N"/>
    <n v="4.9201704243931284"/>
    <n v="-5171.9400000000005"/>
    <n v="0.20305962101371128"/>
    <n v="13"/>
    <n v="200"/>
    <x v="1"/>
    <x v="0"/>
  </r>
  <r>
    <n v="284"/>
    <n v="48"/>
    <n v="498140"/>
    <d v="1997-05-15T00:00:00"/>
    <s v="IN"/>
    <s v="500/1000"/>
    <n v="2000"/>
    <n v="769.95"/>
    <n v="0"/>
    <n v="605486"/>
    <s v="MALE"/>
    <s v="Masters"/>
    <s v="prof-specialty"/>
    <s v="movies"/>
    <s v="not-in-family"/>
    <n v="0"/>
    <n v="-44200"/>
    <d v="2015-01-19T00:00:00"/>
    <s v="Multi-vehicle Collision"/>
    <s v="Side Collision"/>
    <s v="Major Damage"/>
    <s v="Ambulance"/>
    <x v="2"/>
    <x v="4"/>
    <s v="1012 5th Lane"/>
    <n v="16"/>
    <n v="2"/>
    <s v="?"/>
    <n v="2"/>
    <n v="3"/>
    <s v="NO"/>
    <n v="60940"/>
    <n v="5540"/>
    <n v="11080"/>
    <n v="44320"/>
    <s v="Audi"/>
    <s v="A3"/>
    <n v="2013"/>
    <s v="Y"/>
    <n v="79.045333679226928"/>
    <n v="-60170.05"/>
    <n v="1.2634351257773914E-2"/>
    <n v="2"/>
    <n v="284"/>
    <x v="0"/>
    <x v="0"/>
  </r>
  <r>
    <n v="275"/>
    <n v="41"/>
    <n v="498875"/>
    <d v="1996-10-26T00:00:00"/>
    <s v="OH"/>
    <s v="100/300"/>
    <n v="2000"/>
    <n v="1514.72"/>
    <n v="0"/>
    <n v="617970"/>
    <s v="MALE"/>
    <s v="High School"/>
    <s v="transport-moving"/>
    <s v="board-games"/>
    <s v="own-child"/>
    <n v="35700"/>
    <n v="0"/>
    <d v="2015-02-02T00:00:00"/>
    <s v="Multi-vehicle Collision"/>
    <s v="Front Collision"/>
    <s v="Major Damage"/>
    <s v="Fire"/>
    <x v="2"/>
    <x v="6"/>
    <s v="7477 MLK Drive"/>
    <n v="13"/>
    <n v="3"/>
    <s v="YES"/>
    <n v="0"/>
    <n v="1"/>
    <s v="?"/>
    <n v="58300"/>
    <n v="5830"/>
    <n v="11660"/>
    <n v="40810"/>
    <s v="Suburu"/>
    <s v="Legacy"/>
    <n v="2007"/>
    <s v="N"/>
    <n v="38.463568469110392"/>
    <n v="-56785.279999999999"/>
    <n v="2.5981029484914497E-2"/>
    <n v="8"/>
    <n v="275"/>
    <x v="0"/>
    <x v="0"/>
  </r>
  <r>
    <n v="153"/>
    <n v="34"/>
    <n v="798177"/>
    <d v="2006-03-04T00:00:00"/>
    <s v="IL"/>
    <s v="500/1000"/>
    <n v="1000"/>
    <n v="873.64"/>
    <n v="4000000"/>
    <n v="432934"/>
    <s v="FEMALE"/>
    <s v="Associate"/>
    <s v="priv-house-serv"/>
    <s v="yachting"/>
    <s v="husband"/>
    <n v="800"/>
    <n v="0"/>
    <d v="2015-01-30T00:00:00"/>
    <s v="Multi-vehicle Collision"/>
    <s v="Front Collision"/>
    <s v="Minor Damage"/>
    <s v="Other"/>
    <x v="0"/>
    <x v="0"/>
    <s v="9489 3rd St"/>
    <n v="9"/>
    <n v="3"/>
    <s v="NO"/>
    <n v="2"/>
    <n v="1"/>
    <s v="?"/>
    <n v="68400"/>
    <n v="11400"/>
    <n v="11400"/>
    <n v="45600"/>
    <s v="Ford"/>
    <s v="F150"/>
    <n v="2007"/>
    <s v="N"/>
    <n v="78.203603768407575"/>
    <n v="-67526.36"/>
    <n v="1.277232788994313E-2"/>
    <n v="8"/>
    <n v="153"/>
    <x v="0"/>
    <x v="0"/>
  </r>
  <r>
    <n v="134"/>
    <n v="32"/>
    <n v="614763"/>
    <d v="1991-01-02T00:00:00"/>
    <s v="IL"/>
    <s v="500/1000"/>
    <n v="500"/>
    <n v="1612.43"/>
    <n v="0"/>
    <n v="456762"/>
    <s v="FEMALE"/>
    <s v="MD"/>
    <s v="other-service"/>
    <s v="yachting"/>
    <s v="own-child"/>
    <n v="36400"/>
    <n v="0"/>
    <d v="2015-01-08T00:00:00"/>
    <s v="Single Vehicle Collision"/>
    <s v="Side Collision"/>
    <s v="Total Loss"/>
    <s v="Fire"/>
    <x v="1"/>
    <x v="3"/>
    <s v="2087 Apache Ave"/>
    <n v="2"/>
    <n v="1"/>
    <s v="?"/>
    <n v="2"/>
    <n v="1"/>
    <s v="YES"/>
    <n v="64240"/>
    <n v="11680"/>
    <n v="11680"/>
    <n v="40880"/>
    <s v="BMW"/>
    <s v="3 Series"/>
    <n v="2015"/>
    <s v="N"/>
    <n v="39.815796160973825"/>
    <n v="-62627.57"/>
    <n v="2.5099702682087763E-2"/>
    <n v="0"/>
    <n v="134"/>
    <x v="0"/>
    <x v="0"/>
  </r>
  <r>
    <n v="31"/>
    <n v="36"/>
    <n v="679370"/>
    <d v="1999-08-15T00:00:00"/>
    <s v="IL"/>
    <s v="500/1000"/>
    <n v="2000"/>
    <n v="1318.24"/>
    <n v="9000000"/>
    <n v="601748"/>
    <s v="FEMALE"/>
    <s v="College"/>
    <s v="prof-specialty"/>
    <s v="kayaking"/>
    <s v="not-in-family"/>
    <n v="0"/>
    <n v="-78600"/>
    <d v="2015-01-30T00:00:00"/>
    <s v="Parked Car"/>
    <s v="?"/>
    <s v="Trivial Damage"/>
    <s v="None"/>
    <x v="4"/>
    <x v="2"/>
    <s v="5540 Sky St"/>
    <n v="9"/>
    <n v="1"/>
    <s v="NO"/>
    <n v="0"/>
    <n v="1"/>
    <s v="YES"/>
    <n v="4700"/>
    <n v="940"/>
    <n v="470"/>
    <n v="3290"/>
    <s v="Dodge"/>
    <s v="Neon"/>
    <n v="2002"/>
    <s v="N"/>
    <n v="3.5626572875291833"/>
    <n v="-3381.76"/>
    <n v="0.2804169325675388"/>
    <n v="13"/>
    <n v="31"/>
    <x v="1"/>
    <x v="1"/>
  </r>
  <r>
    <n v="41"/>
    <n v="25"/>
    <n v="958857"/>
    <d v="1992-01-15T00:00:00"/>
    <s v="IN"/>
    <s v="100/300"/>
    <n v="1000"/>
    <n v="1226.83"/>
    <n v="0"/>
    <n v="607763"/>
    <s v="FEMALE"/>
    <s v="College"/>
    <s v="exec-managerial"/>
    <s v="exercise"/>
    <s v="not-in-family"/>
    <n v="0"/>
    <n v="-56100"/>
    <d v="2015-01-07T00:00:00"/>
    <s v="Multi-vehicle Collision"/>
    <s v="Side Collision"/>
    <s v="Major Damage"/>
    <s v="Other"/>
    <x v="0"/>
    <x v="0"/>
    <s v="7238 2nd St"/>
    <n v="12"/>
    <n v="3"/>
    <s v="YES"/>
    <n v="2"/>
    <n v="0"/>
    <s v="?"/>
    <n v="45120"/>
    <n v="0"/>
    <n v="5640"/>
    <n v="39480"/>
    <s v="Accura"/>
    <s v="MDX"/>
    <n v="2011"/>
    <s v="Y"/>
    <n v="36.747758240147256"/>
    <n v="-43893.17"/>
    <n v="2.7189778595332548E-2"/>
    <n v="4"/>
    <n v="41"/>
    <x v="0"/>
    <x v="0"/>
  </r>
  <r>
    <n v="127"/>
    <n v="29"/>
    <n v="686816"/>
    <d v="1999-12-07T00:00:00"/>
    <s v="OH"/>
    <s v="250/500"/>
    <n v="2000"/>
    <n v="1326.44"/>
    <n v="5000000"/>
    <n v="436973"/>
    <s v="FEMALE"/>
    <s v="High School"/>
    <s v="sales"/>
    <s v="board-games"/>
    <s v="own-child"/>
    <n v="0"/>
    <n v="0"/>
    <d v="2015-02-24T00:00:00"/>
    <s v="Multi-vehicle Collision"/>
    <s v="Front Collision"/>
    <s v="Total Loss"/>
    <s v="Fire"/>
    <x v="0"/>
    <x v="2"/>
    <s v="8442 Britain Hwy"/>
    <n v="12"/>
    <n v="2"/>
    <s v="YES"/>
    <n v="1"/>
    <n v="1"/>
    <s v="?"/>
    <n v="66950"/>
    <n v="10300"/>
    <n v="10300"/>
    <n v="46350"/>
    <s v="Saab"/>
    <n v="93"/>
    <n v="1995"/>
    <s v="N"/>
    <n v="50.435424576628698"/>
    <n v="-65623.56"/>
    <n v="1.9812101387581965E-2"/>
    <n v="20"/>
    <n v="127"/>
    <x v="0"/>
    <x v="0"/>
  </r>
  <r>
    <n v="61"/>
    <n v="23"/>
    <n v="127754"/>
    <d v="1993-06-06T00:00:00"/>
    <s v="IL"/>
    <s v="250/500"/>
    <n v="2000"/>
    <n v="1136.83"/>
    <n v="4000000"/>
    <n v="471300"/>
    <s v="FEMALE"/>
    <s v="Associate"/>
    <s v="tech-support"/>
    <s v="exercise"/>
    <s v="own-child"/>
    <n v="0"/>
    <n v="-62400"/>
    <d v="2015-02-02T00:00:00"/>
    <s v="Single Vehicle Collision"/>
    <s v="Side Collision"/>
    <s v="Major Damage"/>
    <s v="Police"/>
    <x v="2"/>
    <x v="0"/>
    <s v="1331 Britain Hwy"/>
    <n v="14"/>
    <n v="1"/>
    <s v="NO"/>
    <n v="0"/>
    <n v="3"/>
    <s v="?"/>
    <n v="98340"/>
    <n v="8940"/>
    <n v="17880"/>
    <n v="71520"/>
    <s v="Honda"/>
    <s v="Accord"/>
    <n v="2004"/>
    <s v="Y"/>
    <n v="86.427673729819048"/>
    <n v="-97203.17"/>
    <n v="1.156008175633764E-2"/>
    <n v="11"/>
    <n v="61"/>
    <x v="0"/>
    <x v="0"/>
  </r>
  <r>
    <n v="207"/>
    <n v="42"/>
    <n v="918629"/>
    <d v="2000-10-03T00:00:00"/>
    <s v="IL"/>
    <s v="250/500"/>
    <n v="2000"/>
    <n v="1322.78"/>
    <n v="0"/>
    <n v="453277"/>
    <s v="MALE"/>
    <s v="PhD"/>
    <s v="farming-fishing"/>
    <s v="yachting"/>
    <s v="own-child"/>
    <n v="55200"/>
    <n v="0"/>
    <d v="2015-02-28T00:00:00"/>
    <s v="Parked Car"/>
    <s v="?"/>
    <s v="Trivial Damage"/>
    <s v="None"/>
    <x v="4"/>
    <x v="3"/>
    <s v="5260 Francis Drive"/>
    <n v="9"/>
    <n v="1"/>
    <s v="NO"/>
    <n v="0"/>
    <n v="1"/>
    <s v="NO"/>
    <n v="5900"/>
    <n v="590"/>
    <n v="590"/>
    <n v="4720"/>
    <s v="BMW"/>
    <s v="X5"/>
    <n v="2007"/>
    <s v="N"/>
    <n v="4.4569339316200578"/>
    <n v="-4577.22"/>
    <n v="0.2241620064395865"/>
    <n v="8"/>
    <n v="207"/>
    <x v="1"/>
    <x v="1"/>
  </r>
  <r>
    <n v="219"/>
    <n v="43"/>
    <n v="731450"/>
    <d v="2010-12-29T00:00:00"/>
    <s v="IN"/>
    <s v="100/300"/>
    <n v="1000"/>
    <n v="1483.25"/>
    <n v="0"/>
    <n v="465100"/>
    <s v="FEMALE"/>
    <s v="MD"/>
    <s v="exec-managerial"/>
    <s v="exercise"/>
    <s v="not-in-family"/>
    <n v="90700"/>
    <n v="-20800"/>
    <d v="2015-02-09T00:00:00"/>
    <s v="Multi-vehicle Collision"/>
    <s v="Front Collision"/>
    <s v="Major Damage"/>
    <s v="Ambulance"/>
    <x v="5"/>
    <x v="1"/>
    <s v="1135 Solo Lane"/>
    <n v="3"/>
    <n v="3"/>
    <s v="NO"/>
    <n v="1"/>
    <n v="1"/>
    <s v="?"/>
    <n v="70680"/>
    <n v="5890"/>
    <n v="11780"/>
    <n v="53010"/>
    <s v="Ford"/>
    <s v="Fusion"/>
    <n v="2009"/>
    <s v="N"/>
    <n v="47.620010106114201"/>
    <n v="-69196.75"/>
    <n v="2.0985130374499512E-2"/>
    <n v="6"/>
    <n v="219"/>
    <x v="0"/>
    <x v="0"/>
  </r>
  <r>
    <n v="271"/>
    <n v="42"/>
    <n v="307447"/>
    <d v="1990-03-17T00:00:00"/>
    <s v="IL"/>
    <s v="100/300"/>
    <n v="500"/>
    <n v="1515.3"/>
    <n v="0"/>
    <n v="603248"/>
    <s v="FEMALE"/>
    <s v="High School"/>
    <s v="machine-op-inspct"/>
    <s v="hiking"/>
    <s v="not-in-family"/>
    <n v="0"/>
    <n v="0"/>
    <d v="2015-01-19T00:00:00"/>
    <s v="Multi-vehicle Collision"/>
    <s v="Rear Collision"/>
    <s v="Total Loss"/>
    <s v="Ambulance"/>
    <x v="0"/>
    <x v="5"/>
    <s v="9737 Solo Hwy"/>
    <n v="21"/>
    <n v="3"/>
    <s v="NO"/>
    <n v="1"/>
    <n v="0"/>
    <s v="NO"/>
    <n v="93720"/>
    <n v="17040"/>
    <n v="8520"/>
    <n v="68160"/>
    <s v="Mercedes"/>
    <s v="ML350"/>
    <n v="2005"/>
    <s v="N"/>
    <n v="61.808349271252389"/>
    <n v="-92204.7"/>
    <n v="1.6168201363621813E-2"/>
    <n v="10"/>
    <n v="271"/>
    <x v="0"/>
    <x v="0"/>
  </r>
  <r>
    <n v="80"/>
    <n v="25"/>
    <n v="992145"/>
    <d v="2012-03-01T00:00:00"/>
    <s v="IL"/>
    <s v="100/300"/>
    <n v="2000"/>
    <n v="1075.18"/>
    <n v="5000000"/>
    <n v="601112"/>
    <s v="FEMALE"/>
    <s v="PhD"/>
    <s v="armed-forces"/>
    <s v="exercise"/>
    <s v="husband"/>
    <n v="67700"/>
    <n v="-58400"/>
    <d v="2015-02-21T00:00:00"/>
    <s v="Vehicle Theft"/>
    <s v="?"/>
    <s v="Minor Damage"/>
    <s v="None"/>
    <x v="3"/>
    <x v="6"/>
    <s v="3289 Britain Drive"/>
    <n v="5"/>
    <n v="1"/>
    <s v="NO"/>
    <n v="2"/>
    <n v="0"/>
    <s v="YES"/>
    <n v="6930"/>
    <n v="1260"/>
    <n v="630"/>
    <n v="5040"/>
    <s v="Toyota"/>
    <s v="Highlander"/>
    <n v="2001"/>
    <s v="N"/>
    <n v="6.4394432158189145"/>
    <n v="-5854.82"/>
    <n v="0.15512624440917616"/>
    <n v="14"/>
    <n v="80"/>
    <x v="2"/>
    <x v="0"/>
  </r>
  <r>
    <n v="325"/>
    <n v="47"/>
    <n v="900628"/>
    <d v="2006-02-05T00:00:00"/>
    <s v="IN"/>
    <s v="500/1000"/>
    <n v="1000"/>
    <n v="1690.27"/>
    <n v="0"/>
    <n v="438830"/>
    <s v="FEMALE"/>
    <s v="Associate"/>
    <s v="protective-serv"/>
    <s v="hiking"/>
    <s v="not-in-family"/>
    <n v="61500"/>
    <n v="0"/>
    <d v="2015-01-14T00:00:00"/>
    <s v="Single Vehicle Collision"/>
    <s v="Side Collision"/>
    <s v="Major Damage"/>
    <s v="Fire"/>
    <x v="1"/>
    <x v="3"/>
    <s v="6550 Andromedia St"/>
    <n v="11"/>
    <n v="1"/>
    <s v="YES"/>
    <n v="0"/>
    <n v="3"/>
    <s v="NO"/>
    <n v="72930"/>
    <n v="6630"/>
    <n v="6630"/>
    <n v="59670"/>
    <s v="Dodge"/>
    <s v="RAM"/>
    <n v="2006"/>
    <s v="Y"/>
    <n v="43.121441283769002"/>
    <n v="-71239.73"/>
    <n v="2.3176289917867573E-2"/>
    <n v="9"/>
    <n v="325"/>
    <x v="0"/>
    <x v="0"/>
  </r>
  <r>
    <n v="29"/>
    <n v="25"/>
    <n v="235220"/>
    <d v="2014-11-01T00:00:00"/>
    <s v="IL"/>
    <s v="250/500"/>
    <n v="2000"/>
    <n v="1352.83"/>
    <n v="0"/>
    <n v="464959"/>
    <s v="MALE"/>
    <s v="Masters"/>
    <s v="farming-fishing"/>
    <s v="skydiving"/>
    <s v="own-child"/>
    <n v="0"/>
    <n v="-71700"/>
    <d v="2015-01-22T00:00:00"/>
    <s v="Multi-vehicle Collision"/>
    <s v="Rear Collision"/>
    <s v="Minor Damage"/>
    <s v="Other"/>
    <x v="0"/>
    <x v="4"/>
    <s v="1679 2nd Hwy"/>
    <n v="4"/>
    <n v="4"/>
    <s v="YES"/>
    <n v="1"/>
    <n v="2"/>
    <s v="YES"/>
    <n v="64890"/>
    <n v="7210"/>
    <n v="7210"/>
    <n v="50470"/>
    <s v="Nissan"/>
    <s v="Pathfinder"/>
    <n v="2013"/>
    <s v="Y"/>
    <n v="47.93068553658879"/>
    <n v="-63537.17"/>
    <n v="2.0847729269081999E-2"/>
    <n v="2"/>
    <n v="29"/>
    <x v="0"/>
    <x v="0"/>
  </r>
  <r>
    <n v="295"/>
    <n v="48"/>
    <n v="740019"/>
    <d v="2009-06-17T00:00:00"/>
    <s v="OH"/>
    <s v="250/500"/>
    <n v="1000"/>
    <n v="1148.73"/>
    <n v="0"/>
    <n v="439787"/>
    <s v="FEMALE"/>
    <s v="College"/>
    <s v="machine-op-inspct"/>
    <s v="kayaking"/>
    <s v="wife"/>
    <n v="0"/>
    <n v="0"/>
    <d v="2015-02-22T00:00:00"/>
    <s v="Parked Car"/>
    <s v="?"/>
    <s v="Trivial Damage"/>
    <s v="None"/>
    <x v="4"/>
    <x v="0"/>
    <s v="3998 Flute St"/>
    <n v="6"/>
    <n v="1"/>
    <s v="?"/>
    <n v="1"/>
    <n v="2"/>
    <s v="YES"/>
    <n v="5400"/>
    <n v="900"/>
    <n v="900"/>
    <n v="3600"/>
    <s v="Saab"/>
    <n v="95"/>
    <n v="1999"/>
    <s v="N"/>
    <n v="4.6967548902785872"/>
    <n v="-4251.2700000000004"/>
    <n v="0.21268839103869655"/>
    <n v="16"/>
    <n v="295"/>
    <x v="1"/>
    <x v="1"/>
  </r>
  <r>
    <n v="239"/>
    <n v="42"/>
    <n v="246882"/>
    <d v="1999-09-20T00:00:00"/>
    <s v="IL"/>
    <s v="100/300"/>
    <n v="1000"/>
    <n v="969.5"/>
    <n v="0"/>
    <n v="464839"/>
    <s v="MALE"/>
    <s v="College"/>
    <s v="exec-managerial"/>
    <s v="reading"/>
    <s v="not-in-family"/>
    <n v="0"/>
    <n v="0"/>
    <d v="2015-01-26T00:00:00"/>
    <s v="Vehicle Theft"/>
    <s v="?"/>
    <s v="Trivial Damage"/>
    <s v="None"/>
    <x v="5"/>
    <x v="6"/>
    <s v="2430 MLK Ave"/>
    <n v="10"/>
    <n v="1"/>
    <s v="NO"/>
    <n v="0"/>
    <n v="0"/>
    <s v="?"/>
    <n v="5600"/>
    <n v="700"/>
    <n v="700"/>
    <n v="4200"/>
    <s v="Audi"/>
    <s v="A3"/>
    <n v="2007"/>
    <s v="N"/>
    <n v="5.7702215352910873"/>
    <n v="-4630.5"/>
    <n v="0.17309409034101053"/>
    <n v="8"/>
    <n v="239"/>
    <x v="2"/>
    <x v="1"/>
  </r>
  <r>
    <n v="269"/>
    <n v="41"/>
    <n v="797613"/>
    <d v="1990-10-19T00:00:00"/>
    <s v="IN"/>
    <s v="100/300"/>
    <n v="500"/>
    <n v="1463.82"/>
    <n v="0"/>
    <n v="448984"/>
    <s v="FEMALE"/>
    <s v="College"/>
    <s v="protective-serv"/>
    <s v="yachting"/>
    <s v="not-in-family"/>
    <n v="0"/>
    <n v="-72300"/>
    <d v="2015-01-24T00:00:00"/>
    <s v="Single Vehicle Collision"/>
    <s v="Rear Collision"/>
    <s v="Minor Damage"/>
    <s v="Police"/>
    <x v="0"/>
    <x v="5"/>
    <s v="7717 Britain Hwy"/>
    <n v="23"/>
    <n v="1"/>
    <s v="YES"/>
    <n v="0"/>
    <n v="0"/>
    <s v="?"/>
    <n v="79300"/>
    <n v="15860"/>
    <n v="15860"/>
    <n v="47580"/>
    <s v="Saab"/>
    <s v="92x"/>
    <n v="2007"/>
    <s v="N"/>
    <n v="54.136344397263827"/>
    <n v="-77836.179999999993"/>
    <n v="1.8459035825525529E-2"/>
    <n v="8"/>
    <n v="269"/>
    <x v="0"/>
    <x v="0"/>
  </r>
  <r>
    <n v="80"/>
    <n v="27"/>
    <n v="193442"/>
    <d v="1996-08-05T00:00:00"/>
    <s v="IL"/>
    <s v="100/300"/>
    <n v="1000"/>
    <n v="1474.17"/>
    <n v="0"/>
    <n v="440327"/>
    <s v="FEMALE"/>
    <s v="College"/>
    <s v="tech-support"/>
    <s v="exercise"/>
    <s v="unmarried"/>
    <n v="0"/>
    <n v="0"/>
    <d v="2015-02-19T00:00:00"/>
    <s v="Single Vehicle Collision"/>
    <s v="Side Collision"/>
    <s v="Major Damage"/>
    <s v="Police"/>
    <x v="4"/>
    <x v="5"/>
    <s v="7773 Tree Hwy"/>
    <n v="13"/>
    <n v="1"/>
    <s v="YES"/>
    <n v="1"/>
    <n v="0"/>
    <s v="YES"/>
    <n v="52800"/>
    <n v="10560"/>
    <n v="5280"/>
    <n v="36960"/>
    <s v="Saab"/>
    <n v="95"/>
    <n v="2004"/>
    <s v="N"/>
    <n v="35.792484933939818"/>
    <n v="-51325.83"/>
    <n v="2.7919357587924472E-2"/>
    <n v="11"/>
    <n v="80"/>
    <x v="0"/>
    <x v="0"/>
  </r>
  <r>
    <n v="279"/>
    <n v="41"/>
    <n v="389238"/>
    <d v="2001-06-06T00:00:00"/>
    <s v="IL"/>
    <s v="250/500"/>
    <n v="500"/>
    <n v="1497.35"/>
    <n v="0"/>
    <n v="460742"/>
    <s v="FEMALE"/>
    <s v="JD"/>
    <s v="prof-specialty"/>
    <s v="bungie-jumping"/>
    <s v="husband"/>
    <n v="37300"/>
    <n v="-31700"/>
    <d v="2015-01-29T00:00:00"/>
    <s v="Multi-vehicle Collision"/>
    <s v="Front Collision"/>
    <s v="Minor Damage"/>
    <s v="Fire"/>
    <x v="5"/>
    <x v="6"/>
    <s v="2199 Texas Drive"/>
    <n v="16"/>
    <n v="3"/>
    <s v="?"/>
    <n v="2"/>
    <n v="3"/>
    <s v="NO"/>
    <n v="28800"/>
    <n v="0"/>
    <n v="3600"/>
    <n v="25200"/>
    <s v="Ford"/>
    <s v="Fusion"/>
    <n v="2013"/>
    <s v="N"/>
    <n v="19.221143257583343"/>
    <n v="-27302.65"/>
    <n v="5.1989514252977327E-2"/>
    <n v="2"/>
    <n v="279"/>
    <x v="2"/>
    <x v="0"/>
  </r>
  <r>
    <n v="165"/>
    <n v="33"/>
    <n v="760179"/>
    <d v="2007-03-25T00:00:00"/>
    <s v="OH"/>
    <s v="100/300"/>
    <n v="1000"/>
    <n v="1427.14"/>
    <n v="0"/>
    <n v="446895"/>
    <s v="FEMALE"/>
    <s v="Associate"/>
    <s v="tech-support"/>
    <s v="kayaking"/>
    <s v="other-relative"/>
    <n v="35300"/>
    <n v="-58100"/>
    <d v="2015-02-15T00:00:00"/>
    <s v="Parked Car"/>
    <s v="?"/>
    <s v="Minor Damage"/>
    <s v="Police"/>
    <x v="4"/>
    <x v="5"/>
    <s v="1028 Sky Lane"/>
    <n v="3"/>
    <n v="1"/>
    <s v="NO"/>
    <n v="1"/>
    <n v="1"/>
    <s v="NO"/>
    <n v="2970"/>
    <n v="330"/>
    <n v="330"/>
    <n v="2310"/>
    <s v="Toyota"/>
    <s v="Highlander"/>
    <n v="2008"/>
    <s v="N"/>
    <n v="2.0796280476703961"/>
    <n v="-1542.86"/>
    <n v="0.48035678222820605"/>
    <n v="7"/>
    <n v="165"/>
    <x v="1"/>
    <x v="1"/>
  </r>
  <r>
    <n v="350"/>
    <n v="54"/>
    <n v="939905"/>
    <d v="2013-10-31T00:00:00"/>
    <s v="OH"/>
    <s v="500/1000"/>
    <n v="500"/>
    <n v="1495.1"/>
    <n v="0"/>
    <n v="609374"/>
    <s v="MALE"/>
    <s v="College"/>
    <s v="other-service"/>
    <s v="basketball"/>
    <s v="wife"/>
    <n v="50500"/>
    <n v="0"/>
    <d v="2015-02-12T00:00:00"/>
    <s v="Multi-vehicle Collision"/>
    <s v="Side Collision"/>
    <s v="Total Loss"/>
    <s v="Police"/>
    <x v="0"/>
    <x v="5"/>
    <s v="4154 Lincoln Hwy"/>
    <n v="15"/>
    <n v="3"/>
    <s v="NO"/>
    <n v="0"/>
    <n v="0"/>
    <s v="?"/>
    <n v="93480"/>
    <n v="15580"/>
    <n v="7790"/>
    <n v="70110"/>
    <s v="Chevrolet"/>
    <s v="Malibu"/>
    <n v="2014"/>
    <s v="N"/>
    <n v="62.482454381391619"/>
    <n v="-91984.9"/>
    <n v="1.5993624372867214E-2"/>
    <n v="1"/>
    <n v="350"/>
    <x v="0"/>
    <x v="0"/>
  </r>
  <r>
    <n v="295"/>
    <n v="49"/>
    <n v="872814"/>
    <d v="1992-06-13T00:00:00"/>
    <s v="IL"/>
    <s v="100/300"/>
    <n v="500"/>
    <n v="1141.6199999999999"/>
    <n v="0"/>
    <n v="451672"/>
    <s v="MALE"/>
    <s v="College"/>
    <s v="prof-specialty"/>
    <s v="kayaking"/>
    <s v="husband"/>
    <n v="34300"/>
    <n v="-24300"/>
    <d v="2015-01-01T00:00:00"/>
    <s v="Vehicle Theft"/>
    <s v="?"/>
    <s v="Minor Damage"/>
    <s v="None"/>
    <x v="4"/>
    <x v="0"/>
    <s v="8085 Andromedia St"/>
    <n v="4"/>
    <n v="1"/>
    <s v="YES"/>
    <n v="1"/>
    <n v="3"/>
    <s v="YES"/>
    <n v="4320"/>
    <n v="480"/>
    <n v="480"/>
    <n v="3360"/>
    <s v="Mercedes"/>
    <s v="E400"/>
    <n v="2002"/>
    <s v="N"/>
    <n v="3.7807845127864037"/>
    <n v="-3178.38"/>
    <n v="0.26420273084934043"/>
    <n v="13"/>
    <n v="295"/>
    <x v="1"/>
    <x v="1"/>
  </r>
  <r>
    <n v="464"/>
    <n v="61"/>
    <n v="632627"/>
    <d v="1990-10-07T00:00:00"/>
    <s v="OH"/>
    <s v="500/1000"/>
    <n v="1000"/>
    <n v="1125.3699999999999"/>
    <n v="0"/>
    <n v="604450"/>
    <s v="FEMALE"/>
    <s v="Associate"/>
    <s v="prof-specialty"/>
    <s v="basketball"/>
    <s v="husband"/>
    <n v="0"/>
    <n v="-56400"/>
    <d v="2015-01-13T00:00:00"/>
    <s v="Multi-vehicle Collision"/>
    <s v="Rear Collision"/>
    <s v="Major Damage"/>
    <s v="Police"/>
    <x v="1"/>
    <x v="5"/>
    <s v="4793 4th Ridge"/>
    <n v="6"/>
    <n v="3"/>
    <s v="?"/>
    <n v="0"/>
    <n v="2"/>
    <s v="YES"/>
    <n v="79800"/>
    <n v="6650"/>
    <n v="19950"/>
    <n v="53200"/>
    <s v="Saab"/>
    <n v="95"/>
    <n v="2000"/>
    <s v="Y"/>
    <n v="70.847057361257853"/>
    <n v="-78674.63"/>
    <n v="1.410220423302966E-2"/>
    <n v="15"/>
    <n v="464"/>
    <x v="0"/>
    <x v="0"/>
  </r>
  <r>
    <n v="118"/>
    <n v="28"/>
    <n v="283414"/>
    <d v="1991-12-28T00:00:00"/>
    <s v="IN"/>
    <s v="500/1000"/>
    <n v="2000"/>
    <n v="1207.3599999999999"/>
    <n v="0"/>
    <n v="432896"/>
    <s v="FEMALE"/>
    <s v="High School"/>
    <s v="handlers-cleaners"/>
    <s v="camping"/>
    <s v="own-child"/>
    <n v="0"/>
    <n v="-57000"/>
    <d v="2015-03-01T00:00:00"/>
    <s v="Multi-vehicle Collision"/>
    <s v="Front Collision"/>
    <s v="Major Damage"/>
    <s v="Ambulance"/>
    <x v="4"/>
    <x v="0"/>
    <s v="7428 Sky Hwy"/>
    <n v="22"/>
    <n v="2"/>
    <s v="NO"/>
    <n v="1"/>
    <n v="0"/>
    <s v="?"/>
    <n v="74200"/>
    <n v="7420"/>
    <n v="14840"/>
    <n v="51940"/>
    <s v="Volkswagen"/>
    <s v="Passat"/>
    <n v="1997"/>
    <s v="N"/>
    <n v="61.405541394948528"/>
    <n v="-72992.639999999999"/>
    <n v="1.6271478821040148E-2"/>
    <n v="18"/>
    <n v="118"/>
    <x v="0"/>
    <x v="0"/>
  </r>
  <r>
    <n v="298"/>
    <n v="47"/>
    <n v="163161"/>
    <d v="1998-11-11T00:00:00"/>
    <s v="IL"/>
    <s v="500/1000"/>
    <n v="2000"/>
    <n v="1338.5"/>
    <n v="0"/>
    <n v="618929"/>
    <s v="FEMALE"/>
    <s v="PhD"/>
    <s v="machine-op-inspct"/>
    <s v="basketball"/>
    <s v="other-relative"/>
    <n v="28800"/>
    <n v="0"/>
    <d v="2015-02-02T00:00:00"/>
    <s v="Single Vehicle Collision"/>
    <s v="Front Collision"/>
    <s v="Major Damage"/>
    <s v="Fire"/>
    <x v="2"/>
    <x v="6"/>
    <s v="2306 5th Lane"/>
    <n v="1"/>
    <n v="1"/>
    <s v="?"/>
    <n v="0"/>
    <n v="0"/>
    <s v="?"/>
    <n v="70590"/>
    <n v="10860"/>
    <n v="10860"/>
    <n v="48870"/>
    <s v="Saab"/>
    <n v="93"/>
    <n v="2000"/>
    <s v="Y"/>
    <n v="52.698768197088469"/>
    <n v="-69251.5"/>
    <n v="1.8961340680823335E-2"/>
    <n v="15"/>
    <n v="298"/>
    <x v="0"/>
    <x v="0"/>
  </r>
  <r>
    <n v="87"/>
    <n v="31"/>
    <n v="853360"/>
    <d v="2009-06-26T00:00:00"/>
    <s v="IN"/>
    <s v="500/1000"/>
    <n v="1000"/>
    <n v="1074.07"/>
    <n v="0"/>
    <n v="451312"/>
    <s v="FEMALE"/>
    <s v="Masters"/>
    <s v="sales"/>
    <s v="chess"/>
    <s v="husband"/>
    <n v="0"/>
    <n v="-47500"/>
    <d v="2015-01-27T00:00:00"/>
    <s v="Multi-vehicle Collision"/>
    <s v="Rear Collision"/>
    <s v="Major Damage"/>
    <s v="Fire"/>
    <x v="2"/>
    <x v="3"/>
    <s v="3052 Weaver Ridge"/>
    <n v="16"/>
    <n v="3"/>
    <s v="NO"/>
    <n v="0"/>
    <n v="3"/>
    <s v="YES"/>
    <n v="60940"/>
    <n v="5540"/>
    <n v="11080"/>
    <n v="44320"/>
    <s v="Nissan"/>
    <s v="Ultima"/>
    <n v="2006"/>
    <s v="Y"/>
    <n v="56.684680997516445"/>
    <n v="-59865.93"/>
    <n v="1.762475180912686E-2"/>
    <n v="9"/>
    <n v="87"/>
    <x v="0"/>
    <x v="0"/>
  </r>
  <r>
    <n v="261"/>
    <n v="42"/>
    <n v="776860"/>
    <d v="2009-01-11T00:00:00"/>
    <s v="OH"/>
    <s v="250/500"/>
    <n v="500"/>
    <n v="1337.56"/>
    <n v="0"/>
    <n v="605141"/>
    <s v="FEMALE"/>
    <s v="College"/>
    <s v="prof-specialty"/>
    <s v="video-games"/>
    <s v="unmarried"/>
    <n v="0"/>
    <n v="0"/>
    <d v="2015-01-12T00:00:00"/>
    <s v="Single Vehicle Collision"/>
    <s v="Rear Collision"/>
    <s v="Minor Damage"/>
    <s v="Police"/>
    <x v="0"/>
    <x v="1"/>
    <s v="5211 Weaver Drive"/>
    <n v="18"/>
    <n v="1"/>
    <s v="?"/>
    <n v="1"/>
    <n v="2"/>
    <s v="YES"/>
    <n v="74700"/>
    <n v="7470"/>
    <n v="14940"/>
    <n v="52290"/>
    <s v="Dodge"/>
    <s v="RAM"/>
    <n v="2010"/>
    <s v="N"/>
    <n v="55.806239540999286"/>
    <n v="-73362.44"/>
    <n v="1.7905516659750202E-2"/>
    <n v="5"/>
    <n v="261"/>
    <x v="0"/>
    <x v="0"/>
  </r>
  <r>
    <n v="453"/>
    <n v="60"/>
    <n v="149367"/>
    <d v="2003-03-18T00:00:00"/>
    <s v="IN"/>
    <s v="100/300"/>
    <n v="500"/>
    <n v="1298.9100000000001"/>
    <n v="6000000"/>
    <n v="459504"/>
    <s v="MALE"/>
    <s v="PhD"/>
    <s v="craft-repair"/>
    <s v="dancing"/>
    <s v="unmarried"/>
    <n v="52600"/>
    <n v="-38800"/>
    <d v="2015-01-06T00:00:00"/>
    <s v="Single Vehicle Collision"/>
    <s v="Front Collision"/>
    <s v="Major Damage"/>
    <s v="Fire"/>
    <x v="5"/>
    <x v="3"/>
    <s v="7253 MLK St"/>
    <n v="0"/>
    <n v="1"/>
    <s v="YES"/>
    <n v="0"/>
    <n v="0"/>
    <s v="?"/>
    <n v="70000"/>
    <n v="14000"/>
    <n v="7000"/>
    <n v="49000"/>
    <s v="Ford"/>
    <s v="F150"/>
    <n v="2015"/>
    <s v="Y"/>
    <n v="53.8498819149018"/>
    <n v="-68701.09"/>
    <n v="1.8555592062970531E-2"/>
    <n v="0"/>
    <n v="453"/>
    <x v="0"/>
    <x v="0"/>
  </r>
  <r>
    <n v="210"/>
    <n v="41"/>
    <n v="395269"/>
    <d v="2012-11-02T00:00:00"/>
    <s v="IL"/>
    <s v="500/1000"/>
    <n v="500"/>
    <n v="1222.75"/>
    <n v="0"/>
    <n v="432781"/>
    <s v="MALE"/>
    <s v="High School"/>
    <s v="exec-managerial"/>
    <s v="polo"/>
    <s v="other-relative"/>
    <n v="0"/>
    <n v="-41000"/>
    <d v="2015-01-30T00:00:00"/>
    <s v="Multi-vehicle Collision"/>
    <s v="Rear Collision"/>
    <s v="Total Loss"/>
    <s v="Other"/>
    <x v="4"/>
    <x v="0"/>
    <s v="1454 5th Ridge"/>
    <n v="12"/>
    <n v="3"/>
    <s v="?"/>
    <n v="2"/>
    <n v="0"/>
    <s v="NO"/>
    <n v="81070"/>
    <n v="14740"/>
    <n v="14740"/>
    <n v="51590"/>
    <s v="BMW"/>
    <s v="X5"/>
    <n v="2001"/>
    <s v="N"/>
    <n v="66.247191011235955"/>
    <n v="-79847.25"/>
    <n v="1.5082458585684154E-2"/>
    <n v="14"/>
    <n v="210"/>
    <x v="0"/>
    <x v="0"/>
  </r>
  <r>
    <n v="168"/>
    <n v="32"/>
    <n v="981123"/>
    <d v="2000-05-04T00:00:00"/>
    <s v="IN"/>
    <s v="100/300"/>
    <n v="1000"/>
    <n v="1059.52"/>
    <n v="0"/>
    <n v="452748"/>
    <s v="MALE"/>
    <s v="MD"/>
    <s v="protective-serv"/>
    <s v="camping"/>
    <s v="own-child"/>
    <n v="0"/>
    <n v="-40600"/>
    <d v="2015-03-01T00:00:00"/>
    <s v="Multi-vehicle Collision"/>
    <s v="Side Collision"/>
    <s v="Major Damage"/>
    <s v="Other"/>
    <x v="1"/>
    <x v="4"/>
    <s v="5622 Best Ridge"/>
    <n v="13"/>
    <n v="2"/>
    <s v="?"/>
    <n v="1"/>
    <n v="1"/>
    <s v="?"/>
    <n v="57720"/>
    <n v="14430"/>
    <n v="9620"/>
    <n v="33670"/>
    <s v="Saab"/>
    <n v="93"/>
    <n v="2007"/>
    <s v="N"/>
    <n v="54.426130577452568"/>
    <n v="-56660.480000000003"/>
    <n v="1.8355884340188144E-2"/>
    <n v="8"/>
    <n v="168"/>
    <x v="0"/>
    <x v="0"/>
  </r>
  <r>
    <n v="390"/>
    <n v="51"/>
    <n v="143626"/>
    <d v="1999-09-29T00:00:00"/>
    <s v="OH"/>
    <s v="250/500"/>
    <n v="2000"/>
    <n v="1124.3800000000001"/>
    <n v="0"/>
    <n v="618316"/>
    <s v="MALE"/>
    <s v="Associate"/>
    <s v="armed-forces"/>
    <s v="reading"/>
    <s v="other-relative"/>
    <n v="0"/>
    <n v="0"/>
    <d v="2015-02-24T00:00:00"/>
    <s v="Vehicle Theft"/>
    <s v="?"/>
    <s v="Minor Damage"/>
    <s v="None"/>
    <x v="1"/>
    <x v="6"/>
    <s v="4574 Britain Hwy"/>
    <n v="9"/>
    <n v="1"/>
    <s v="YES"/>
    <n v="1"/>
    <n v="1"/>
    <s v="YES"/>
    <n v="7080"/>
    <n v="1180"/>
    <n v="1180"/>
    <n v="4720"/>
    <s v="Ford"/>
    <s v="F150"/>
    <n v="2001"/>
    <s v="N"/>
    <n v="6.2912083029732173"/>
    <n v="-5955.62"/>
    <n v="0.1587883067363367"/>
    <n v="14"/>
    <n v="390"/>
    <x v="2"/>
    <x v="0"/>
  </r>
  <r>
    <n v="258"/>
    <n v="46"/>
    <n v="648397"/>
    <d v="1999-03-09T00:00:00"/>
    <s v="IN"/>
    <s v="100/300"/>
    <n v="1000"/>
    <n v="1110.3699999999999"/>
    <n v="10000000"/>
    <n v="455365"/>
    <s v="MALE"/>
    <s v="MD"/>
    <s v="machine-op-inspct"/>
    <s v="hiking"/>
    <s v="other-relative"/>
    <n v="34400"/>
    <n v="-56800"/>
    <d v="2015-01-24T00:00:00"/>
    <s v="Multi-vehicle Collision"/>
    <s v="Side Collision"/>
    <s v="Total Loss"/>
    <s v="Other"/>
    <x v="2"/>
    <x v="1"/>
    <s v="4539 Texas St"/>
    <n v="14"/>
    <n v="3"/>
    <s v="NO"/>
    <n v="0"/>
    <n v="1"/>
    <s v="?"/>
    <n v="47700"/>
    <n v="4770"/>
    <n v="9540"/>
    <n v="33390"/>
    <s v="Accura"/>
    <s v="MDX"/>
    <n v="1997"/>
    <s v="Y"/>
    <n v="42.919999640083866"/>
    <n v="-46589.63"/>
    <n v="2.3277709062703086E-2"/>
    <n v="18"/>
    <n v="258"/>
    <x v="0"/>
    <x v="0"/>
  </r>
  <r>
    <n v="107"/>
    <n v="31"/>
    <n v="154982"/>
    <d v="1991-02-13T00:00:00"/>
    <s v="IL"/>
    <s v="500/1000"/>
    <n v="2000"/>
    <n v="1374.22"/>
    <n v="0"/>
    <n v="470603"/>
    <s v="FEMALE"/>
    <s v="PhD"/>
    <s v="machine-op-inspct"/>
    <s v="bungie-jumping"/>
    <s v="other-relative"/>
    <n v="62000"/>
    <n v="-63100"/>
    <d v="2015-02-26T00:00:00"/>
    <s v="Single Vehicle Collision"/>
    <s v="Rear Collision"/>
    <s v="Minor Damage"/>
    <s v="Police"/>
    <x v="0"/>
    <x v="4"/>
    <s v="8118 Elm Ridge"/>
    <n v="16"/>
    <n v="1"/>
    <s v="NO"/>
    <n v="0"/>
    <n v="3"/>
    <s v="NO"/>
    <n v="51260"/>
    <n v="9320"/>
    <n v="9320"/>
    <n v="32620"/>
    <s v="Suburu"/>
    <s v="Legacy"/>
    <n v="2002"/>
    <s v="N"/>
    <n v="37.274036154215324"/>
    <n v="-49885.78"/>
    <n v="2.6808294805017459E-2"/>
    <n v="13"/>
    <n v="107"/>
    <x v="0"/>
    <x v="0"/>
  </r>
  <r>
    <n v="225"/>
    <n v="41"/>
    <n v="330591"/>
    <d v="1993-08-05T00:00:00"/>
    <s v="OH"/>
    <s v="500/1000"/>
    <n v="2000"/>
    <n v="1103.58"/>
    <n v="0"/>
    <n v="475292"/>
    <s v="MALE"/>
    <s v="High School"/>
    <s v="exec-managerial"/>
    <s v="exercise"/>
    <s v="unmarried"/>
    <n v="41200"/>
    <n v="-36200"/>
    <d v="2015-01-19T00:00:00"/>
    <s v="Multi-vehicle Collision"/>
    <s v="Side Collision"/>
    <s v="Major Damage"/>
    <s v="Police"/>
    <x v="2"/>
    <x v="5"/>
    <s v="3814 Britain Drive"/>
    <n v="20"/>
    <n v="3"/>
    <s v="?"/>
    <n v="2"/>
    <n v="2"/>
    <s v="NO"/>
    <n v="70400"/>
    <n v="6400"/>
    <n v="12800"/>
    <n v="51200"/>
    <s v="Toyota"/>
    <s v="Highlander"/>
    <n v="2011"/>
    <s v="Y"/>
    <n v="63.734632167882822"/>
    <n v="-69296.42"/>
    <n v="1.5675629607533981E-2"/>
    <n v="4"/>
    <n v="225"/>
    <x v="0"/>
    <x v="0"/>
  </r>
  <r>
    <n v="164"/>
    <n v="38"/>
    <n v="319232"/>
    <d v="1997-10-31T00:00:00"/>
    <s v="IL"/>
    <s v="250/500"/>
    <n v="2000"/>
    <n v="1269.76"/>
    <n v="0"/>
    <n v="467743"/>
    <s v="FEMALE"/>
    <s v="PhD"/>
    <s v="transport-moving"/>
    <s v="yachting"/>
    <s v="not-in-family"/>
    <n v="44300"/>
    <n v="0"/>
    <d v="2015-01-17T00:00:00"/>
    <s v="Single Vehicle Collision"/>
    <s v="Rear Collision"/>
    <s v="Minor Damage"/>
    <s v="Fire"/>
    <x v="2"/>
    <x v="4"/>
    <s v="4614 MLK Ave"/>
    <n v="4"/>
    <n v="1"/>
    <s v="NO"/>
    <n v="1"/>
    <n v="3"/>
    <s v="YES"/>
    <n v="90000"/>
    <n v="18000"/>
    <n v="9000"/>
    <n v="63000"/>
    <s v="Ford"/>
    <s v="Fusion"/>
    <n v="2015"/>
    <s v="N"/>
    <n v="70.823759010356014"/>
    <n v="-88730.240000000005"/>
    <n v="1.4108287685692382E-2"/>
    <n v="0"/>
    <n v="164"/>
    <x v="0"/>
    <x v="0"/>
  </r>
  <r>
    <n v="245"/>
    <n v="39"/>
    <n v="531640"/>
    <d v="2001-04-21T00:00:00"/>
    <s v="OH"/>
    <s v="250/500"/>
    <n v="500"/>
    <n v="964.79"/>
    <n v="8000000"/>
    <n v="460675"/>
    <s v="FEMALE"/>
    <s v="Associate"/>
    <s v="adm-clerical"/>
    <s v="camping"/>
    <s v="husband"/>
    <n v="58000"/>
    <n v="0"/>
    <d v="2015-02-20T00:00:00"/>
    <s v="Multi-vehicle Collision"/>
    <s v="Rear Collision"/>
    <s v="Minor Damage"/>
    <s v="Police"/>
    <x v="2"/>
    <x v="2"/>
    <s v="1628 Best Drive"/>
    <n v="7"/>
    <n v="3"/>
    <s v="?"/>
    <n v="0"/>
    <n v="1"/>
    <s v="?"/>
    <n v="72820"/>
    <n v="13240"/>
    <n v="6620"/>
    <n v="52960"/>
    <s v="BMW"/>
    <s v="3 Series"/>
    <n v="2010"/>
    <s v="N"/>
    <n v="75.399413951273047"/>
    <n v="-71855.210000000006"/>
    <n v="1.3248788124304802E-2"/>
    <n v="5"/>
    <n v="245"/>
    <x v="0"/>
    <x v="0"/>
  </r>
  <r>
    <n v="255"/>
    <n v="41"/>
    <n v="368050"/>
    <d v="2013-01-08T00:00:00"/>
    <s v="IL"/>
    <s v="500/1000"/>
    <n v="2000"/>
    <n v="1167.3"/>
    <n v="4000000"/>
    <n v="618123"/>
    <s v="MALE"/>
    <s v="High School"/>
    <s v="priv-house-serv"/>
    <s v="board-games"/>
    <s v="other-relative"/>
    <n v="0"/>
    <n v="0"/>
    <d v="2015-02-22T00:00:00"/>
    <s v="Single Vehicle Collision"/>
    <s v="Side Collision"/>
    <s v="Minor Damage"/>
    <s v="Fire"/>
    <x v="0"/>
    <x v="4"/>
    <s v="8381 Solo Hwy"/>
    <n v="22"/>
    <n v="1"/>
    <s v="NO"/>
    <n v="2"/>
    <n v="0"/>
    <s v="?"/>
    <n v="69300"/>
    <n v="13860"/>
    <n v="13860"/>
    <n v="41580"/>
    <s v="Volkswagen"/>
    <s v="Passat"/>
    <n v="2000"/>
    <s v="N"/>
    <n v="59.316956261234274"/>
    <n v="-68132.7"/>
    <n v="1.6843912786251278E-2"/>
    <n v="15"/>
    <n v="255"/>
    <x v="0"/>
    <x v="0"/>
  </r>
  <r>
    <n v="206"/>
    <n v="36"/>
    <n v="253791"/>
    <d v="2009-07-23T00:00:00"/>
    <s v="IL"/>
    <s v="500/1000"/>
    <n v="500"/>
    <n v="1625.45"/>
    <n v="4000000"/>
    <n v="607452"/>
    <s v="FEMALE"/>
    <s v="MD"/>
    <s v="other-service"/>
    <s v="video-games"/>
    <s v="other-relative"/>
    <n v="0"/>
    <n v="-53700"/>
    <d v="2015-01-23T00:00:00"/>
    <s v="Single Vehicle Collision"/>
    <s v="Front Collision"/>
    <s v="Major Damage"/>
    <s v="Ambulance"/>
    <x v="2"/>
    <x v="6"/>
    <s v="2100 MLK St"/>
    <n v="11"/>
    <n v="1"/>
    <s v="NO"/>
    <n v="2"/>
    <n v="1"/>
    <s v="NO"/>
    <n v="76560"/>
    <n v="12760"/>
    <n v="12760"/>
    <n v="51040"/>
    <s v="Ford"/>
    <s v="Fusion"/>
    <n v="2008"/>
    <s v="Y"/>
    <n v="47.071843585723506"/>
    <n v="-74934.55"/>
    <n v="2.1230783296978879E-2"/>
    <n v="7"/>
    <n v="206"/>
    <x v="0"/>
    <x v="0"/>
  </r>
  <r>
    <n v="203"/>
    <n v="38"/>
    <n v="155724"/>
    <d v="1998-02-20T00:00:00"/>
    <s v="IL"/>
    <s v="250/500"/>
    <n v="500"/>
    <n v="1394.43"/>
    <n v="0"/>
    <n v="606352"/>
    <s v="FEMALE"/>
    <s v="Masters"/>
    <s v="other-service"/>
    <s v="skydiving"/>
    <s v="not-in-family"/>
    <n v="0"/>
    <n v="0"/>
    <d v="2015-01-31T00:00:00"/>
    <s v="Single Vehicle Collision"/>
    <s v="Front Collision"/>
    <s v="Major Damage"/>
    <s v="Ambulance"/>
    <x v="1"/>
    <x v="0"/>
    <s v="5071 Flute Ridge"/>
    <n v="7"/>
    <n v="1"/>
    <s v="?"/>
    <n v="0"/>
    <n v="1"/>
    <s v="YES"/>
    <n v="55440"/>
    <n v="0"/>
    <n v="6160"/>
    <n v="49280"/>
    <s v="Nissan"/>
    <s v="Maxima"/>
    <n v="1999"/>
    <s v="Y"/>
    <n v="39.729689056419886"/>
    <n v="-54045.57"/>
    <n v="2.5151602604570625E-2"/>
    <n v="16"/>
    <n v="203"/>
    <x v="0"/>
    <x v="0"/>
  </r>
  <r>
    <n v="22"/>
    <n v="25"/>
    <n v="824540"/>
    <d v="2008-03-13T00:00:00"/>
    <s v="OH"/>
    <s v="250/500"/>
    <n v="2000"/>
    <n v="1053.24"/>
    <n v="0"/>
    <n v="603527"/>
    <s v="FEMALE"/>
    <s v="College"/>
    <s v="prof-specialty"/>
    <s v="movies"/>
    <s v="other-relative"/>
    <n v="51100"/>
    <n v="0"/>
    <d v="2015-01-05T00:00:00"/>
    <s v="Multi-vehicle Collision"/>
    <s v="Front Collision"/>
    <s v="Total Loss"/>
    <s v="Other"/>
    <x v="5"/>
    <x v="2"/>
    <s v="7551 Britain Lane"/>
    <n v="0"/>
    <n v="4"/>
    <s v="YES"/>
    <n v="1"/>
    <n v="0"/>
    <s v="NO"/>
    <n v="77130"/>
    <n v="8570"/>
    <n v="17140"/>
    <n v="51420"/>
    <s v="Accura"/>
    <s v="MDX"/>
    <n v="1995"/>
    <s v="N"/>
    <n v="73.161708908787375"/>
    <n v="-76076.759999999995"/>
    <n v="1.3655209967457961E-2"/>
    <n v="20"/>
    <n v="22"/>
    <x v="0"/>
    <x v="0"/>
  </r>
  <r>
    <n v="211"/>
    <n v="35"/>
    <n v="717392"/>
    <d v="1996-08-20T00:00:00"/>
    <s v="IL"/>
    <s v="100/300"/>
    <n v="500"/>
    <n v="1040.75"/>
    <n v="0"/>
    <n v="445601"/>
    <s v="FEMALE"/>
    <s v="JD"/>
    <s v="prof-specialty"/>
    <s v="paintball"/>
    <s v="not-in-family"/>
    <n v="0"/>
    <n v="0"/>
    <d v="2015-02-03T00:00:00"/>
    <s v="Single Vehicle Collision"/>
    <s v="Rear Collision"/>
    <s v="Total Loss"/>
    <s v="Ambulance"/>
    <x v="4"/>
    <x v="5"/>
    <s v="2275 Best Lane"/>
    <n v="1"/>
    <n v="1"/>
    <s v="YES"/>
    <n v="1"/>
    <n v="1"/>
    <s v="?"/>
    <n v="42000"/>
    <n v="7000"/>
    <n v="7000"/>
    <n v="28000"/>
    <s v="BMW"/>
    <s v="X5"/>
    <n v="2011"/>
    <s v="N"/>
    <n v="40.316774658027356"/>
    <n v="-40959.25"/>
    <n v="2.477917192447799E-2"/>
    <n v="4"/>
    <n v="211"/>
    <x v="0"/>
    <x v="0"/>
  </r>
  <r>
    <n v="206"/>
    <n v="39"/>
    <n v="965768"/>
    <d v="2014-07-27T00:00:00"/>
    <s v="IN"/>
    <s v="250/500"/>
    <n v="1000"/>
    <n v="1302.4000000000001"/>
    <n v="6000000"/>
    <n v="603948"/>
    <s v="MALE"/>
    <s v="JD"/>
    <s v="craft-repair"/>
    <s v="dancing"/>
    <s v="unmarried"/>
    <n v="47200"/>
    <n v="-69700"/>
    <d v="2015-02-17T00:00:00"/>
    <s v="Multi-vehicle Collision"/>
    <s v="Rear Collision"/>
    <s v="Total Loss"/>
    <s v="Ambulance"/>
    <x v="2"/>
    <x v="4"/>
    <s v="1598 3rd Drive"/>
    <n v="12"/>
    <n v="3"/>
    <s v="NO"/>
    <n v="2"/>
    <n v="3"/>
    <s v="YES"/>
    <n v="36300"/>
    <n v="3300"/>
    <n v="9900"/>
    <n v="23100"/>
    <s v="Ford"/>
    <s v="Escape"/>
    <n v="2013"/>
    <s v="N"/>
    <n v="27.8502378394967"/>
    <n v="-34997.599999999999"/>
    <n v="3.5877799509655382E-2"/>
    <n v="2"/>
    <n v="206"/>
    <x v="0"/>
    <x v="0"/>
  </r>
  <r>
    <n v="166"/>
    <n v="38"/>
    <n v="414779"/>
    <d v="1992-11-09T00:00:00"/>
    <s v="IL"/>
    <s v="100/300"/>
    <n v="2000"/>
    <n v="1588.55"/>
    <n v="0"/>
    <n v="435758"/>
    <s v="MALE"/>
    <s v="MD"/>
    <s v="protective-serv"/>
    <s v="video-games"/>
    <s v="unmarried"/>
    <n v="59600"/>
    <n v="-32100"/>
    <d v="2015-01-09T00:00:00"/>
    <s v="Single Vehicle Collision"/>
    <s v="Side Collision"/>
    <s v="Total Loss"/>
    <s v="Other"/>
    <x v="4"/>
    <x v="0"/>
    <s v="7740 MLK St"/>
    <n v="8"/>
    <n v="1"/>
    <s v="NO"/>
    <n v="0"/>
    <n v="0"/>
    <s v="?"/>
    <n v="40320"/>
    <n v="5760"/>
    <n v="5760"/>
    <n v="28800"/>
    <s v="Suburu"/>
    <s v="Impreza"/>
    <n v="2001"/>
    <s v="N"/>
    <n v="25.365669529112015"/>
    <n v="-38731.449999999997"/>
    <n v="3.9397584385307903E-2"/>
    <n v="14"/>
    <n v="166"/>
    <x v="0"/>
    <x v="0"/>
  </r>
  <r>
    <n v="165"/>
    <n v="32"/>
    <n v="428230"/>
    <d v="2012-06-04T00:00:00"/>
    <s v="IN"/>
    <s v="500/1000"/>
    <n v="500"/>
    <n v="1399.26"/>
    <n v="0"/>
    <n v="611586"/>
    <s v="FEMALE"/>
    <s v="High School"/>
    <s v="tech-support"/>
    <s v="exercise"/>
    <s v="own-child"/>
    <n v="70500"/>
    <n v="0"/>
    <d v="2015-02-08T00:00:00"/>
    <s v="Parked Car"/>
    <s v="?"/>
    <s v="Minor Damage"/>
    <s v="Police"/>
    <x v="6"/>
    <x v="6"/>
    <s v="1240 Tree Lane"/>
    <n v="9"/>
    <n v="1"/>
    <s v="?"/>
    <n v="2"/>
    <n v="0"/>
    <s v="?"/>
    <n v="3960"/>
    <n v="330"/>
    <n v="660"/>
    <n v="2970"/>
    <s v="BMW"/>
    <s v="M5"/>
    <n v="1998"/>
    <s v="N"/>
    <n v="2.8280462199877165"/>
    <n v="-2560.7399999999998"/>
    <n v="0.35325927796011108"/>
    <n v="17"/>
    <n v="165"/>
    <x v="1"/>
    <x v="1"/>
  </r>
  <r>
    <n v="274"/>
    <n v="43"/>
    <n v="517240"/>
    <d v="2001-05-13T00:00:00"/>
    <s v="OH"/>
    <s v="100/300"/>
    <n v="2000"/>
    <n v="1352.31"/>
    <n v="0"/>
    <n v="465263"/>
    <s v="MALE"/>
    <s v="College"/>
    <s v="farming-fishing"/>
    <s v="basketball"/>
    <s v="wife"/>
    <n v="40700"/>
    <n v="-47300"/>
    <d v="2015-02-06T00:00:00"/>
    <s v="Single Vehicle Collision"/>
    <s v="Front Collision"/>
    <s v="Major Damage"/>
    <s v="Fire"/>
    <x v="2"/>
    <x v="5"/>
    <s v="8983 Francis Ridge"/>
    <n v="22"/>
    <n v="1"/>
    <s v="YES"/>
    <n v="0"/>
    <n v="3"/>
    <s v="YES"/>
    <n v="63840"/>
    <n v="10640"/>
    <n v="10640"/>
    <n v="42560"/>
    <s v="BMW"/>
    <s v="X5"/>
    <n v="2006"/>
    <s v="Y"/>
    <n v="47.173227124605596"/>
    <n v="-62487.69"/>
    <n v="2.1182468946288436E-2"/>
    <n v="9"/>
    <n v="274"/>
    <x v="0"/>
    <x v="0"/>
  </r>
  <r>
    <n v="81"/>
    <n v="28"/>
    <n v="469874"/>
    <d v="2011-09-17T00:00:00"/>
    <s v="IL"/>
    <s v="250/500"/>
    <n v="1000"/>
    <n v="1139"/>
    <n v="6000000"/>
    <n v="617858"/>
    <s v="FEMALE"/>
    <s v="Masters"/>
    <s v="sales"/>
    <s v="sleeping"/>
    <s v="husband"/>
    <n v="42400"/>
    <n v="0"/>
    <d v="2015-01-14T00:00:00"/>
    <s v="Multi-vehicle Collision"/>
    <s v="Front Collision"/>
    <s v="Major Damage"/>
    <s v="Fire"/>
    <x v="0"/>
    <x v="5"/>
    <s v="7756 Solo Drive"/>
    <n v="0"/>
    <n v="3"/>
    <s v="?"/>
    <n v="1"/>
    <n v="2"/>
    <s v="?"/>
    <n v="44730"/>
    <n v="4970"/>
    <n v="4970"/>
    <n v="34790"/>
    <s v="Saab"/>
    <s v="92x"/>
    <n v="2000"/>
    <s v="Y"/>
    <n v="39.236842105263158"/>
    <n v="-43591"/>
    <n v="2.5463325210703987E-2"/>
    <n v="15"/>
    <n v="81"/>
    <x v="0"/>
    <x v="0"/>
  </r>
  <r>
    <n v="280"/>
    <n v="45"/>
    <n v="718428"/>
    <d v="2011-07-15T00:00:00"/>
    <s v="IN"/>
    <s v="250/500"/>
    <n v="1000"/>
    <n v="1397.67"/>
    <n v="0"/>
    <n v="607889"/>
    <s v="MALE"/>
    <s v="JD"/>
    <s v="machine-op-inspct"/>
    <s v="camping"/>
    <s v="wife"/>
    <n v="57900"/>
    <n v="0"/>
    <d v="2015-01-22T00:00:00"/>
    <s v="Multi-vehicle Collision"/>
    <s v="Front Collision"/>
    <s v="Minor Damage"/>
    <s v="Other"/>
    <x v="2"/>
    <x v="2"/>
    <s v="9034 Weaver Ridge"/>
    <n v="0"/>
    <n v="3"/>
    <s v="YES"/>
    <n v="1"/>
    <n v="2"/>
    <s v="NO"/>
    <n v="84720"/>
    <n v="14120"/>
    <n v="14120"/>
    <n v="56480"/>
    <s v="Ford"/>
    <s v="Escape"/>
    <n v="1999"/>
    <s v="N"/>
    <n v="60.571828951789911"/>
    <n v="-83322.33"/>
    <n v="1.6497326518808798E-2"/>
    <n v="16"/>
    <n v="280"/>
    <x v="0"/>
    <x v="0"/>
  </r>
  <r>
    <n v="194"/>
    <n v="39"/>
    <n v="620215"/>
    <d v="2005-07-27T00:00:00"/>
    <s v="IN"/>
    <s v="250/500"/>
    <n v="500"/>
    <n v="823.17"/>
    <n v="0"/>
    <n v="455689"/>
    <s v="MALE"/>
    <s v="Masters"/>
    <s v="adm-clerical"/>
    <s v="paintball"/>
    <s v="own-child"/>
    <n v="0"/>
    <n v="0"/>
    <d v="2015-02-23T00:00:00"/>
    <s v="Multi-vehicle Collision"/>
    <s v="Front Collision"/>
    <s v="Major Damage"/>
    <s v="Other"/>
    <x v="4"/>
    <x v="0"/>
    <s v="1126 Texas Hwy"/>
    <n v="3"/>
    <n v="3"/>
    <s v="?"/>
    <n v="2"/>
    <n v="2"/>
    <s v="NO"/>
    <n v="61500"/>
    <n v="6150"/>
    <n v="12300"/>
    <n v="43050"/>
    <s v="Dodge"/>
    <s v="RAM"/>
    <n v="2012"/>
    <s v="N"/>
    <n v="74.620527318393059"/>
    <n v="-60676.83"/>
    <n v="1.3384660412025819E-2"/>
    <n v="3"/>
    <n v="194"/>
    <x v="0"/>
    <x v="0"/>
  </r>
  <r>
    <n v="112"/>
    <n v="27"/>
    <n v="618659"/>
    <d v="2005-10-18T00:00:00"/>
    <s v="OH"/>
    <s v="100/300"/>
    <n v="500"/>
    <n v="965.13"/>
    <n v="0"/>
    <n v="450341"/>
    <s v="FEMALE"/>
    <s v="Masters"/>
    <s v="tech-support"/>
    <s v="exercise"/>
    <s v="unmarried"/>
    <n v="60000"/>
    <n v="-54800"/>
    <d v="2015-02-22T00:00:00"/>
    <s v="Multi-vehicle Collision"/>
    <s v="Front Collision"/>
    <s v="Major Damage"/>
    <s v="Ambulance"/>
    <x v="5"/>
    <x v="2"/>
    <s v="2808 Elm St"/>
    <n v="21"/>
    <n v="3"/>
    <s v="?"/>
    <n v="0"/>
    <n v="1"/>
    <s v="?"/>
    <n v="51000"/>
    <n v="8500"/>
    <n v="8500"/>
    <n v="34000"/>
    <s v="Nissan"/>
    <s v="Pathfinder"/>
    <n v="2013"/>
    <s v="N"/>
    <n v="52.787927090557169"/>
    <n v="-50034.87"/>
    <n v="1.8923746593204054E-2"/>
    <n v="2"/>
    <n v="112"/>
    <x v="0"/>
    <x v="0"/>
  </r>
  <r>
    <n v="24"/>
    <n v="33"/>
    <n v="649082"/>
    <d v="1996-01-19T00:00:00"/>
    <s v="IL"/>
    <s v="500/1000"/>
    <n v="1000"/>
    <n v="1922.84"/>
    <n v="0"/>
    <n v="431277"/>
    <s v="FEMALE"/>
    <s v="High School"/>
    <s v="machine-op-inspct"/>
    <s v="skydiving"/>
    <s v="wife"/>
    <n v="0"/>
    <n v="-45200"/>
    <d v="2015-01-24T00:00:00"/>
    <s v="Single Vehicle Collision"/>
    <s v="Side Collision"/>
    <s v="Total Loss"/>
    <s v="Police"/>
    <x v="4"/>
    <x v="5"/>
    <s v="5061 Francis Ave"/>
    <n v="0"/>
    <n v="1"/>
    <s v="?"/>
    <n v="2"/>
    <n v="1"/>
    <s v="NO"/>
    <n v="46800"/>
    <n v="4680"/>
    <n v="9360"/>
    <n v="32760"/>
    <s v="Jeep"/>
    <s v="Wrangler"/>
    <n v="2002"/>
    <s v="N"/>
    <n v="24.326347305389223"/>
    <n v="-44877.16"/>
    <n v="4.108544689216042E-2"/>
    <n v="13"/>
    <n v="24"/>
    <x v="0"/>
    <x v="0"/>
  </r>
  <r>
    <n v="93"/>
    <n v="32"/>
    <n v="437573"/>
    <d v="2005-09-29T00:00:00"/>
    <s v="OH"/>
    <s v="250/500"/>
    <n v="2000"/>
    <n v="1624.82"/>
    <n v="0"/>
    <n v="454656"/>
    <s v="MALE"/>
    <s v="PhD"/>
    <s v="exec-managerial"/>
    <s v="basketball"/>
    <s v="unmarried"/>
    <n v="65300"/>
    <n v="-65600"/>
    <d v="2015-02-09T00:00:00"/>
    <s v="Single Vehicle Collision"/>
    <s v="Side Collision"/>
    <s v="Minor Damage"/>
    <s v="Ambulance"/>
    <x v="4"/>
    <x v="5"/>
    <s v="4965 MLK Drive"/>
    <n v="16"/>
    <n v="1"/>
    <s v="?"/>
    <n v="1"/>
    <n v="1"/>
    <s v="?"/>
    <n v="78120"/>
    <n v="17360"/>
    <n v="8680"/>
    <n v="52080"/>
    <s v="BMW"/>
    <s v="3 Series"/>
    <n v="2006"/>
    <s v="N"/>
    <n v="48.049599586670112"/>
    <n v="-76495.179999999993"/>
    <n v="2.0798760896557904E-2"/>
    <n v="9"/>
    <n v="93"/>
    <x v="0"/>
    <x v="0"/>
  </r>
  <r>
    <n v="171"/>
    <n v="34"/>
    <n v="964657"/>
    <d v="1997-02-18T00:00:00"/>
    <s v="IN"/>
    <s v="250/500"/>
    <n v="2000"/>
    <n v="1277.25"/>
    <n v="0"/>
    <n v="605169"/>
    <s v="FEMALE"/>
    <s v="College"/>
    <s v="exec-managerial"/>
    <s v="yachting"/>
    <s v="other-relative"/>
    <n v="84900"/>
    <n v="0"/>
    <d v="2015-01-19T00:00:00"/>
    <s v="Single Vehicle Collision"/>
    <s v="Rear Collision"/>
    <s v="Major Damage"/>
    <s v="Police"/>
    <x v="2"/>
    <x v="3"/>
    <s v="8668 Flute St"/>
    <n v="14"/>
    <n v="1"/>
    <s v="NO"/>
    <n v="1"/>
    <n v="2"/>
    <s v="?"/>
    <n v="69200"/>
    <n v="13840"/>
    <n v="6920"/>
    <n v="48440"/>
    <s v="Volkswagen"/>
    <s v="Passat"/>
    <n v="1996"/>
    <s v="Y"/>
    <n v="54.136514766282026"/>
    <n v="-67922.75"/>
    <n v="1.8457103221051718E-2"/>
    <n v="19"/>
    <n v="171"/>
    <x v="0"/>
    <x v="0"/>
  </r>
  <r>
    <n v="200"/>
    <n v="40"/>
    <n v="932502"/>
    <d v="2010-05-11T00:00:00"/>
    <s v="IL"/>
    <s v="100/300"/>
    <n v="1000"/>
    <n v="1439.34"/>
    <n v="0"/>
    <n v="444822"/>
    <s v="FEMALE"/>
    <s v="High School"/>
    <s v="sales"/>
    <s v="exercise"/>
    <s v="other-relative"/>
    <n v="45300"/>
    <n v="-20400"/>
    <d v="2015-01-01T00:00:00"/>
    <s v="Vehicle Theft"/>
    <s v="?"/>
    <s v="Minor Damage"/>
    <s v="Police"/>
    <x v="1"/>
    <x v="1"/>
    <s v="2577 Washington Drive"/>
    <n v="9"/>
    <n v="1"/>
    <s v="?"/>
    <n v="0"/>
    <n v="0"/>
    <s v="NO"/>
    <n v="3690"/>
    <n v="410"/>
    <n v="410"/>
    <n v="2870"/>
    <s v="Ford"/>
    <s v="Escape"/>
    <n v="2015"/>
    <s v="N"/>
    <n v="2.5618951080994767"/>
    <n v="-2250.66"/>
    <n v="0.38995936060688158"/>
    <n v="0"/>
    <n v="200"/>
    <x v="1"/>
    <x v="1"/>
  </r>
  <r>
    <n v="120"/>
    <n v="28"/>
    <n v="434507"/>
    <d v="2009-02-06T00:00:00"/>
    <s v="IL"/>
    <s v="250/500"/>
    <n v="1000"/>
    <n v="1281.27"/>
    <n v="0"/>
    <n v="447442"/>
    <s v="FEMALE"/>
    <s v="PhD"/>
    <s v="tech-support"/>
    <s v="golf"/>
    <s v="not-in-family"/>
    <n v="68900"/>
    <n v="0"/>
    <d v="2015-01-07T00:00:00"/>
    <s v="Multi-vehicle Collision"/>
    <s v="Rear Collision"/>
    <s v="Minor Damage"/>
    <s v="Fire"/>
    <x v="0"/>
    <x v="3"/>
    <s v="7709 Rock Lane"/>
    <n v="9"/>
    <n v="3"/>
    <s v="NO"/>
    <n v="0"/>
    <n v="3"/>
    <s v="?"/>
    <n v="65500"/>
    <n v="6550"/>
    <n v="6550"/>
    <n v="52400"/>
    <s v="BMW"/>
    <s v="X5"/>
    <n v="2010"/>
    <s v="N"/>
    <n v="51.081285532688128"/>
    <n v="-64218.73"/>
    <n v="1.9561075403428954E-2"/>
    <n v="5"/>
    <n v="120"/>
    <x v="0"/>
    <x v="0"/>
  </r>
  <r>
    <n v="325"/>
    <n v="46"/>
    <n v="935277"/>
    <d v="2013-07-09T00:00:00"/>
    <s v="IL"/>
    <s v="500/1000"/>
    <n v="500"/>
    <n v="1348.83"/>
    <n v="0"/>
    <n v="474360"/>
    <s v="FEMALE"/>
    <s v="High School"/>
    <s v="prof-specialty"/>
    <s v="basketball"/>
    <s v="wife"/>
    <n v="46300"/>
    <n v="-77500"/>
    <d v="2015-02-01T00:00:00"/>
    <s v="Multi-vehicle Collision"/>
    <s v="Rear Collision"/>
    <s v="Minor Damage"/>
    <s v="Fire"/>
    <x v="5"/>
    <x v="3"/>
    <s v="9358 Texas Ridge"/>
    <n v="21"/>
    <n v="3"/>
    <s v="?"/>
    <n v="1"/>
    <n v="2"/>
    <s v="YES"/>
    <n v="76120"/>
    <n v="13840"/>
    <n v="6920"/>
    <n v="55360"/>
    <s v="Toyota"/>
    <s v="Camry"/>
    <n v="1999"/>
    <s v="N"/>
    <n v="56.392286436069732"/>
    <n v="-74771.17"/>
    <n v="1.7719551766266863E-2"/>
    <n v="16"/>
    <n v="325"/>
    <x v="0"/>
    <x v="0"/>
  </r>
  <r>
    <n v="124"/>
    <n v="32"/>
    <n v="756054"/>
    <d v="1992-06-06T00:00:00"/>
    <s v="IL"/>
    <s v="250/500"/>
    <n v="1000"/>
    <n v="1198.1500000000001"/>
    <n v="0"/>
    <n v="447925"/>
    <s v="FEMALE"/>
    <s v="MD"/>
    <s v="other-service"/>
    <s v="hiking"/>
    <s v="not-in-family"/>
    <n v="0"/>
    <n v="-43200"/>
    <d v="2015-02-21T00:00:00"/>
    <s v="Multi-vehicle Collision"/>
    <s v="Front Collision"/>
    <s v="Total Loss"/>
    <s v="Other"/>
    <x v="1"/>
    <x v="3"/>
    <s v="8080 Oak Lane"/>
    <n v="19"/>
    <n v="3"/>
    <s v="NO"/>
    <n v="0"/>
    <n v="2"/>
    <s v="YES"/>
    <n v="73560"/>
    <n v="12260"/>
    <n v="12260"/>
    <n v="49040"/>
    <s v="BMW"/>
    <s v="X5"/>
    <n v="1995"/>
    <s v="N"/>
    <n v="61.34345161155818"/>
    <n v="-72361.850000000006"/>
    <n v="1.6287842742757713E-2"/>
    <n v="20"/>
    <n v="124"/>
    <x v="0"/>
    <x v="0"/>
  </r>
  <r>
    <n v="211"/>
    <n v="35"/>
    <n v="682387"/>
    <d v="1998-03-08T00:00:00"/>
    <s v="OH"/>
    <s v="100/300"/>
    <n v="2000"/>
    <n v="1221.22"/>
    <n v="0"/>
    <n v="451586"/>
    <s v="MALE"/>
    <s v="Masters"/>
    <s v="machine-op-inspct"/>
    <s v="camping"/>
    <s v="other-relative"/>
    <n v="76000"/>
    <n v="0"/>
    <d v="2015-01-21T00:00:00"/>
    <s v="Single Vehicle Collision"/>
    <s v="Rear Collision"/>
    <s v="Total Loss"/>
    <s v="Police"/>
    <x v="2"/>
    <x v="5"/>
    <s v="6408 Weaver Ridge"/>
    <n v="2"/>
    <n v="1"/>
    <s v="YES"/>
    <n v="0"/>
    <n v="1"/>
    <s v="?"/>
    <n v="52030"/>
    <n v="9460"/>
    <n v="4730"/>
    <n v="37840"/>
    <s v="Mercedes"/>
    <s v="E400"/>
    <n v="2008"/>
    <s v="N"/>
    <n v="42.570077400140725"/>
    <n v="-50808.78"/>
    <n v="2.3471007668505316E-2"/>
    <n v="7"/>
    <n v="211"/>
    <x v="0"/>
    <x v="0"/>
  </r>
  <r>
    <n v="287"/>
    <n v="41"/>
    <n v="456604"/>
    <d v="2004-03-29T00:00:00"/>
    <s v="IL"/>
    <s v="500/1000"/>
    <n v="2000"/>
    <n v="968.74"/>
    <n v="0"/>
    <n v="477519"/>
    <s v="MALE"/>
    <s v="Masters"/>
    <s v="transport-moving"/>
    <s v="video-games"/>
    <s v="wife"/>
    <n v="0"/>
    <n v="-49000"/>
    <d v="2015-01-19T00:00:00"/>
    <s v="Vehicle Theft"/>
    <s v="?"/>
    <s v="Trivial Damage"/>
    <s v="None"/>
    <x v="0"/>
    <x v="6"/>
    <s v="5532 Weaver Ridge"/>
    <n v="9"/>
    <n v="1"/>
    <s v="?"/>
    <n v="2"/>
    <n v="3"/>
    <s v="?"/>
    <n v="5170"/>
    <n v="470"/>
    <n v="940"/>
    <n v="3760"/>
    <s v="Suburu"/>
    <s v="Forrestor"/>
    <n v="2001"/>
    <s v="N"/>
    <n v="5.3313259224121925"/>
    <n v="-4201.26"/>
    <n v="0.18734093985689421"/>
    <n v="14"/>
    <n v="287"/>
    <x v="2"/>
    <x v="1"/>
  </r>
  <r>
    <n v="122"/>
    <n v="34"/>
    <n v="139872"/>
    <d v="2006-06-01T00:00:00"/>
    <s v="IN"/>
    <s v="250/500"/>
    <n v="1000"/>
    <n v="1220.71"/>
    <n v="0"/>
    <n v="603639"/>
    <s v="MALE"/>
    <s v="PhD"/>
    <s v="machine-op-inspct"/>
    <s v="video-games"/>
    <s v="own-child"/>
    <n v="58600"/>
    <n v="-28700"/>
    <d v="2015-02-27T00:00:00"/>
    <s v="Parked Car"/>
    <s v="?"/>
    <s v="Minor Damage"/>
    <s v="None"/>
    <x v="0"/>
    <x v="5"/>
    <s v="9101 2nd Hwy"/>
    <n v="5"/>
    <n v="1"/>
    <s v="?"/>
    <n v="2"/>
    <n v="1"/>
    <s v="YES"/>
    <n v="8190"/>
    <n v="1890"/>
    <n v="1260"/>
    <n v="5040"/>
    <s v="Chevrolet"/>
    <s v="Silverado"/>
    <n v="2013"/>
    <s v="N"/>
    <n v="6.7037185584140264"/>
    <n v="-6969.29"/>
    <n v="0.14903064338908559"/>
    <n v="2"/>
    <n v="122"/>
    <x v="2"/>
    <x v="0"/>
  </r>
  <r>
    <n v="22"/>
    <n v="29"/>
    <n v="354105"/>
    <d v="1994-06-08T00:00:00"/>
    <s v="IN"/>
    <s v="250/500"/>
    <n v="2000"/>
    <n v="1238.6199999999999"/>
    <n v="6000000"/>
    <n v="463993"/>
    <s v="MALE"/>
    <s v="MD"/>
    <s v="exec-managerial"/>
    <s v="yachting"/>
    <s v="other-relative"/>
    <n v="0"/>
    <n v="-56200"/>
    <d v="2015-02-14T00:00:00"/>
    <s v="Single Vehicle Collision"/>
    <s v="Rear Collision"/>
    <s v="Major Damage"/>
    <s v="Ambulance"/>
    <x v="0"/>
    <x v="3"/>
    <s v="8576 Andromedia St"/>
    <n v="14"/>
    <n v="1"/>
    <s v="?"/>
    <n v="2"/>
    <n v="3"/>
    <s v="?"/>
    <n v="70800"/>
    <n v="7080"/>
    <n v="14160"/>
    <n v="49560"/>
    <s v="Accura"/>
    <s v="MDX"/>
    <n v="2012"/>
    <s v="Y"/>
    <n v="57.114276955841312"/>
    <n v="-69561.38"/>
    <n v="1.7494385672518747E-2"/>
    <n v="3"/>
    <n v="22"/>
    <x v="0"/>
    <x v="0"/>
  </r>
  <r>
    <n v="106"/>
    <n v="31"/>
    <n v="165485"/>
    <d v="1998-02-12T00:00:00"/>
    <s v="IL"/>
    <s v="500/1000"/>
    <n v="2000"/>
    <n v="1320.75"/>
    <n v="0"/>
    <n v="441491"/>
    <s v="FEMALE"/>
    <s v="JD"/>
    <s v="farming-fishing"/>
    <s v="video-games"/>
    <s v="wife"/>
    <n v="54100"/>
    <n v="0"/>
    <d v="2015-02-01T00:00:00"/>
    <s v="Multi-vehicle Collision"/>
    <s v="Rear Collision"/>
    <s v="Total Loss"/>
    <s v="Police"/>
    <x v="4"/>
    <x v="3"/>
    <s v="6315 2nd Lane"/>
    <n v="20"/>
    <n v="3"/>
    <s v="?"/>
    <n v="0"/>
    <n v="3"/>
    <s v="YES"/>
    <n v="45630"/>
    <n v="5070"/>
    <n v="5070"/>
    <n v="35490"/>
    <s v="Accura"/>
    <s v="MDX"/>
    <n v="2011"/>
    <s v="N"/>
    <n v="34.522413466994514"/>
    <n v="-44309.25"/>
    <n v="2.894413885297276E-2"/>
    <n v="4"/>
    <n v="106"/>
    <x v="0"/>
    <x v="0"/>
  </r>
  <r>
    <n v="398"/>
    <n v="58"/>
    <n v="515050"/>
    <d v="2000-11-16T00:00:00"/>
    <s v="OH"/>
    <s v="100/300"/>
    <n v="500"/>
    <n v="990.98"/>
    <n v="0"/>
    <n v="469429"/>
    <s v="FEMALE"/>
    <s v="Associate"/>
    <s v="exec-managerial"/>
    <s v="cross-fit"/>
    <s v="wife"/>
    <n v="0"/>
    <n v="-57900"/>
    <d v="2015-02-02T00:00:00"/>
    <s v="Single Vehicle Collision"/>
    <s v="Front Collision"/>
    <s v="Major Damage"/>
    <s v="Police"/>
    <x v="5"/>
    <x v="6"/>
    <s v="1536 Flute Drive"/>
    <n v="18"/>
    <n v="1"/>
    <s v="YES"/>
    <n v="2"/>
    <n v="1"/>
    <s v="?"/>
    <n v="99320"/>
    <n v="7640"/>
    <n v="15280"/>
    <n v="76400"/>
    <s v="Accura"/>
    <s v="TL"/>
    <n v="2002"/>
    <s v="Y"/>
    <n v="100.12298635053126"/>
    <n v="-98329.02"/>
    <n v="9.9775475478499007E-3"/>
    <n v="13"/>
    <n v="398"/>
    <x v="0"/>
    <x v="0"/>
  </r>
  <r>
    <n v="214"/>
    <n v="41"/>
    <n v="795686"/>
    <d v="2004-10-24T00:00:00"/>
    <s v="IL"/>
    <s v="500/1000"/>
    <n v="500"/>
    <n v="1398.51"/>
    <n v="4000000"/>
    <n v="472214"/>
    <s v="MALE"/>
    <s v="Masters"/>
    <s v="tech-support"/>
    <s v="polo"/>
    <s v="not-in-family"/>
    <n v="0"/>
    <n v="-57100"/>
    <d v="2015-02-01T00:00:00"/>
    <s v="Multi-vehicle Collision"/>
    <s v="Side Collision"/>
    <s v="Major Damage"/>
    <s v="Fire"/>
    <x v="5"/>
    <x v="5"/>
    <s v="4672 MLK St"/>
    <n v="13"/>
    <n v="3"/>
    <s v="?"/>
    <n v="2"/>
    <n v="0"/>
    <s v="NO"/>
    <n v="64000"/>
    <n v="12800"/>
    <n v="6400"/>
    <n v="44800"/>
    <s v="BMW"/>
    <s v="X6"/>
    <n v="1996"/>
    <s v="Y"/>
    <n v="45.730291316246401"/>
    <n v="-62601.49"/>
    <n v="2.1851377322229339E-2"/>
    <n v="19"/>
    <n v="214"/>
    <x v="0"/>
    <x v="0"/>
  </r>
  <r>
    <n v="209"/>
    <n v="38"/>
    <n v="395983"/>
    <d v="2009-11-08T00:00:00"/>
    <s v="OH"/>
    <s v="100/300"/>
    <n v="500"/>
    <n v="1355.08"/>
    <n v="0"/>
    <n v="614945"/>
    <s v="FEMALE"/>
    <s v="MD"/>
    <s v="other-service"/>
    <s v="golf"/>
    <s v="other-relative"/>
    <n v="58100"/>
    <n v="0"/>
    <d v="2015-01-19T00:00:00"/>
    <s v="Single Vehicle Collision"/>
    <s v="Front Collision"/>
    <s v="Minor Damage"/>
    <s v="Fire"/>
    <x v="4"/>
    <x v="6"/>
    <s v="2204 Washington Lane"/>
    <n v="21"/>
    <n v="1"/>
    <s v="?"/>
    <n v="1"/>
    <n v="1"/>
    <s v="?"/>
    <n v="47300"/>
    <n v="4730"/>
    <n v="4730"/>
    <n v="37840"/>
    <s v="Nissan"/>
    <s v="Pathfinder"/>
    <n v="2014"/>
    <s v="N"/>
    <n v="34.879948085658668"/>
    <n v="-45944.92"/>
    <n v="2.8648020126424388E-2"/>
    <n v="1"/>
    <n v="209"/>
    <x v="0"/>
    <x v="0"/>
  </r>
  <r>
    <n v="82"/>
    <n v="27"/>
    <n v="119513"/>
    <d v="1996-09-21T00:00:00"/>
    <s v="IL"/>
    <s v="100/300"/>
    <n v="1000"/>
    <n v="1384.51"/>
    <n v="0"/>
    <n v="476727"/>
    <s v="MALE"/>
    <s v="PhD"/>
    <s v="adm-clerical"/>
    <s v="reading"/>
    <s v="not-in-family"/>
    <n v="13100"/>
    <n v="-38200"/>
    <d v="2015-02-18T00:00:00"/>
    <s v="Single Vehicle Collision"/>
    <s v="Rear Collision"/>
    <s v="Major Damage"/>
    <s v="Other"/>
    <x v="0"/>
    <x v="3"/>
    <s v="9484 Pine Drive"/>
    <n v="14"/>
    <n v="1"/>
    <s v="NO"/>
    <n v="2"/>
    <n v="3"/>
    <s v="?"/>
    <n v="71680"/>
    <n v="8960"/>
    <n v="8960"/>
    <n v="53760"/>
    <s v="Volkswagen"/>
    <s v="Jetta"/>
    <n v="2007"/>
    <s v="Y"/>
    <n v="51.735462032031528"/>
    <n v="-70295.490000000005"/>
    <n v="1.9314881209804551E-2"/>
    <n v="8"/>
    <n v="82"/>
    <x v="0"/>
    <x v="0"/>
  </r>
  <r>
    <n v="193"/>
    <n v="41"/>
    <n v="217938"/>
    <d v="1995-07-16T00:00:00"/>
    <s v="OH"/>
    <s v="250/500"/>
    <n v="500"/>
    <n v="847.03"/>
    <n v="0"/>
    <n v="438555"/>
    <s v="FEMALE"/>
    <s v="JD"/>
    <s v="craft-repair"/>
    <s v="skydiving"/>
    <s v="not-in-family"/>
    <n v="0"/>
    <n v="0"/>
    <d v="2015-02-08T00:00:00"/>
    <s v="Single Vehicle Collision"/>
    <s v="Side Collision"/>
    <s v="Major Damage"/>
    <s v="Other"/>
    <x v="0"/>
    <x v="3"/>
    <s v="5431 3rd Ridge"/>
    <n v="1"/>
    <n v="1"/>
    <s v="?"/>
    <n v="1"/>
    <n v="0"/>
    <s v="YES"/>
    <n v="112320"/>
    <n v="17280"/>
    <n v="17280"/>
    <n v="77760"/>
    <s v="Suburu"/>
    <s v="Impreza"/>
    <n v="2011"/>
    <s v="Y"/>
    <n v="132.44814452318903"/>
    <n v="-111472.97"/>
    <n v="7.5411543700643685E-3"/>
    <n v="4"/>
    <n v="193"/>
    <x v="0"/>
    <x v="0"/>
  </r>
  <r>
    <n v="134"/>
    <n v="32"/>
    <n v="203914"/>
    <d v="2001-06-09T00:00:00"/>
    <s v="OH"/>
    <s v="100/300"/>
    <n v="1000"/>
    <n v="1000.06"/>
    <n v="0"/>
    <n v="440961"/>
    <s v="FEMALE"/>
    <s v="PhD"/>
    <s v="farming-fishing"/>
    <s v="base-jumping"/>
    <s v="wife"/>
    <n v="0"/>
    <n v="0"/>
    <d v="2015-01-09T00:00:00"/>
    <s v="Single Vehicle Collision"/>
    <s v="Side Collision"/>
    <s v="Total Loss"/>
    <s v="Other"/>
    <x v="2"/>
    <x v="0"/>
    <s v="7121 Britain Drive"/>
    <n v="17"/>
    <n v="1"/>
    <s v="?"/>
    <n v="1"/>
    <n v="0"/>
    <s v="?"/>
    <n v="82720"/>
    <n v="7520"/>
    <n v="15040"/>
    <n v="60160"/>
    <s v="Audi"/>
    <s v="A3"/>
    <n v="2014"/>
    <s v="N"/>
    <n v="82.632409645775482"/>
    <n v="-81719.94"/>
    <n v="1.2089554043108762E-2"/>
    <n v="1"/>
    <n v="134"/>
    <x v="0"/>
    <x v="0"/>
  </r>
  <r>
    <n v="288"/>
    <n v="45"/>
    <n v="565157"/>
    <d v="2002-10-06T00:00:00"/>
    <s v="IL"/>
    <s v="100/300"/>
    <n v="1000"/>
    <n v="1046.71"/>
    <n v="0"/>
    <n v="616714"/>
    <s v="MALE"/>
    <s v="Masters"/>
    <s v="priv-house-serv"/>
    <s v="polo"/>
    <s v="husband"/>
    <n v="0"/>
    <n v="0"/>
    <d v="2015-02-27T00:00:00"/>
    <s v="Multi-vehicle Collision"/>
    <s v="Rear Collision"/>
    <s v="Major Damage"/>
    <s v="Fire"/>
    <x v="5"/>
    <x v="4"/>
    <s v="8586 1st Ridge"/>
    <n v="4"/>
    <n v="3"/>
    <s v="?"/>
    <n v="2"/>
    <n v="1"/>
    <s v="?"/>
    <n v="48060"/>
    <n v="10680"/>
    <n v="5340"/>
    <n v="32040"/>
    <s v="Mercedes"/>
    <s v="C300"/>
    <n v="2009"/>
    <s v="N"/>
    <n v="45.871472067652306"/>
    <n v="-47013.29"/>
    <n v="2.1778781132311024E-2"/>
    <n v="6"/>
    <n v="288"/>
    <x v="0"/>
    <x v="0"/>
  </r>
  <r>
    <n v="104"/>
    <n v="32"/>
    <n v="904191"/>
    <d v="1997-07-14T00:00:00"/>
    <s v="IN"/>
    <s v="250/500"/>
    <n v="500"/>
    <n v="1158.03"/>
    <n v="0"/>
    <n v="434247"/>
    <s v="MALE"/>
    <s v="High School"/>
    <s v="exec-managerial"/>
    <s v="kayaking"/>
    <s v="own-child"/>
    <n v="31900"/>
    <n v="-44600"/>
    <d v="2015-01-08T00:00:00"/>
    <s v="Multi-vehicle Collision"/>
    <s v="Rear Collision"/>
    <s v="Total Loss"/>
    <s v="Police"/>
    <x v="2"/>
    <x v="1"/>
    <s v="7582 Pine Drive"/>
    <n v="23"/>
    <n v="3"/>
    <s v="YES"/>
    <n v="1"/>
    <n v="3"/>
    <s v="YES"/>
    <n v="63570"/>
    <n v="9780"/>
    <n v="9780"/>
    <n v="44010"/>
    <s v="Volkswagen"/>
    <s v="Jetta"/>
    <n v="2006"/>
    <s v="Y"/>
    <n v="54.847588069333838"/>
    <n v="-62411.97"/>
    <n v="1.8216325053876766E-2"/>
    <n v="9"/>
    <n v="104"/>
    <x v="0"/>
    <x v="0"/>
  </r>
  <r>
    <n v="431"/>
    <n v="54"/>
    <n v="419510"/>
    <d v="1994-11-11T00:00:00"/>
    <s v="OH"/>
    <s v="100/300"/>
    <n v="1000"/>
    <n v="1372.27"/>
    <n v="0"/>
    <n v="436547"/>
    <s v="FEMALE"/>
    <s v="Masters"/>
    <s v="craft-repair"/>
    <s v="paintball"/>
    <s v="own-child"/>
    <n v="17600"/>
    <n v="0"/>
    <d v="2015-01-08T00:00:00"/>
    <s v="Multi-vehicle Collision"/>
    <s v="Rear Collision"/>
    <s v="Total Loss"/>
    <s v="Fire"/>
    <x v="4"/>
    <x v="0"/>
    <s v="1388 Embaracadero Hwy"/>
    <n v="13"/>
    <n v="3"/>
    <s v="NO"/>
    <n v="2"/>
    <n v="3"/>
    <s v="?"/>
    <n v="63240"/>
    <n v="10540"/>
    <n v="10540"/>
    <n v="42160"/>
    <s v="Suburu"/>
    <s v="Forrestor"/>
    <n v="1997"/>
    <s v="N"/>
    <n v="46.050667385146404"/>
    <n v="-61867.73"/>
    <n v="2.1699055992156987E-2"/>
    <n v="18"/>
    <n v="431"/>
    <x v="0"/>
    <x v="0"/>
  </r>
  <r>
    <n v="101"/>
    <n v="33"/>
    <n v="575000"/>
    <d v="2012-06-23T00:00:00"/>
    <s v="OH"/>
    <s v="100/300"/>
    <n v="1000"/>
    <n v="1053.04"/>
    <n v="7000000"/>
    <n v="619540"/>
    <s v="FEMALE"/>
    <s v="Masters"/>
    <s v="other-service"/>
    <s v="reading"/>
    <s v="own-child"/>
    <n v="52000"/>
    <n v="-44500"/>
    <d v="2015-02-24T00:00:00"/>
    <s v="Multi-vehicle Collision"/>
    <s v="Rear Collision"/>
    <s v="Minor Damage"/>
    <s v="Ambulance"/>
    <x v="5"/>
    <x v="6"/>
    <s v="5621 4th Ave"/>
    <n v="20"/>
    <n v="3"/>
    <s v="NO"/>
    <n v="1"/>
    <n v="3"/>
    <s v="?"/>
    <n v="54240"/>
    <n v="9040"/>
    <n v="9040"/>
    <n v="36160"/>
    <s v="Saab"/>
    <n v="93"/>
    <n v="2013"/>
    <s v="Y"/>
    <n v="51.459147660430347"/>
    <n v="-53186.96"/>
    <n v="1.9414096347781198E-2"/>
    <n v="2"/>
    <n v="101"/>
    <x v="0"/>
    <x v="0"/>
  </r>
  <r>
    <n v="375"/>
    <n v="50"/>
    <n v="120485"/>
    <d v="2007-02-18T00:00:00"/>
    <s v="OH"/>
    <s v="100/300"/>
    <n v="1000"/>
    <n v="1275.3900000000001"/>
    <n v="0"/>
    <n v="466283"/>
    <s v="MALE"/>
    <s v="Associate"/>
    <s v="sales"/>
    <s v="bungie-jumping"/>
    <s v="other-relative"/>
    <n v="0"/>
    <n v="0"/>
    <d v="2015-02-12T00:00:00"/>
    <s v="Single Vehicle Collision"/>
    <s v="Front Collision"/>
    <s v="Major Damage"/>
    <s v="Police"/>
    <x v="2"/>
    <x v="1"/>
    <s v="8150 Washington Ridge"/>
    <n v="16"/>
    <n v="1"/>
    <s v="YES"/>
    <n v="2"/>
    <n v="3"/>
    <s v="NO"/>
    <n v="37280"/>
    <n v="0"/>
    <n v="0"/>
    <n v="37280"/>
    <s v="Audi"/>
    <s v="A5"/>
    <n v="1996"/>
    <s v="Y"/>
    <n v="29.207373921763722"/>
    <n v="-36004.61"/>
    <n v="3.421018749497063E-2"/>
    <n v="19"/>
    <n v="375"/>
    <x v="0"/>
    <x v="0"/>
  </r>
  <r>
    <n v="461"/>
    <n v="61"/>
    <n v="781181"/>
    <d v="2005-06-27T00:00:00"/>
    <s v="OH"/>
    <s v="100/300"/>
    <n v="2000"/>
    <n v="1402.75"/>
    <n v="0"/>
    <n v="449557"/>
    <s v="MALE"/>
    <s v="JD"/>
    <s v="exec-managerial"/>
    <s v="exercise"/>
    <s v="husband"/>
    <n v="0"/>
    <n v="0"/>
    <d v="2015-02-18T00:00:00"/>
    <s v="Multi-vehicle Collision"/>
    <s v="Rear Collision"/>
    <s v="Minor Damage"/>
    <s v="Police"/>
    <x v="2"/>
    <x v="0"/>
    <s v="4268 2nd Ave"/>
    <n v="10"/>
    <n v="3"/>
    <s v="?"/>
    <n v="2"/>
    <n v="1"/>
    <s v="YES"/>
    <n v="72100"/>
    <n v="7210"/>
    <n v="14420"/>
    <n v="50470"/>
    <s v="Jeep"/>
    <s v="Wrangler"/>
    <n v="2006"/>
    <s v="N"/>
    <n v="51.362422083704367"/>
    <n v="-70697.25"/>
    <n v="1.9455347359953398E-2"/>
    <n v="9"/>
    <n v="461"/>
    <x v="0"/>
    <x v="0"/>
  </r>
  <r>
    <n v="428"/>
    <n v="59"/>
    <n v="299796"/>
    <d v="1999-09-29T00:00:00"/>
    <s v="IN"/>
    <s v="250/500"/>
    <n v="500"/>
    <n v="1344.36"/>
    <n v="7000000"/>
    <n v="473329"/>
    <s v="FEMALE"/>
    <s v="JD"/>
    <s v="prof-specialty"/>
    <s v="hiking"/>
    <s v="other-relative"/>
    <n v="0"/>
    <n v="0"/>
    <d v="2015-02-06T00:00:00"/>
    <s v="Parked Car"/>
    <s v="?"/>
    <s v="Minor Damage"/>
    <s v="None"/>
    <x v="4"/>
    <x v="5"/>
    <s v="6375 2nd Lane"/>
    <n v="8"/>
    <n v="1"/>
    <s v="?"/>
    <n v="2"/>
    <n v="3"/>
    <s v="NO"/>
    <n v="6500"/>
    <n v="1300"/>
    <n v="650"/>
    <n v="4550"/>
    <s v="Saab"/>
    <s v="92x"/>
    <n v="2013"/>
    <s v="N"/>
    <n v="4.831420586311471"/>
    <n v="-5155.6400000000003"/>
    <n v="0.20679280110752191"/>
    <n v="2"/>
    <n v="428"/>
    <x v="1"/>
    <x v="0"/>
  </r>
  <r>
    <n v="45"/>
    <n v="38"/>
    <n v="589749"/>
    <d v="2006-05-14T00:00:00"/>
    <s v="IN"/>
    <s v="100/300"/>
    <n v="1000"/>
    <n v="1197.71"/>
    <n v="0"/>
    <n v="470117"/>
    <s v="MALE"/>
    <s v="Masters"/>
    <s v="machine-op-inspct"/>
    <s v="movies"/>
    <s v="not-in-family"/>
    <n v="29000"/>
    <n v="0"/>
    <d v="2015-02-14T00:00:00"/>
    <s v="Multi-vehicle Collision"/>
    <s v="Front Collision"/>
    <s v="Total Loss"/>
    <s v="Ambulance"/>
    <x v="4"/>
    <x v="3"/>
    <s v="3770 Flute Drive"/>
    <n v="17"/>
    <n v="3"/>
    <s v="?"/>
    <n v="2"/>
    <n v="0"/>
    <s v="?"/>
    <n v="78240"/>
    <n v="13040"/>
    <n v="13040"/>
    <n v="52160"/>
    <s v="Suburu"/>
    <s v="Legacy"/>
    <n v="2013"/>
    <s v="N"/>
    <n v="65.270165427834925"/>
    <n v="-77042.289999999994"/>
    <n v="1.5307958742858604E-2"/>
    <n v="2"/>
    <n v="45"/>
    <x v="0"/>
    <x v="0"/>
  </r>
  <r>
    <n v="136"/>
    <n v="29"/>
    <n v="854021"/>
    <d v="2010-04-29T00:00:00"/>
    <s v="OH"/>
    <s v="100/300"/>
    <n v="500"/>
    <n v="1203.24"/>
    <n v="0"/>
    <n v="600702"/>
    <s v="FEMALE"/>
    <s v="JD"/>
    <s v="transport-moving"/>
    <s v="video-games"/>
    <s v="other-relative"/>
    <n v="62500"/>
    <n v="-66900"/>
    <d v="2015-02-05T00:00:00"/>
    <s v="Vehicle Theft"/>
    <s v="?"/>
    <s v="Minor Damage"/>
    <s v="Police"/>
    <x v="2"/>
    <x v="0"/>
    <s v="1562 Britain St"/>
    <n v="9"/>
    <n v="1"/>
    <s v="?"/>
    <n v="2"/>
    <n v="0"/>
    <s v="?"/>
    <n v="6200"/>
    <n v="1240"/>
    <n v="620"/>
    <n v="4340"/>
    <s v="Honda"/>
    <s v="Accord"/>
    <n v="1999"/>
    <s v="N"/>
    <n v="5.1484753869660533"/>
    <n v="-4996.76"/>
    <n v="0.19403967102080311"/>
    <n v="16"/>
    <n v="136"/>
    <x v="2"/>
    <x v="1"/>
  </r>
  <r>
    <n v="216"/>
    <n v="36"/>
    <n v="454086"/>
    <d v="1992-11-10T00:00:00"/>
    <s v="IN"/>
    <s v="500/1000"/>
    <n v="1000"/>
    <n v="1152.4000000000001"/>
    <n v="0"/>
    <n v="615921"/>
    <s v="FEMALE"/>
    <s v="Associate"/>
    <s v="priv-house-serv"/>
    <s v="reading"/>
    <s v="unmarried"/>
    <n v="39600"/>
    <n v="-82400"/>
    <d v="2015-01-25T00:00:00"/>
    <s v="Parked Car"/>
    <s v="?"/>
    <s v="Minor Damage"/>
    <s v="Police"/>
    <x v="1"/>
    <x v="3"/>
    <s v="1681 Cherokee Hwy"/>
    <n v="0"/>
    <n v="1"/>
    <s v="YES"/>
    <n v="2"/>
    <n v="3"/>
    <s v="?"/>
    <n v="6160"/>
    <n v="560"/>
    <n v="1680"/>
    <n v="3920"/>
    <s v="Mercedes"/>
    <s v="E400"/>
    <n v="2014"/>
    <s v="N"/>
    <n v="5.3407317496098488"/>
    <n v="-5007.6000000000004"/>
    <n v="0.18704755721473787"/>
    <n v="1"/>
    <n v="216"/>
    <x v="2"/>
    <x v="0"/>
  </r>
  <r>
    <n v="278"/>
    <n v="48"/>
    <n v="139484"/>
    <d v="1999-07-24T00:00:00"/>
    <s v="IN"/>
    <s v="500/1000"/>
    <n v="2000"/>
    <n v="1142.6199999999999"/>
    <n v="7000000"/>
    <n v="475588"/>
    <s v="FEMALE"/>
    <s v="MD"/>
    <s v="farming-fishing"/>
    <s v="dancing"/>
    <s v="not-in-family"/>
    <n v="0"/>
    <n v="-54000"/>
    <d v="2015-01-16T00:00:00"/>
    <s v="Single Vehicle Collision"/>
    <s v="Front Collision"/>
    <s v="Total Loss"/>
    <s v="Ambulance"/>
    <x v="0"/>
    <x v="6"/>
    <s v="7523 Oak Lane"/>
    <n v="12"/>
    <n v="1"/>
    <s v="?"/>
    <n v="2"/>
    <n v="0"/>
    <s v="?"/>
    <n v="76050"/>
    <n v="11700"/>
    <n v="11700"/>
    <n v="52650"/>
    <s v="Chevrolet"/>
    <s v="Silverado"/>
    <n v="1997"/>
    <s v="N"/>
    <n v="66.499361676081222"/>
    <n v="-74907.38"/>
    <n v="1.5024391526738635E-2"/>
    <n v="18"/>
    <n v="278"/>
    <x v="0"/>
    <x v="0"/>
  </r>
  <r>
    <n v="295"/>
    <n v="48"/>
    <n v="678849"/>
    <d v="1992-02-22T00:00:00"/>
    <s v="OH"/>
    <s v="500/1000"/>
    <n v="1000"/>
    <n v="1332.07"/>
    <n v="0"/>
    <n v="609409"/>
    <s v="FEMALE"/>
    <s v="MD"/>
    <s v="exec-managerial"/>
    <s v="polo"/>
    <s v="unmarried"/>
    <n v="49700"/>
    <n v="-59100"/>
    <d v="2015-01-28T00:00:00"/>
    <s v="Multi-vehicle Collision"/>
    <s v="Side Collision"/>
    <s v="Total Loss"/>
    <s v="Ambulance"/>
    <x v="2"/>
    <x v="4"/>
    <s v="1815 Cherokee Drive"/>
    <n v="20"/>
    <n v="2"/>
    <s v="NO"/>
    <n v="2"/>
    <n v="1"/>
    <s v="YES"/>
    <n v="86060"/>
    <n v="13240"/>
    <n v="13240"/>
    <n v="59580"/>
    <s v="Volkswagen"/>
    <s v="Passat"/>
    <n v="2002"/>
    <s v="N"/>
    <n v="64.557750155655739"/>
    <n v="-84727.93"/>
    <n v="1.5478207318065092E-2"/>
    <n v="13"/>
    <n v="295"/>
    <x v="0"/>
    <x v="0"/>
  </r>
  <r>
    <n v="112"/>
    <n v="30"/>
    <n v="346940"/>
    <d v="2002-09-13T00:00:00"/>
    <s v="OH"/>
    <s v="500/1000"/>
    <n v="1000"/>
    <n v="1166.54"/>
    <n v="0"/>
    <n v="479852"/>
    <s v="FEMALE"/>
    <s v="Masters"/>
    <s v="prof-specialty"/>
    <s v="sleeping"/>
    <s v="not-in-family"/>
    <n v="47700"/>
    <n v="-59300"/>
    <d v="2015-01-21T00:00:00"/>
    <s v="Single Vehicle Collision"/>
    <s v="Front Collision"/>
    <s v="Major Damage"/>
    <s v="Fire"/>
    <x v="0"/>
    <x v="2"/>
    <s v="9316 Pine Ave"/>
    <n v="3"/>
    <n v="1"/>
    <s v="YES"/>
    <n v="2"/>
    <n v="0"/>
    <s v="NO"/>
    <n v="107900"/>
    <n v="10790"/>
    <n v="21580"/>
    <n v="75530"/>
    <s v="Dodge"/>
    <s v="Neon"/>
    <n v="1997"/>
    <s v="Y"/>
    <n v="92.41653390890248"/>
    <n v="-106733.46"/>
    <n v="1.0811206568984532E-2"/>
    <n v="18"/>
    <n v="112"/>
    <x v="0"/>
    <x v="0"/>
  </r>
  <r>
    <n v="122"/>
    <n v="34"/>
    <n v="985436"/>
    <d v="2003-08-09T00:00:00"/>
    <s v="IL"/>
    <s v="250/500"/>
    <n v="500"/>
    <n v="1495.06"/>
    <n v="0"/>
    <n v="452249"/>
    <s v="FEMALE"/>
    <s v="Masters"/>
    <s v="prof-specialty"/>
    <s v="polo"/>
    <s v="unmarried"/>
    <n v="38100"/>
    <n v="-31400"/>
    <d v="2015-01-07T00:00:00"/>
    <s v="Multi-vehicle Collision"/>
    <s v="Rear Collision"/>
    <s v="Total Loss"/>
    <s v="Fire"/>
    <x v="6"/>
    <x v="0"/>
    <s v="2733 Texas Drive"/>
    <n v="18"/>
    <n v="3"/>
    <s v="NO"/>
    <n v="2"/>
    <n v="0"/>
    <s v="YES"/>
    <n v="99990"/>
    <n v="18180"/>
    <n v="18180"/>
    <n v="63630"/>
    <s v="Mercedes"/>
    <s v="E400"/>
    <n v="2011"/>
    <s v="N"/>
    <n v="66.835554723741026"/>
    <n v="-98494.94"/>
    <n v="1.495194567511076E-2"/>
    <n v="4"/>
    <n v="122"/>
    <x v="0"/>
    <x v="0"/>
  </r>
  <r>
    <n v="108"/>
    <n v="29"/>
    <n v="237418"/>
    <d v="2007-12-04T00:00:00"/>
    <s v="IN"/>
    <s v="500/1000"/>
    <n v="1000"/>
    <n v="1337.92"/>
    <n v="0"/>
    <n v="441536"/>
    <s v="FEMALE"/>
    <s v="PhD"/>
    <s v="armed-forces"/>
    <s v="bungie-jumping"/>
    <s v="not-in-family"/>
    <n v="71400"/>
    <n v="0"/>
    <d v="2015-02-23T00:00:00"/>
    <s v="Multi-vehicle Collision"/>
    <s v="Side Collision"/>
    <s v="Minor Damage"/>
    <s v="Ambulance"/>
    <x v="4"/>
    <x v="0"/>
    <s v="7684 Francis Ridge"/>
    <n v="4"/>
    <n v="3"/>
    <s v="NO"/>
    <n v="2"/>
    <n v="2"/>
    <s v="YES"/>
    <n v="61380"/>
    <n v="11160"/>
    <n v="5580"/>
    <n v="44640"/>
    <s v="Suburu"/>
    <s v="Legacy"/>
    <n v="2012"/>
    <s v="N"/>
    <n v="45.842918172855732"/>
    <n v="-60042.080000000002"/>
    <n v="2.1796973004675715E-2"/>
    <n v="3"/>
    <n v="108"/>
    <x v="0"/>
    <x v="0"/>
  </r>
  <r>
    <n v="14"/>
    <n v="28"/>
    <n v="335780"/>
    <d v="2002-07-22T00:00:00"/>
    <s v="OH"/>
    <s v="250/500"/>
    <n v="2000"/>
    <n v="1587.96"/>
    <n v="0"/>
    <n v="601617"/>
    <s v="FEMALE"/>
    <s v="Associate"/>
    <s v="craft-repair"/>
    <s v="board-games"/>
    <s v="unmarried"/>
    <n v="0"/>
    <n v="-26900"/>
    <d v="2015-02-14T00:00:00"/>
    <s v="Single Vehicle Collision"/>
    <s v="Rear Collision"/>
    <s v="Major Damage"/>
    <s v="Fire"/>
    <x v="4"/>
    <x v="1"/>
    <s v="8991 Embaracadero Ave"/>
    <n v="18"/>
    <n v="1"/>
    <s v="?"/>
    <n v="2"/>
    <n v="1"/>
    <s v="YES"/>
    <n v="71280"/>
    <n v="12960"/>
    <n v="12960"/>
    <n v="45360"/>
    <s v="Audi"/>
    <s v="A5"/>
    <n v="2012"/>
    <s v="Y"/>
    <n v="44.859530762259588"/>
    <n v="-69692.039999999994"/>
    <n v="2.2277465243192435E-2"/>
    <n v="3"/>
    <n v="14"/>
    <x v="0"/>
    <x v="0"/>
  </r>
  <r>
    <n v="298"/>
    <n v="45"/>
    <n v="491392"/>
    <d v="1992-07-03T00:00:00"/>
    <s v="IL"/>
    <s v="500/1000"/>
    <n v="1000"/>
    <n v="1362.29"/>
    <n v="0"/>
    <n v="442598"/>
    <s v="MALE"/>
    <s v="High School"/>
    <s v="farming-fishing"/>
    <s v="yachting"/>
    <s v="unmarried"/>
    <n v="0"/>
    <n v="-51100"/>
    <d v="2015-02-27T00:00:00"/>
    <s v="Multi-vehicle Collision"/>
    <s v="Front Collision"/>
    <s v="Minor Damage"/>
    <s v="Ambulance"/>
    <x v="2"/>
    <x v="5"/>
    <s v="4905 Francis Ave"/>
    <n v="18"/>
    <n v="3"/>
    <s v="NO"/>
    <n v="0"/>
    <n v="0"/>
    <s v="NO"/>
    <n v="64000"/>
    <n v="12800"/>
    <n v="6400"/>
    <n v="44800"/>
    <s v="Saab"/>
    <n v="95"/>
    <n v="1999"/>
    <s v="N"/>
    <n v="46.945257428720232"/>
    <n v="-62637.71"/>
    <n v="2.128544866486461E-2"/>
    <n v="16"/>
    <n v="298"/>
    <x v="0"/>
    <x v="0"/>
  </r>
  <r>
    <n v="276"/>
    <n v="46"/>
    <n v="140880"/>
    <d v="2005-03-29T00:00:00"/>
    <s v="IL"/>
    <s v="250/500"/>
    <n v="500"/>
    <n v="1448.84"/>
    <n v="0"/>
    <n v="430987"/>
    <s v="FEMALE"/>
    <s v="Masters"/>
    <s v="machine-op-inspct"/>
    <s v="bungie-jumping"/>
    <s v="husband"/>
    <n v="0"/>
    <n v="-50000"/>
    <d v="2015-02-21T00:00:00"/>
    <s v="Parked Car"/>
    <s v="?"/>
    <s v="Trivial Damage"/>
    <s v="Police"/>
    <x v="0"/>
    <x v="4"/>
    <s v="7783 Lincoln Hwy"/>
    <n v="7"/>
    <n v="1"/>
    <s v="?"/>
    <n v="0"/>
    <n v="1"/>
    <s v="NO"/>
    <n v="5940"/>
    <n v="660"/>
    <n v="660"/>
    <n v="4620"/>
    <s v="Toyota"/>
    <s v="Highlander"/>
    <n v="2015"/>
    <s v="N"/>
    <n v="4.0970038073166695"/>
    <n v="-4491.16"/>
    <n v="0.24387140212085506"/>
    <n v="0"/>
    <n v="276"/>
    <x v="1"/>
    <x v="1"/>
  </r>
  <r>
    <n v="47"/>
    <n v="37"/>
    <n v="962591"/>
    <d v="2008-03-16T00:00:00"/>
    <s v="IN"/>
    <s v="250/500"/>
    <n v="2000"/>
    <n v="1241.97"/>
    <n v="0"/>
    <n v="430104"/>
    <s v="MALE"/>
    <s v="High School"/>
    <s v="other-service"/>
    <s v="movies"/>
    <s v="not-in-family"/>
    <n v="75400"/>
    <n v="0"/>
    <d v="2015-01-05T00:00:00"/>
    <s v="Parked Car"/>
    <s v="?"/>
    <s v="Minor Damage"/>
    <s v="None"/>
    <x v="2"/>
    <x v="4"/>
    <s v="8749 Tree St"/>
    <n v="18"/>
    <n v="1"/>
    <s v="NO"/>
    <n v="1"/>
    <n v="0"/>
    <s v="NO"/>
    <n v="6700"/>
    <n v="670"/>
    <n v="670"/>
    <n v="5360"/>
    <s v="Jeep"/>
    <s v="Wrangler"/>
    <n v="2011"/>
    <s v="N"/>
    <n v="5.3903151323040781"/>
    <n v="-5458.03"/>
    <n v="0.18534099388151024"/>
    <n v="4"/>
    <n v="47"/>
    <x v="2"/>
    <x v="0"/>
  </r>
  <r>
    <n v="222"/>
    <n v="42"/>
    <n v="922565"/>
    <d v="1999-05-23T00:00:00"/>
    <s v="IL"/>
    <s v="250/500"/>
    <n v="500"/>
    <n v="1124.5999999999999"/>
    <n v="0"/>
    <n v="612904"/>
    <s v="MALE"/>
    <s v="Associate"/>
    <s v="armed-forces"/>
    <s v="hiking"/>
    <s v="not-in-family"/>
    <n v="0"/>
    <n v="0"/>
    <d v="2015-01-30T00:00:00"/>
    <s v="Multi-vehicle Collision"/>
    <s v="Rear Collision"/>
    <s v="Minor Damage"/>
    <s v="Police"/>
    <x v="2"/>
    <x v="2"/>
    <s v="4985 Sky Lane"/>
    <n v="23"/>
    <n v="3"/>
    <s v="YES"/>
    <n v="0"/>
    <n v="0"/>
    <s v="?"/>
    <n v="51740"/>
    <n v="11940"/>
    <n v="7960"/>
    <n v="31840"/>
    <s v="Jeep"/>
    <s v="Wrangler"/>
    <n v="2006"/>
    <s v="N"/>
    <n v="45.966595593461271"/>
    <n v="-50615.4"/>
    <n v="2.1735180997661429E-2"/>
    <n v="9"/>
    <n v="222"/>
    <x v="0"/>
    <x v="0"/>
  </r>
  <r>
    <n v="119"/>
    <n v="28"/>
    <n v="288580"/>
    <d v="2012-11-22T00:00:00"/>
    <s v="OH"/>
    <s v="250/500"/>
    <n v="2000"/>
    <n v="1079.92"/>
    <n v="0"/>
    <n v="430886"/>
    <s v="MALE"/>
    <s v="High School"/>
    <s v="machine-op-inspct"/>
    <s v="hiking"/>
    <s v="husband"/>
    <n v="88800"/>
    <n v="0"/>
    <d v="2015-02-26T00:00:00"/>
    <s v="Single Vehicle Collision"/>
    <s v="Rear Collision"/>
    <s v="Total Loss"/>
    <s v="Ambulance"/>
    <x v="6"/>
    <x v="1"/>
    <s v="7534 MLK Hwy"/>
    <n v="1"/>
    <n v="1"/>
    <s v="?"/>
    <n v="0"/>
    <n v="1"/>
    <s v="YES"/>
    <n v="53600"/>
    <n v="6700"/>
    <n v="6700"/>
    <n v="40200"/>
    <s v="Volkswagen"/>
    <s v="Jetta"/>
    <n v="2007"/>
    <s v="Y"/>
    <n v="49.587388520889611"/>
    <n v="-52520.08"/>
    <n v="2.0147385309975563E-2"/>
    <n v="8"/>
    <n v="119"/>
    <x v="0"/>
    <x v="0"/>
  </r>
  <r>
    <n v="73"/>
    <n v="29"/>
    <n v="154280"/>
    <d v="1993-01-29T00:00:00"/>
    <s v="IL"/>
    <s v="250/500"/>
    <n v="1000"/>
    <n v="1447.78"/>
    <n v="0"/>
    <n v="467947"/>
    <s v="MALE"/>
    <s v="College"/>
    <s v="protective-serv"/>
    <s v="board-games"/>
    <s v="wife"/>
    <n v="35100"/>
    <n v="-59900"/>
    <d v="2015-01-10T00:00:00"/>
    <s v="Multi-vehicle Collision"/>
    <s v="Rear Collision"/>
    <s v="Total Loss"/>
    <s v="Other"/>
    <x v="0"/>
    <x v="2"/>
    <s v="8689 Maple Hwy"/>
    <n v="15"/>
    <n v="3"/>
    <s v="YES"/>
    <n v="1"/>
    <n v="0"/>
    <s v="?"/>
    <n v="44910"/>
    <n v="4990"/>
    <n v="4990"/>
    <n v="34930"/>
    <s v="Dodge"/>
    <s v="Neon"/>
    <n v="2001"/>
    <s v="N"/>
    <n v="30.998495285688648"/>
    <n v="-43462.22"/>
    <n v="3.223664581060319E-2"/>
    <n v="14"/>
    <n v="73"/>
    <x v="0"/>
    <x v="0"/>
  </r>
  <r>
    <n v="8"/>
    <n v="31"/>
    <n v="425973"/>
    <d v="2003-02-11T00:00:00"/>
    <s v="IN"/>
    <s v="250/500"/>
    <n v="500"/>
    <n v="1229.1600000000001"/>
    <n v="4000000"/>
    <n v="604804"/>
    <s v="FEMALE"/>
    <s v="MD"/>
    <s v="transport-moving"/>
    <s v="kayaking"/>
    <s v="wife"/>
    <n v="0"/>
    <n v="-88300"/>
    <d v="2015-02-23T00:00:00"/>
    <s v="Multi-vehicle Collision"/>
    <s v="Front Collision"/>
    <s v="Major Damage"/>
    <s v="Fire"/>
    <x v="6"/>
    <x v="4"/>
    <s v="9153 3rd Hwy"/>
    <n v="2"/>
    <n v="3"/>
    <s v="?"/>
    <n v="0"/>
    <n v="2"/>
    <s v="YES"/>
    <n v="48100"/>
    <n v="11100"/>
    <n v="7400"/>
    <n v="29600"/>
    <s v="Volkswagen"/>
    <s v="Jetta"/>
    <n v="2014"/>
    <s v="N"/>
    <n v="39.100604799375688"/>
    <n v="-46870.84"/>
    <n v="2.5553730691669614E-2"/>
    <n v="1"/>
    <n v="8"/>
    <x v="0"/>
    <x v="0"/>
  </r>
  <r>
    <n v="294"/>
    <n v="44"/>
    <n v="477177"/>
    <d v="1990-08-15T00:00:00"/>
    <s v="IL"/>
    <s v="100/300"/>
    <n v="1000"/>
    <n v="1226.49"/>
    <n v="0"/>
    <n v="460308"/>
    <s v="FEMALE"/>
    <s v="PhD"/>
    <s v="farming-fishing"/>
    <s v="kayaking"/>
    <s v="unmarried"/>
    <n v="53900"/>
    <n v="0"/>
    <d v="2015-02-05T00:00:00"/>
    <s v="Vehicle Theft"/>
    <s v="?"/>
    <s v="Trivial Damage"/>
    <s v="None"/>
    <x v="4"/>
    <x v="1"/>
    <s v="5904 1st Drive"/>
    <n v="3"/>
    <n v="1"/>
    <s v="NO"/>
    <n v="0"/>
    <n v="1"/>
    <s v="NO"/>
    <n v="6100"/>
    <n v="610"/>
    <n v="1220"/>
    <n v="4270"/>
    <s v="Ford"/>
    <s v="Fusion"/>
    <n v="2002"/>
    <s v="N"/>
    <n v="4.9694905864813563"/>
    <n v="-4873.51"/>
    <n v="0.20103097852811014"/>
    <n v="13"/>
    <n v="294"/>
    <x v="1"/>
    <x v="1"/>
  </r>
  <r>
    <n v="324"/>
    <n v="46"/>
    <n v="648509"/>
    <d v="2010-03-06T00:00:00"/>
    <s v="IN"/>
    <s v="100/300"/>
    <n v="2000"/>
    <n v="897.89"/>
    <n v="6000000"/>
    <n v="618862"/>
    <s v="MALE"/>
    <s v="MD"/>
    <s v="tech-support"/>
    <s v="board-games"/>
    <s v="wife"/>
    <n v="0"/>
    <n v="-41300"/>
    <d v="2015-01-21T00:00:00"/>
    <s v="Single Vehicle Collision"/>
    <s v="Rear Collision"/>
    <s v="Minor Damage"/>
    <s v="Other"/>
    <x v="6"/>
    <x v="4"/>
    <s v="4519 Embaracadero St"/>
    <n v="13"/>
    <n v="1"/>
    <s v="?"/>
    <n v="1"/>
    <n v="0"/>
    <s v="YES"/>
    <n v="79600"/>
    <n v="15920"/>
    <n v="15920"/>
    <n v="47760"/>
    <s v="Jeep"/>
    <s v="Wrangler"/>
    <n v="2011"/>
    <s v="N"/>
    <n v="88.55366062588304"/>
    <n v="-78702.11"/>
    <n v="1.1279883418550019E-2"/>
    <n v="4"/>
    <n v="324"/>
    <x v="0"/>
    <x v="0"/>
  </r>
  <r>
    <n v="155"/>
    <n v="34"/>
    <n v="914815"/>
    <d v="1990-09-27T00:00:00"/>
    <s v="IN"/>
    <s v="100/300"/>
    <n v="500"/>
    <n v="1706.79"/>
    <n v="0"/>
    <n v="462479"/>
    <s v="MALE"/>
    <s v="Masters"/>
    <s v="protective-serv"/>
    <s v="dancing"/>
    <s v="other-relative"/>
    <n v="0"/>
    <n v="0"/>
    <d v="2015-01-07T00:00:00"/>
    <s v="Single Vehicle Collision"/>
    <s v="Front Collision"/>
    <s v="Minor Damage"/>
    <s v="Ambulance"/>
    <x v="3"/>
    <x v="4"/>
    <s v="9706 MLK Lane"/>
    <n v="1"/>
    <n v="1"/>
    <s v="NO"/>
    <n v="1"/>
    <n v="1"/>
    <s v="YES"/>
    <n v="77040"/>
    <n v="8560"/>
    <n v="8560"/>
    <n v="59920"/>
    <s v="Honda"/>
    <s v="Civic"/>
    <n v="1998"/>
    <s v="N"/>
    <n v="45.110932843031051"/>
    <n v="-75333.210000000006"/>
    <n v="2.2154307446684233E-2"/>
    <n v="17"/>
    <n v="155"/>
    <x v="0"/>
    <x v="0"/>
  </r>
  <r>
    <n v="261"/>
    <n v="45"/>
    <n v="249048"/>
    <d v="2005-06-17T00:00:00"/>
    <s v="IL"/>
    <s v="250/500"/>
    <n v="1000"/>
    <n v="1254.18"/>
    <n v="0"/>
    <n v="457555"/>
    <s v="FEMALE"/>
    <s v="PhD"/>
    <s v="prof-specialty"/>
    <s v="kayaking"/>
    <s v="other-relative"/>
    <n v="0"/>
    <n v="-45100"/>
    <d v="2015-01-11T00:00:00"/>
    <s v="Single Vehicle Collision"/>
    <s v="Rear Collision"/>
    <s v="Minor Damage"/>
    <s v="Fire"/>
    <x v="0"/>
    <x v="0"/>
    <s v="6012 Texas Hwy"/>
    <n v="16"/>
    <n v="1"/>
    <s v="YES"/>
    <n v="0"/>
    <n v="1"/>
    <s v="?"/>
    <n v="62590"/>
    <n v="11380"/>
    <n v="11380"/>
    <n v="39830"/>
    <s v="Volkswagen"/>
    <s v="Jetta"/>
    <n v="2003"/>
    <s v="N"/>
    <n v="49.865357956627733"/>
    <n v="-61335.82"/>
    <n v="2.0037705101372403E-2"/>
    <n v="12"/>
    <n v="261"/>
    <x v="0"/>
    <x v="0"/>
  </r>
  <r>
    <n v="245"/>
    <n v="40"/>
    <n v="144323"/>
    <d v="2001-09-14T00:00:00"/>
    <s v="IN"/>
    <s v="500/1000"/>
    <n v="500"/>
    <n v="885.08"/>
    <n v="0"/>
    <n v="459984"/>
    <s v="FEMALE"/>
    <s v="Masters"/>
    <s v="armed-forces"/>
    <s v="skydiving"/>
    <s v="other-relative"/>
    <n v="27000"/>
    <n v="-58900"/>
    <d v="2015-02-06T00:00:00"/>
    <s v="Single Vehicle Collision"/>
    <s v="Front Collision"/>
    <s v="Total Loss"/>
    <s v="Other"/>
    <x v="4"/>
    <x v="5"/>
    <s v="4098 Weaver Ridge"/>
    <n v="0"/>
    <n v="1"/>
    <s v="YES"/>
    <n v="0"/>
    <n v="1"/>
    <s v="NO"/>
    <n v="85150"/>
    <n v="13100"/>
    <n v="13100"/>
    <n v="58950"/>
    <s v="Chevrolet"/>
    <s v="Malibu"/>
    <n v="1998"/>
    <s v="N"/>
    <n v="96.097417840375584"/>
    <n v="-84264.92"/>
    <n v="1.0394240819250508E-2"/>
    <n v="17"/>
    <n v="245"/>
    <x v="0"/>
    <x v="0"/>
  </r>
  <r>
    <n v="235"/>
    <n v="39"/>
    <n v="651861"/>
    <d v="2011-01-07T00:00:00"/>
    <s v="IL"/>
    <s v="100/300"/>
    <n v="500"/>
    <n v="1046.58"/>
    <n v="4000000"/>
    <n v="434982"/>
    <s v="MALE"/>
    <s v="MD"/>
    <s v="tech-support"/>
    <s v="exercise"/>
    <s v="wife"/>
    <n v="0"/>
    <n v="-31700"/>
    <d v="2015-01-24T00:00:00"/>
    <s v="Vehicle Theft"/>
    <s v="?"/>
    <s v="Trivial Damage"/>
    <s v="None"/>
    <x v="2"/>
    <x v="4"/>
    <s v="6193 1st Hwy"/>
    <n v="1"/>
    <n v="1"/>
    <s v="?"/>
    <n v="2"/>
    <n v="1"/>
    <s v="NO"/>
    <n v="4950"/>
    <n v="450"/>
    <n v="900"/>
    <n v="3600"/>
    <s v="Chevrolet"/>
    <s v="Silverado"/>
    <n v="2010"/>
    <s v="N"/>
    <n v="4.7251761202008442"/>
    <n v="-3903.42"/>
    <n v="0.21138759846495656"/>
    <n v="5"/>
    <n v="235"/>
    <x v="1"/>
    <x v="1"/>
  </r>
  <r>
    <n v="53"/>
    <n v="36"/>
    <n v="125324"/>
    <d v="2003-09-13T00:00:00"/>
    <s v="OH"/>
    <s v="500/1000"/>
    <n v="2000"/>
    <n v="1712.68"/>
    <n v="0"/>
    <n v="614233"/>
    <s v="MALE"/>
    <s v="Associate"/>
    <s v="handlers-cleaners"/>
    <s v="basketball"/>
    <s v="not-in-family"/>
    <n v="72200"/>
    <n v="0"/>
    <d v="2015-02-18T00:00:00"/>
    <s v="Multi-vehicle Collision"/>
    <s v="Side Collision"/>
    <s v="Major Damage"/>
    <s v="Fire"/>
    <x v="1"/>
    <x v="1"/>
    <s v="4053 Sky Lane"/>
    <n v="17"/>
    <n v="3"/>
    <s v="?"/>
    <n v="2"/>
    <n v="0"/>
    <s v="YES"/>
    <n v="51100"/>
    <n v="10220"/>
    <n v="5110"/>
    <n v="35770"/>
    <s v="Audi"/>
    <s v="A3"/>
    <n v="2006"/>
    <s v="N"/>
    <n v="29.818869333831287"/>
    <n v="-49387.32"/>
    <n v="3.3515586779123696E-2"/>
    <n v="9"/>
    <n v="53"/>
    <x v="0"/>
    <x v="0"/>
  </r>
  <r>
    <n v="426"/>
    <n v="54"/>
    <n v="398102"/>
    <d v="1997-10-24T00:00:00"/>
    <s v="IL"/>
    <s v="500/1000"/>
    <n v="2000"/>
    <n v="1097.71"/>
    <n v="0"/>
    <n v="605258"/>
    <s v="FEMALE"/>
    <s v="Masters"/>
    <s v="adm-clerical"/>
    <s v="reading"/>
    <s v="not-in-family"/>
    <n v="29600"/>
    <n v="-22300"/>
    <d v="2015-01-12T00:00:00"/>
    <s v="Single Vehicle Collision"/>
    <s v="Side Collision"/>
    <s v="Minor Damage"/>
    <s v="Police"/>
    <x v="0"/>
    <x v="3"/>
    <s v="8964 Francis St"/>
    <n v="13"/>
    <n v="1"/>
    <s v="YES"/>
    <n v="2"/>
    <n v="3"/>
    <s v="?"/>
    <n v="100800"/>
    <n v="16800"/>
    <n v="16800"/>
    <n v="67200"/>
    <s v="Dodge"/>
    <s v="Neon"/>
    <n v="1997"/>
    <s v="N"/>
    <n v="91.743954273648185"/>
    <n v="-99702.29"/>
    <n v="1.0889872124284482E-2"/>
    <n v="18"/>
    <n v="426"/>
    <x v="0"/>
    <x v="0"/>
  </r>
  <r>
    <n v="111"/>
    <n v="27"/>
    <n v="514065"/>
    <d v="2009-01-04T00:00:00"/>
    <s v="IN"/>
    <s v="250/500"/>
    <n v="500"/>
    <n v="1363.77"/>
    <n v="4000000"/>
    <n v="604377"/>
    <s v="FEMALE"/>
    <s v="Masters"/>
    <s v="tech-support"/>
    <s v="exercise"/>
    <s v="husband"/>
    <n v="51100"/>
    <n v="0"/>
    <d v="2015-01-17T00:00:00"/>
    <s v="Single Vehicle Collision"/>
    <s v="Side Collision"/>
    <s v="Total Loss"/>
    <s v="Police"/>
    <x v="1"/>
    <x v="3"/>
    <s v="9748 Sky Drive"/>
    <n v="12"/>
    <n v="1"/>
    <s v="YES"/>
    <n v="2"/>
    <n v="3"/>
    <s v="NO"/>
    <n v="90970"/>
    <n v="16540"/>
    <n v="16540"/>
    <n v="57890"/>
    <s v="Accura"/>
    <s v="RSX"/>
    <n v="2009"/>
    <s v="N"/>
    <n v="66.655920045135815"/>
    <n v="-89606.23"/>
    <n v="1.4991260951292169E-2"/>
    <n v="6"/>
    <n v="111"/>
    <x v="0"/>
    <x v="0"/>
  </r>
  <r>
    <n v="86"/>
    <n v="26"/>
    <n v="391652"/>
    <d v="1998-10-12T00:00:00"/>
    <s v="OH"/>
    <s v="100/300"/>
    <n v="500"/>
    <n v="1382.88"/>
    <n v="7000000"/>
    <n v="434923"/>
    <s v="MALE"/>
    <s v="JD"/>
    <s v="tech-support"/>
    <s v="cross-fit"/>
    <s v="other-relative"/>
    <n v="0"/>
    <n v="-30300"/>
    <d v="2015-01-12T00:00:00"/>
    <s v="Single Vehicle Collision"/>
    <s v="Rear Collision"/>
    <s v="Minor Damage"/>
    <s v="Police"/>
    <x v="0"/>
    <x v="5"/>
    <s v="2293 Washington Ave"/>
    <n v="11"/>
    <n v="1"/>
    <s v="?"/>
    <n v="1"/>
    <n v="1"/>
    <s v="YES"/>
    <n v="81840"/>
    <n v="14880"/>
    <n v="7440"/>
    <n v="59520"/>
    <s v="Chevrolet"/>
    <s v="Malibu"/>
    <n v="2011"/>
    <s v="Y"/>
    <n v="59.138075555684011"/>
    <n v="-80457.119999999995"/>
    <n v="1.6897154238095822E-2"/>
    <n v="4"/>
    <n v="86"/>
    <x v="0"/>
    <x v="0"/>
  </r>
  <r>
    <n v="296"/>
    <n v="46"/>
    <n v="922167"/>
    <d v="1993-02-23T00:00:00"/>
    <s v="OH"/>
    <s v="100/300"/>
    <n v="1000"/>
    <n v="1141.3499999999999"/>
    <n v="7000000"/>
    <n v="476456"/>
    <s v="MALE"/>
    <s v="Masters"/>
    <s v="craft-repair"/>
    <s v="sleeping"/>
    <s v="not-in-family"/>
    <n v="0"/>
    <n v="0"/>
    <d v="2015-01-06T00:00:00"/>
    <s v="Single Vehicle Collision"/>
    <s v="Front Collision"/>
    <s v="Major Damage"/>
    <s v="Ambulance"/>
    <x v="2"/>
    <x v="5"/>
    <s v="3656 Solo Ave"/>
    <n v="18"/>
    <n v="1"/>
    <s v="?"/>
    <n v="0"/>
    <n v="2"/>
    <s v="NO"/>
    <n v="54900"/>
    <n v="5490"/>
    <n v="5490"/>
    <n v="43920"/>
    <s v="Mercedes"/>
    <s v="C300"/>
    <n v="2013"/>
    <s v="N"/>
    <n v="48.058826104083693"/>
    <n v="-53758.65"/>
    <n v="2.0789238811679201E-2"/>
    <n v="2"/>
    <n v="296"/>
    <x v="0"/>
    <x v="0"/>
  </r>
  <r>
    <n v="125"/>
    <n v="35"/>
    <n v="442795"/>
    <d v="1996-07-07T00:00:00"/>
    <s v="OH"/>
    <s v="500/1000"/>
    <n v="500"/>
    <n v="1054.83"/>
    <n v="7000000"/>
    <n v="446788"/>
    <s v="MALE"/>
    <s v="JD"/>
    <s v="tech-support"/>
    <s v="cross-fit"/>
    <s v="husband"/>
    <n v="0"/>
    <n v="-51300"/>
    <d v="2015-02-25T00:00:00"/>
    <s v="Single Vehicle Collision"/>
    <s v="Front Collision"/>
    <s v="Total Loss"/>
    <s v="Fire"/>
    <x v="2"/>
    <x v="5"/>
    <s v="8579 Apache Drive"/>
    <n v="17"/>
    <n v="1"/>
    <s v="YES"/>
    <n v="2"/>
    <n v="3"/>
    <s v="NO"/>
    <n v="88660"/>
    <n v="8060"/>
    <n v="16120"/>
    <n v="64480"/>
    <s v="Mercedes"/>
    <s v="C300"/>
    <n v="2007"/>
    <s v="Y"/>
    <n v="83.971851529128742"/>
    <n v="-87605.17"/>
    <n v="1.1897339303639705E-2"/>
    <n v="8"/>
    <n v="125"/>
    <x v="0"/>
    <x v="0"/>
  </r>
  <r>
    <n v="177"/>
    <n v="34"/>
    <n v="226330"/>
    <d v="2013-01-23T00:00:00"/>
    <s v="IL"/>
    <s v="100/300"/>
    <n v="2000"/>
    <n v="1057.77"/>
    <n v="0"/>
    <n v="477382"/>
    <s v="FEMALE"/>
    <s v="JD"/>
    <s v="tech-support"/>
    <s v="bungie-jumping"/>
    <s v="unmarried"/>
    <n v="0"/>
    <n v="-57700"/>
    <d v="2015-02-16T00:00:00"/>
    <s v="Multi-vehicle Collision"/>
    <s v="Front Collision"/>
    <s v="Total Loss"/>
    <s v="Ambulance"/>
    <x v="5"/>
    <x v="1"/>
    <s v="2003 Maple Hwy"/>
    <n v="22"/>
    <n v="3"/>
    <s v="?"/>
    <n v="1"/>
    <n v="1"/>
    <s v="NO"/>
    <n v="18000"/>
    <n v="2250"/>
    <n v="2250"/>
    <n v="13500"/>
    <s v="Audi"/>
    <s v="A3"/>
    <n v="2009"/>
    <s v="N"/>
    <n v="17.000859487896332"/>
    <n v="-16942.23"/>
    <n v="5.8761735459141158E-2"/>
    <n v="6"/>
    <n v="177"/>
    <x v="2"/>
    <x v="0"/>
  </r>
  <r>
    <n v="238"/>
    <n v="39"/>
    <n v="134430"/>
    <d v="2006-12-06T00:00:00"/>
    <s v="IN"/>
    <s v="250/500"/>
    <n v="2000"/>
    <n v="1488.02"/>
    <n v="0"/>
    <n v="600275"/>
    <s v="FEMALE"/>
    <s v="JD"/>
    <s v="protective-serv"/>
    <s v="exercise"/>
    <s v="other-relative"/>
    <n v="0"/>
    <n v="-39200"/>
    <d v="2015-02-25T00:00:00"/>
    <s v="Vehicle Theft"/>
    <s v="?"/>
    <s v="Minor Damage"/>
    <s v="Police"/>
    <x v="2"/>
    <x v="6"/>
    <s v="5445 Tree Hwy"/>
    <n v="9"/>
    <n v="1"/>
    <s v="YES"/>
    <n v="1"/>
    <n v="3"/>
    <s v="YES"/>
    <n v="5500"/>
    <n v="1100"/>
    <n v="550"/>
    <n v="3850"/>
    <s v="Chevrolet"/>
    <s v="Tahoe"/>
    <n v="2010"/>
    <s v="N"/>
    <n v="3.6937045842231804"/>
    <n v="-4011.98"/>
    <n v="0.27049990910743499"/>
    <n v="5"/>
    <n v="238"/>
    <x v="1"/>
    <x v="1"/>
  </r>
  <r>
    <n v="81"/>
    <n v="25"/>
    <n v="524230"/>
    <d v="2014-02-23T00:00:00"/>
    <s v="IN"/>
    <s v="100/300"/>
    <n v="500"/>
    <n v="920.3"/>
    <n v="5000000"/>
    <n v="461958"/>
    <s v="FEMALE"/>
    <s v="High School"/>
    <s v="tech-support"/>
    <s v="hiking"/>
    <s v="own-child"/>
    <n v="51000"/>
    <n v="-67900"/>
    <d v="2015-02-21T00:00:00"/>
    <s v="Multi-vehicle Collision"/>
    <s v="Rear Collision"/>
    <s v="Major Damage"/>
    <s v="Other"/>
    <x v="4"/>
    <x v="4"/>
    <s v="9730 2nd Hwy"/>
    <n v="11"/>
    <n v="3"/>
    <s v="?"/>
    <n v="1"/>
    <n v="0"/>
    <s v="?"/>
    <n v="73920"/>
    <n v="13440"/>
    <n v="6720"/>
    <n v="53760"/>
    <s v="Honda"/>
    <s v="Civic"/>
    <n v="2003"/>
    <s v="Y"/>
    <n v="80.234451318788672"/>
    <n v="-72999.7"/>
    <n v="1.2449777465131694E-2"/>
    <n v="12"/>
    <n v="81"/>
    <x v="0"/>
    <x v="0"/>
  </r>
  <r>
    <n v="128"/>
    <n v="28"/>
    <n v="438817"/>
    <d v="2007-11-16T00:00:00"/>
    <s v="OH"/>
    <s v="500/1000"/>
    <n v="1000"/>
    <n v="986.53"/>
    <n v="0"/>
    <n v="472720"/>
    <s v="FEMALE"/>
    <s v="High School"/>
    <s v="adm-clerical"/>
    <s v="polo"/>
    <s v="other-relative"/>
    <n v="62700"/>
    <n v="0"/>
    <d v="2015-02-16T00:00:00"/>
    <s v="Single Vehicle Collision"/>
    <s v="Rear Collision"/>
    <s v="Total Loss"/>
    <s v="Ambulance"/>
    <x v="1"/>
    <x v="0"/>
    <s v="7819 Oak St"/>
    <n v="11"/>
    <n v="1"/>
    <s v="NO"/>
    <n v="0"/>
    <n v="2"/>
    <s v="YES"/>
    <n v="101860"/>
    <n v="18520"/>
    <n v="18520"/>
    <n v="64820"/>
    <s v="Honda"/>
    <s v="CRV"/>
    <n v="2007"/>
    <s v="N"/>
    <n v="103.14623353214586"/>
    <n v="-100873.47"/>
    <n v="9.6850610145197864E-3"/>
    <n v="8"/>
    <n v="128"/>
    <x v="0"/>
    <x v="0"/>
  </r>
  <r>
    <n v="449"/>
    <n v="57"/>
    <n v="293794"/>
    <d v="1999-04-17T00:00:00"/>
    <s v="OH"/>
    <s v="250/500"/>
    <n v="2000"/>
    <n v="1440.68"/>
    <n v="0"/>
    <n v="442395"/>
    <s v="MALE"/>
    <s v="Associate"/>
    <s v="tech-support"/>
    <s v="movies"/>
    <s v="own-child"/>
    <n v="25000"/>
    <n v="0"/>
    <d v="2015-02-09T00:00:00"/>
    <s v="Parked Car"/>
    <s v="?"/>
    <s v="Minor Damage"/>
    <s v="None"/>
    <x v="0"/>
    <x v="1"/>
    <s v="1845 Best St"/>
    <n v="8"/>
    <n v="1"/>
    <s v="YES"/>
    <n v="0"/>
    <n v="1"/>
    <s v="YES"/>
    <n v="5390"/>
    <n v="980"/>
    <n v="980"/>
    <n v="3430"/>
    <s v="Volkswagen"/>
    <s v="Passat"/>
    <n v="2008"/>
    <s v="N"/>
    <n v="3.7386937461850063"/>
    <n v="-3949.3199999999997"/>
    <n v="0.26723798924132813"/>
    <n v="7"/>
    <n v="449"/>
    <x v="1"/>
    <x v="1"/>
  </r>
  <r>
    <n v="252"/>
    <n v="39"/>
    <n v="868283"/>
    <d v="2006-02-06T00:00:00"/>
    <s v="IN"/>
    <s v="250/500"/>
    <n v="1000"/>
    <n v="1086.21"/>
    <n v="0"/>
    <n v="455340"/>
    <s v="MALE"/>
    <s v="JD"/>
    <s v="farming-fishing"/>
    <s v="hiking"/>
    <s v="unmarried"/>
    <n v="68500"/>
    <n v="-57500"/>
    <d v="2015-02-13T00:00:00"/>
    <s v="Single Vehicle Collision"/>
    <s v="Side Collision"/>
    <s v="Minor Damage"/>
    <s v="Police"/>
    <x v="0"/>
    <x v="3"/>
    <s v="2500 Tree St"/>
    <n v="18"/>
    <n v="1"/>
    <s v="?"/>
    <n v="1"/>
    <n v="2"/>
    <s v="?"/>
    <n v="50490"/>
    <n v="5610"/>
    <n v="5610"/>
    <n v="39270"/>
    <s v="Nissan"/>
    <s v="Maxima"/>
    <n v="2001"/>
    <s v="N"/>
    <n v="46.439970198949602"/>
    <n v="-49403.79"/>
    <n v="2.1512942900714978E-2"/>
    <n v="14"/>
    <n v="252"/>
    <x v="0"/>
    <x v="0"/>
  </r>
  <r>
    <n v="359"/>
    <n v="47"/>
    <n v="828890"/>
    <d v="1993-10-20T00:00:00"/>
    <s v="OH"/>
    <s v="100/300"/>
    <n v="2000"/>
    <n v="1367.68"/>
    <n v="0"/>
    <n v="613247"/>
    <s v="FEMALE"/>
    <s v="MD"/>
    <s v="handlers-cleaners"/>
    <s v="basketball"/>
    <s v="unmarried"/>
    <n v="0"/>
    <n v="0"/>
    <d v="2015-01-11T00:00:00"/>
    <s v="Single Vehicle Collision"/>
    <s v="Front Collision"/>
    <s v="Total Loss"/>
    <s v="Police"/>
    <x v="0"/>
    <x v="2"/>
    <s v="6955 Pine Drive"/>
    <n v="13"/>
    <n v="1"/>
    <s v="NO"/>
    <n v="0"/>
    <n v="3"/>
    <s v="NO"/>
    <n v="55500"/>
    <n v="5550"/>
    <n v="11100"/>
    <n v="38850"/>
    <s v="Mercedes"/>
    <s v="C300"/>
    <n v="2012"/>
    <s v="N"/>
    <n v="40.550018996405292"/>
    <n v="-54132.32"/>
    <n v="2.4642438874975227E-2"/>
    <n v="3"/>
    <n v="359"/>
    <x v="0"/>
    <x v="0"/>
  </r>
  <r>
    <n v="19"/>
    <n v="32"/>
    <n v="882920"/>
    <d v="2006-01-01T00:00:00"/>
    <s v="OH"/>
    <s v="500/1000"/>
    <n v="1000"/>
    <n v="1215.8499999999999"/>
    <n v="0"/>
    <n v="454985"/>
    <s v="MALE"/>
    <s v="High School"/>
    <s v="other-service"/>
    <s v="hiking"/>
    <s v="husband"/>
    <n v="42900"/>
    <n v="-90200"/>
    <d v="2015-01-02T00:00:00"/>
    <s v="Vehicle Theft"/>
    <s v="?"/>
    <s v="Minor Damage"/>
    <s v="Police"/>
    <x v="1"/>
    <x v="4"/>
    <s v="6165 Rock Ridge"/>
    <n v="8"/>
    <n v="1"/>
    <s v="YES"/>
    <n v="1"/>
    <n v="1"/>
    <s v="YES"/>
    <n v="7040"/>
    <n v="1280"/>
    <n v="640"/>
    <n v="5120"/>
    <s v="Nissan"/>
    <s v="Maxima"/>
    <n v="2015"/>
    <s v="N"/>
    <n v="5.7854295928010853"/>
    <n v="-5824.15"/>
    <n v="0.17268143729583865"/>
    <n v="0"/>
    <n v="19"/>
    <x v="2"/>
    <x v="0"/>
  </r>
  <r>
    <n v="73"/>
    <n v="26"/>
    <n v="918777"/>
    <d v="2003-04-04T00:00:00"/>
    <s v="IL"/>
    <s v="250/500"/>
    <n v="2000"/>
    <n v="1191.19"/>
    <n v="4000000"/>
    <n v="468813"/>
    <s v="MALE"/>
    <s v="MD"/>
    <s v="farming-fishing"/>
    <s v="basketball"/>
    <s v="not-in-family"/>
    <n v="29300"/>
    <n v="0"/>
    <d v="2015-02-12T00:00:00"/>
    <s v="Multi-vehicle Collision"/>
    <s v="Rear Collision"/>
    <s v="Total Loss"/>
    <s v="Other"/>
    <x v="1"/>
    <x v="6"/>
    <s v="3653 Elm Drive"/>
    <n v="9"/>
    <n v="3"/>
    <s v="?"/>
    <n v="0"/>
    <n v="1"/>
    <s v="YES"/>
    <n v="40160"/>
    <n v="5020"/>
    <n v="0"/>
    <n v="35140"/>
    <s v="Chevrolet"/>
    <s v="Tahoe"/>
    <n v="2003"/>
    <s v="N"/>
    <n v="33.685905770053431"/>
    <n v="-38968.81"/>
    <n v="2.9660367022733499E-2"/>
    <n v="12"/>
    <n v="73"/>
    <x v="0"/>
    <x v="0"/>
  </r>
  <r>
    <n v="285"/>
    <n v="44"/>
    <n v="212580"/>
    <d v="2014-07-05T00:00:00"/>
    <s v="IL"/>
    <s v="500/1000"/>
    <n v="1000"/>
    <n v="1594.45"/>
    <n v="0"/>
    <n v="452747"/>
    <s v="MALE"/>
    <s v="High School"/>
    <s v="handlers-cleaners"/>
    <s v="bungie-jumping"/>
    <s v="husband"/>
    <n v="0"/>
    <n v="0"/>
    <d v="2015-02-05T00:00:00"/>
    <s v="Multi-vehicle Collision"/>
    <s v="Side Collision"/>
    <s v="Total Loss"/>
    <s v="Fire"/>
    <x v="5"/>
    <x v="0"/>
    <s v="5812 3rd Hwy"/>
    <n v="17"/>
    <n v="2"/>
    <s v="YES"/>
    <n v="2"/>
    <n v="3"/>
    <s v="NO"/>
    <n v="55680"/>
    <n v="6960"/>
    <n v="6960"/>
    <n v="41760"/>
    <s v="Saab"/>
    <n v="95"/>
    <n v="2006"/>
    <s v="N"/>
    <n v="34.899244727192951"/>
    <n v="-54085.55"/>
    <n v="2.8635441173829494E-2"/>
    <n v="9"/>
    <n v="285"/>
    <x v="0"/>
    <x v="0"/>
  </r>
  <r>
    <n v="196"/>
    <n v="36"/>
    <n v="602410"/>
    <d v="1996-01-16T00:00:00"/>
    <s v="IN"/>
    <s v="250/500"/>
    <n v="2000"/>
    <n v="1463.07"/>
    <n v="0"/>
    <n v="615611"/>
    <s v="MALE"/>
    <s v="MD"/>
    <s v="armed-forces"/>
    <s v="skydiving"/>
    <s v="own-child"/>
    <n v="0"/>
    <n v="0"/>
    <d v="2015-01-24T00:00:00"/>
    <s v="Vehicle Theft"/>
    <s v="?"/>
    <s v="Trivial Damage"/>
    <s v="Police"/>
    <x v="4"/>
    <x v="3"/>
    <s v="4939 Best St"/>
    <n v="3"/>
    <n v="1"/>
    <s v="?"/>
    <n v="1"/>
    <n v="1"/>
    <s v="NO"/>
    <n v="5300"/>
    <n v="530"/>
    <n v="530"/>
    <n v="4240"/>
    <s v="Jeep"/>
    <s v="Grand Cherokee"/>
    <n v="2001"/>
    <s v="Y"/>
    <n v="3.6200454896282284"/>
    <n v="-3836.9300000000003"/>
    <n v="0.27599886813808716"/>
    <n v="14"/>
    <n v="196"/>
    <x v="1"/>
    <x v="1"/>
  </r>
  <r>
    <n v="223"/>
    <n v="43"/>
    <n v="976971"/>
    <d v="2002-04-19T00:00:00"/>
    <s v="OH"/>
    <s v="250/500"/>
    <n v="500"/>
    <n v="1734.09"/>
    <n v="0"/>
    <n v="451400"/>
    <s v="FEMALE"/>
    <s v="MD"/>
    <s v="adm-clerical"/>
    <s v="camping"/>
    <s v="not-in-family"/>
    <n v="0"/>
    <n v="0"/>
    <d v="2015-01-12T00:00:00"/>
    <s v="Parked Car"/>
    <s v="?"/>
    <s v="Trivial Damage"/>
    <s v="None"/>
    <x v="4"/>
    <x v="2"/>
    <s v="4964 Elm Lane"/>
    <n v="6"/>
    <n v="1"/>
    <s v="YES"/>
    <n v="0"/>
    <n v="3"/>
    <s v="?"/>
    <n v="5200"/>
    <n v="650"/>
    <n v="650"/>
    <n v="3900"/>
    <s v="Accura"/>
    <s v="MDX"/>
    <n v="2006"/>
    <s v="N"/>
    <n v="2.9969626935778551"/>
    <n v="-3465.91"/>
    <n v="0.33341472793693516"/>
    <n v="9"/>
    <n v="223"/>
    <x v="1"/>
    <x v="1"/>
  </r>
  <r>
    <n v="328"/>
    <n v="48"/>
    <n v="630226"/>
    <d v="2005-12-10T00:00:00"/>
    <s v="IL"/>
    <s v="250/500"/>
    <n v="500"/>
    <n v="1411.43"/>
    <n v="0"/>
    <n v="464874"/>
    <s v="MALE"/>
    <s v="Masters"/>
    <s v="armed-forces"/>
    <s v="bungie-jumping"/>
    <s v="own-child"/>
    <n v="45100"/>
    <n v="-32800"/>
    <d v="2015-01-16T00:00:00"/>
    <s v="Single Vehicle Collision"/>
    <s v="Front Collision"/>
    <s v="Major Damage"/>
    <s v="Ambulance"/>
    <x v="2"/>
    <x v="1"/>
    <s v="9588 Solo St"/>
    <n v="17"/>
    <n v="1"/>
    <s v="YES"/>
    <n v="2"/>
    <n v="1"/>
    <s v="NO"/>
    <n v="59400"/>
    <n v="5940"/>
    <n v="11880"/>
    <n v="41580"/>
    <s v="Honda"/>
    <s v="Civic"/>
    <n v="2014"/>
    <s v="N"/>
    <n v="42.055181495720142"/>
    <n v="-57988.57"/>
    <n v="2.3761047793808186E-2"/>
    <n v="1"/>
    <n v="328"/>
    <x v="0"/>
    <x v="0"/>
  </r>
  <r>
    <n v="285"/>
    <n v="43"/>
    <n v="171254"/>
    <d v="1994-11-07T00:00:00"/>
    <s v="OH"/>
    <s v="100/300"/>
    <n v="2000"/>
    <n v="1512.58"/>
    <n v="0"/>
    <n v="452496"/>
    <s v="FEMALE"/>
    <s v="College"/>
    <s v="sales"/>
    <s v="paintball"/>
    <s v="other-relative"/>
    <n v="47600"/>
    <n v="0"/>
    <d v="2015-01-13T00:00:00"/>
    <s v="Vehicle Theft"/>
    <s v="?"/>
    <s v="Minor Damage"/>
    <s v="Police"/>
    <x v="0"/>
    <x v="2"/>
    <s v="8718 Apache Lane"/>
    <n v="7"/>
    <n v="1"/>
    <s v="?"/>
    <n v="1"/>
    <n v="1"/>
    <s v="?"/>
    <n v="2520"/>
    <n v="280"/>
    <n v="280"/>
    <n v="1960"/>
    <s v="BMW"/>
    <s v="3 Series"/>
    <n v="1997"/>
    <s v="N"/>
    <n v="1.6649268621414131"/>
    <n v="-1007.4200000000001"/>
    <n v="0.59999206664022209"/>
    <n v="18"/>
    <n v="285"/>
    <x v="1"/>
    <x v="1"/>
  </r>
  <r>
    <n v="30"/>
    <n v="31"/>
    <n v="247116"/>
    <d v="2012-06-02T00:00:00"/>
    <s v="IL"/>
    <s v="250/500"/>
    <n v="2000"/>
    <n v="1153.3499999999999"/>
    <n v="0"/>
    <n v="430714"/>
    <s v="MALE"/>
    <s v="PhD"/>
    <s v="craft-repair"/>
    <s v="golf"/>
    <s v="not-in-family"/>
    <n v="0"/>
    <n v="0"/>
    <d v="2015-02-02T00:00:00"/>
    <s v="Vehicle Theft"/>
    <s v="?"/>
    <s v="Trivial Damage"/>
    <s v="Police"/>
    <x v="2"/>
    <x v="4"/>
    <s v="3590 Best Hwy"/>
    <n v="9"/>
    <n v="1"/>
    <s v="NO"/>
    <n v="2"/>
    <n v="1"/>
    <s v="YES"/>
    <n v="5760"/>
    <n v="960"/>
    <n v="960"/>
    <n v="3840"/>
    <s v="Suburu"/>
    <s v="Impreza"/>
    <n v="2011"/>
    <s v="N"/>
    <n v="4.9898211114480011"/>
    <n v="-4606.6499999999996"/>
    <n v="0.20019961812185383"/>
    <n v="4"/>
    <n v="30"/>
    <x v="1"/>
    <x v="1"/>
  </r>
  <r>
    <n v="342"/>
    <n v="49"/>
    <n v="505969"/>
    <d v="1998-04-07T00:00:00"/>
    <s v="OH"/>
    <s v="250/500"/>
    <n v="500"/>
    <n v="1722.95"/>
    <n v="0"/>
    <n v="472634"/>
    <s v="MALE"/>
    <s v="PhD"/>
    <s v="transport-moving"/>
    <s v="base-jumping"/>
    <s v="not-in-family"/>
    <n v="63100"/>
    <n v="-13800"/>
    <d v="2015-02-28T00:00:00"/>
    <s v="Single Vehicle Collision"/>
    <s v="Rear Collision"/>
    <s v="Minor Damage"/>
    <s v="Fire"/>
    <x v="4"/>
    <x v="4"/>
    <s v="6149 Best Ridge"/>
    <n v="3"/>
    <n v="1"/>
    <s v="?"/>
    <n v="2"/>
    <n v="0"/>
    <s v="YES"/>
    <n v="76700"/>
    <n v="7670"/>
    <n v="7670"/>
    <n v="61360"/>
    <s v="Suburu"/>
    <s v="Legacy"/>
    <n v="2006"/>
    <s v="N"/>
    <n v="44.490849502595779"/>
    <n v="-74977.05"/>
    <n v="2.2463201262043521E-2"/>
    <n v="9"/>
    <n v="342"/>
    <x v="0"/>
    <x v="0"/>
  </r>
  <r>
    <n v="219"/>
    <n v="39"/>
    <n v="653864"/>
    <d v="2007-04-25T00:00:00"/>
    <s v="IN"/>
    <s v="250/500"/>
    <n v="2000"/>
    <n v="1281.07"/>
    <n v="7000000"/>
    <n v="608371"/>
    <s v="FEMALE"/>
    <s v="High School"/>
    <s v="protective-serv"/>
    <s v="board-games"/>
    <s v="unmarried"/>
    <n v="0"/>
    <n v="0"/>
    <d v="2015-01-18T00:00:00"/>
    <s v="Parked Car"/>
    <s v="?"/>
    <s v="Trivial Damage"/>
    <s v="Police"/>
    <x v="2"/>
    <x v="3"/>
    <s v="4116 Embaracadero Lane"/>
    <n v="6"/>
    <n v="1"/>
    <s v="NO"/>
    <n v="0"/>
    <n v="2"/>
    <s v="NO"/>
    <n v="5920"/>
    <n v="740"/>
    <n v="740"/>
    <n v="4440"/>
    <s v="Chevrolet"/>
    <s v="Malibu"/>
    <n v="2015"/>
    <s v="N"/>
    <n v="4.6175325840242731"/>
    <n v="-4638.93"/>
    <n v="0.21636041209255191"/>
    <n v="0"/>
    <n v="219"/>
    <x v="1"/>
    <x v="1"/>
  </r>
  <r>
    <n v="468"/>
    <n v="62"/>
    <n v="586367"/>
    <d v="2000-06-30T00:00:00"/>
    <s v="IL"/>
    <s v="100/300"/>
    <n v="500"/>
    <n v="1011.92"/>
    <n v="0"/>
    <n v="468168"/>
    <s v="MALE"/>
    <s v="PhD"/>
    <s v="machine-op-inspct"/>
    <s v="paintball"/>
    <s v="wife"/>
    <n v="0"/>
    <n v="0"/>
    <d v="2015-02-15T00:00:00"/>
    <s v="Multi-vehicle Collision"/>
    <s v="Rear Collision"/>
    <s v="Major Damage"/>
    <s v="Fire"/>
    <x v="0"/>
    <x v="1"/>
    <s v="3486 Flute Ave"/>
    <n v="7"/>
    <n v="3"/>
    <s v="YES"/>
    <n v="0"/>
    <n v="3"/>
    <s v="?"/>
    <n v="64350"/>
    <n v="7150"/>
    <n v="7150"/>
    <n v="50050"/>
    <s v="Chevrolet"/>
    <s v="Tahoe"/>
    <n v="2009"/>
    <s v="N"/>
    <n v="63.529202701101767"/>
    <n v="-63338.080000000002"/>
    <n v="1.5725008158381376E-2"/>
    <n v="6"/>
    <n v="468"/>
    <x v="0"/>
    <x v="0"/>
  </r>
  <r>
    <n v="241"/>
    <n v="39"/>
    <n v="896890"/>
    <d v="1996-06-04T00:00:00"/>
    <s v="IL"/>
    <s v="250/500"/>
    <n v="2000"/>
    <n v="1042.26"/>
    <n v="0"/>
    <n v="464107"/>
    <s v="MALE"/>
    <s v="JD"/>
    <s v="sales"/>
    <s v="kayaking"/>
    <s v="husband"/>
    <n v="0"/>
    <n v="0"/>
    <d v="2015-01-31T00:00:00"/>
    <s v="Multi-vehicle Collision"/>
    <s v="Rear Collision"/>
    <s v="Total Loss"/>
    <s v="Ambulance"/>
    <x v="4"/>
    <x v="5"/>
    <s v="5994 5th Ave"/>
    <n v="21"/>
    <n v="3"/>
    <s v="NO"/>
    <n v="1"/>
    <n v="2"/>
    <s v="?"/>
    <n v="19080"/>
    <n v="4240"/>
    <n v="2120"/>
    <n v="12720"/>
    <s v="Saab"/>
    <n v="93"/>
    <n v="1995"/>
    <s v="N"/>
    <n v="18.288825412648812"/>
    <n v="-18037.740000000002"/>
    <n v="5.462292332686966E-2"/>
    <n v="20"/>
    <n v="241"/>
    <x v="2"/>
    <x v="0"/>
  </r>
  <r>
    <n v="223"/>
    <n v="43"/>
    <n v="650026"/>
    <d v="2009-05-09T00:00:00"/>
    <s v="OH"/>
    <s v="500/1000"/>
    <n v="500"/>
    <n v="1235.0999999999999"/>
    <n v="0"/>
    <n v="466959"/>
    <s v="FEMALE"/>
    <s v="Masters"/>
    <s v="tech-support"/>
    <s v="exercise"/>
    <s v="not-in-family"/>
    <n v="66400"/>
    <n v="-34400"/>
    <d v="2015-02-10T00:00:00"/>
    <s v="Single Vehicle Collision"/>
    <s v="Rear Collision"/>
    <s v="Minor Damage"/>
    <s v="Police"/>
    <x v="0"/>
    <x v="3"/>
    <s v="9138 3rd St"/>
    <n v="14"/>
    <n v="1"/>
    <s v="NO"/>
    <n v="2"/>
    <n v="1"/>
    <s v="NO"/>
    <n v="54400"/>
    <n v="5440"/>
    <n v="5440"/>
    <n v="43520"/>
    <s v="BMW"/>
    <s v="M5"/>
    <n v="2011"/>
    <s v="N"/>
    <n v="44.009384354016667"/>
    <n v="-53164.9"/>
    <n v="2.2703626771566697E-2"/>
    <n v="4"/>
    <n v="223"/>
    <x v="0"/>
    <x v="0"/>
  </r>
  <r>
    <n v="128"/>
    <n v="32"/>
    <n v="547744"/>
    <d v="2001-07-08T00:00:00"/>
    <s v="OH"/>
    <s v="100/300"/>
    <n v="2000"/>
    <n v="768.91"/>
    <n v="0"/>
    <n v="443522"/>
    <s v="FEMALE"/>
    <s v="College"/>
    <s v="sales"/>
    <s v="chess"/>
    <s v="other-relative"/>
    <n v="0"/>
    <n v="-39300"/>
    <d v="2015-02-26T00:00:00"/>
    <s v="Single Vehicle Collision"/>
    <s v="Rear Collision"/>
    <s v="Total Loss"/>
    <s v="Fire"/>
    <x v="0"/>
    <x v="0"/>
    <s v="3743 Andromedia Ridge"/>
    <n v="0"/>
    <n v="1"/>
    <s v="?"/>
    <n v="1"/>
    <n v="0"/>
    <s v="NO"/>
    <n v="59800"/>
    <n v="5980"/>
    <n v="5980"/>
    <n v="47840"/>
    <s v="Ford"/>
    <s v="F150"/>
    <n v="1999"/>
    <s v="Y"/>
    <n v="77.671416139548782"/>
    <n v="-59031.09"/>
    <n v="1.2857811742278557E-2"/>
    <n v="16"/>
    <n v="128"/>
    <x v="0"/>
    <x v="0"/>
  </r>
  <r>
    <n v="124"/>
    <n v="29"/>
    <n v="598124"/>
    <d v="1993-09-20T00:00:00"/>
    <s v="OH"/>
    <s v="500/1000"/>
    <n v="500"/>
    <n v="1301.72"/>
    <n v="0"/>
    <n v="441726"/>
    <s v="MALE"/>
    <s v="Masters"/>
    <s v="handlers-cleaners"/>
    <s v="golf"/>
    <s v="husband"/>
    <n v="0"/>
    <n v="0"/>
    <d v="2015-02-25T00:00:00"/>
    <s v="Multi-vehicle Collision"/>
    <s v="Side Collision"/>
    <s v="Major Damage"/>
    <s v="Police"/>
    <x v="1"/>
    <x v="3"/>
    <s v="7644 Tree Ridge"/>
    <n v="14"/>
    <n v="3"/>
    <s v="?"/>
    <n v="0"/>
    <n v="3"/>
    <s v="YES"/>
    <n v="72000"/>
    <n v="7200"/>
    <n v="7200"/>
    <n v="57600"/>
    <s v="Audi"/>
    <s v="A3"/>
    <n v="2005"/>
    <s v="N"/>
    <n v="55.268975681650701"/>
    <n v="-70698.28"/>
    <n v="1.8079193344536882E-2"/>
    <n v="10"/>
    <n v="124"/>
    <x v="0"/>
    <x v="0"/>
  </r>
  <r>
    <n v="343"/>
    <n v="48"/>
    <n v="436126"/>
    <d v="2009-11-03T00:00:00"/>
    <s v="IN"/>
    <s v="250/500"/>
    <n v="500"/>
    <n v="1451.54"/>
    <n v="3000000"/>
    <n v="473412"/>
    <s v="MALE"/>
    <s v="JD"/>
    <s v="adm-clerical"/>
    <s v="hiking"/>
    <s v="husband"/>
    <n v="0"/>
    <n v="0"/>
    <d v="2015-01-08T00:00:00"/>
    <s v="Multi-vehicle Collision"/>
    <s v="Side Collision"/>
    <s v="Total Loss"/>
    <s v="Police"/>
    <x v="0"/>
    <x v="1"/>
    <s v="3167 2nd St"/>
    <n v="13"/>
    <n v="4"/>
    <s v="NO"/>
    <n v="2"/>
    <n v="3"/>
    <s v="NO"/>
    <n v="65070"/>
    <n v="7230"/>
    <n v="14460"/>
    <n v="43380"/>
    <s v="Mercedes"/>
    <s v="C300"/>
    <n v="2003"/>
    <s v="N"/>
    <n v="44.797389400636128"/>
    <n v="-63618.46"/>
    <n v="2.2307018487498272E-2"/>
    <n v="12"/>
    <n v="343"/>
    <x v="0"/>
    <x v="0"/>
  </r>
  <r>
    <n v="404"/>
    <n v="53"/>
    <n v="739447"/>
    <d v="2014-12-10T00:00:00"/>
    <s v="IN"/>
    <s v="250/500"/>
    <n v="500"/>
    <n v="767.14"/>
    <n v="0"/>
    <n v="466201"/>
    <s v="MALE"/>
    <s v="Associate"/>
    <s v="sales"/>
    <s v="reading"/>
    <s v="not-in-family"/>
    <n v="25500"/>
    <n v="-36700"/>
    <d v="2015-01-14T00:00:00"/>
    <s v="Parked Car"/>
    <s v="?"/>
    <s v="Trivial Damage"/>
    <s v="Police"/>
    <x v="4"/>
    <x v="0"/>
    <s v="3327 Lincoln Drive"/>
    <n v="8"/>
    <n v="1"/>
    <s v="NO"/>
    <n v="0"/>
    <n v="1"/>
    <s v="NO"/>
    <n v="8800"/>
    <n v="1760"/>
    <n v="880"/>
    <n v="6160"/>
    <s v="Suburu"/>
    <s v="Legacy"/>
    <n v="2002"/>
    <s v="N"/>
    <n v="11.456244955346682"/>
    <n v="-8032.86"/>
    <n v="8.7165094875582314E-2"/>
    <n v="13"/>
    <n v="404"/>
    <x v="2"/>
    <x v="0"/>
  </r>
  <r>
    <n v="63"/>
    <n v="24"/>
    <n v="427484"/>
    <d v="1994-01-08T00:00:00"/>
    <s v="OH"/>
    <s v="250/500"/>
    <n v="2000"/>
    <n v="1620.89"/>
    <n v="0"/>
    <n v="469621"/>
    <s v="FEMALE"/>
    <s v="High School"/>
    <s v="handlers-cleaners"/>
    <s v="movies"/>
    <s v="other-relative"/>
    <n v="0"/>
    <n v="0"/>
    <d v="2015-02-03T00:00:00"/>
    <s v="Vehicle Theft"/>
    <s v="?"/>
    <s v="Minor Damage"/>
    <s v="Police"/>
    <x v="5"/>
    <x v="4"/>
    <s v="8621 Best Ridge"/>
    <n v="7"/>
    <n v="1"/>
    <s v="NO"/>
    <n v="2"/>
    <n v="0"/>
    <s v="NO"/>
    <n v="6120"/>
    <n v="1020"/>
    <n v="1020"/>
    <n v="4080"/>
    <s v="Toyota"/>
    <s v="Corolla"/>
    <n v="2015"/>
    <s v="N"/>
    <n v="3.7733755063536982"/>
    <n v="-4499.1099999999997"/>
    <n v="0.26480803790230356"/>
    <n v="0"/>
    <n v="63"/>
    <x v="1"/>
    <x v="1"/>
  </r>
  <r>
    <n v="210"/>
    <n v="37"/>
    <n v="218684"/>
    <d v="2006-08-05T00:00:00"/>
    <s v="IN"/>
    <s v="500/1000"/>
    <n v="2000"/>
    <n v="1048.46"/>
    <n v="0"/>
    <n v="466676"/>
    <s v="MALE"/>
    <s v="High School"/>
    <s v="priv-house-serv"/>
    <s v="skydiving"/>
    <s v="not-in-family"/>
    <n v="59900"/>
    <n v="0"/>
    <d v="2015-01-05T00:00:00"/>
    <s v="Vehicle Theft"/>
    <s v="?"/>
    <s v="Trivial Damage"/>
    <s v="None"/>
    <x v="3"/>
    <x v="0"/>
    <s v="3878 Tree Lane"/>
    <n v="9"/>
    <n v="1"/>
    <s v="?"/>
    <n v="1"/>
    <n v="2"/>
    <s v="?"/>
    <n v="7080"/>
    <n v="1180"/>
    <n v="590"/>
    <n v="5310"/>
    <s v="Dodge"/>
    <s v="RAM"/>
    <n v="1999"/>
    <s v="N"/>
    <n v="6.7463266822937511"/>
    <n v="-6031.54"/>
    <n v="0.1480666572518006"/>
    <n v="16"/>
    <n v="210"/>
    <x v="2"/>
    <x v="0"/>
  </r>
  <r>
    <n v="335"/>
    <n v="50"/>
    <n v="565564"/>
    <d v="2007-02-07T00:00:00"/>
    <s v="OH"/>
    <s v="100/300"/>
    <n v="1000"/>
    <n v="1538.26"/>
    <n v="6000000"/>
    <n v="615346"/>
    <s v="MALE"/>
    <s v="High School"/>
    <s v="sales"/>
    <s v="yachting"/>
    <s v="other-relative"/>
    <n v="62200"/>
    <n v="-31400"/>
    <d v="2015-01-24T00:00:00"/>
    <s v="Multi-vehicle Collision"/>
    <s v="Side Collision"/>
    <s v="Minor Damage"/>
    <s v="Ambulance"/>
    <x v="2"/>
    <x v="1"/>
    <s v="9760 Solo Lane"/>
    <n v="12"/>
    <n v="3"/>
    <s v="YES"/>
    <n v="2"/>
    <n v="3"/>
    <s v="YES"/>
    <n v="34320"/>
    <n v="8580"/>
    <n v="4290"/>
    <n v="21450"/>
    <s v="Volkswagen"/>
    <s v="Passat"/>
    <n v="2009"/>
    <s v="N"/>
    <n v="22.296428153788185"/>
    <n v="-32781.74"/>
    <n v="4.4819789633169196E-2"/>
    <n v="6"/>
    <n v="335"/>
    <x v="0"/>
    <x v="0"/>
  </r>
  <r>
    <n v="11"/>
    <n v="40"/>
    <n v="743163"/>
    <d v="2001-04-09T00:00:00"/>
    <s v="OH"/>
    <s v="500/1000"/>
    <n v="2000"/>
    <n v="1217.69"/>
    <n v="0"/>
    <n v="440106"/>
    <s v="FEMALE"/>
    <s v="MD"/>
    <s v="prof-specialty"/>
    <s v="reading"/>
    <s v="wife"/>
    <n v="24000"/>
    <n v="0"/>
    <d v="2015-01-26T00:00:00"/>
    <s v="Multi-vehicle Collision"/>
    <s v="Side Collision"/>
    <s v="Major Damage"/>
    <s v="Other"/>
    <x v="0"/>
    <x v="3"/>
    <s v="9138 1st St"/>
    <n v="6"/>
    <n v="3"/>
    <s v="?"/>
    <n v="1"/>
    <n v="0"/>
    <s v="?"/>
    <n v="53460"/>
    <n v="9720"/>
    <n v="9720"/>
    <n v="34020"/>
    <s v="Dodge"/>
    <s v="Neon"/>
    <n v="2004"/>
    <s v="Y"/>
    <n v="43.866774979691307"/>
    <n v="-52242.31"/>
    <n v="2.2777164662090121E-2"/>
    <n v="11"/>
    <n v="11"/>
    <x v="0"/>
    <x v="0"/>
  </r>
  <r>
    <n v="142"/>
    <n v="33"/>
    <n v="604614"/>
    <d v="1995-02-17T00:00:00"/>
    <s v="IN"/>
    <s v="100/300"/>
    <n v="2000"/>
    <n v="1362.64"/>
    <n v="5000000"/>
    <n v="450332"/>
    <s v="FEMALE"/>
    <s v="JD"/>
    <s v="exec-managerial"/>
    <s v="cross-fit"/>
    <s v="wife"/>
    <n v="0"/>
    <n v="0"/>
    <d v="2015-01-21T00:00:00"/>
    <s v="Single Vehicle Collision"/>
    <s v="Side Collision"/>
    <s v="Total Loss"/>
    <s v="Other"/>
    <x v="5"/>
    <x v="0"/>
    <s v="3414 Elm Ave"/>
    <n v="11"/>
    <n v="1"/>
    <s v="YES"/>
    <n v="1"/>
    <n v="3"/>
    <s v="?"/>
    <n v="81360"/>
    <n v="6780"/>
    <n v="13560"/>
    <n v="61020"/>
    <s v="Suburu"/>
    <s v="Legacy"/>
    <n v="2009"/>
    <s v="Y"/>
    <n v="59.663840896424269"/>
    <n v="-79997.36"/>
    <n v="1.6748073401261047E-2"/>
    <n v="6"/>
    <n v="142"/>
    <x v="0"/>
    <x v="0"/>
  </r>
  <r>
    <n v="272"/>
    <n v="43"/>
    <n v="509928"/>
    <d v="1995-07-25T00:00:00"/>
    <s v="OH"/>
    <s v="100/300"/>
    <n v="1000"/>
    <n v="1279.1300000000001"/>
    <n v="0"/>
    <n v="615226"/>
    <s v="MALE"/>
    <s v="PhD"/>
    <s v="craft-repair"/>
    <s v="bungie-jumping"/>
    <s v="other-relative"/>
    <n v="0"/>
    <n v="0"/>
    <d v="2015-02-06T00:00:00"/>
    <s v="Multi-vehicle Collision"/>
    <s v="Side Collision"/>
    <s v="Minor Damage"/>
    <s v="Ambulance"/>
    <x v="5"/>
    <x v="3"/>
    <s v="3172 Tree Ridge"/>
    <n v="5"/>
    <n v="3"/>
    <s v="?"/>
    <n v="1"/>
    <n v="2"/>
    <s v="YES"/>
    <n v="81070"/>
    <n v="7370"/>
    <n v="14740"/>
    <n v="58960"/>
    <s v="Audi"/>
    <s v="A3"/>
    <n v="2006"/>
    <s v="Y"/>
    <n v="63.329505597087788"/>
    <n v="-79790.87"/>
    <n v="1.5777898385365915E-2"/>
    <n v="9"/>
    <n v="272"/>
    <x v="0"/>
    <x v="0"/>
  </r>
  <r>
    <n v="69"/>
    <n v="26"/>
    <n v="593390"/>
    <d v="2006-03-24T00:00:00"/>
    <s v="IL"/>
    <s v="100/300"/>
    <n v="2000"/>
    <n v="924.72"/>
    <n v="0"/>
    <n v="437688"/>
    <s v="FEMALE"/>
    <s v="High School"/>
    <s v="machine-op-inspct"/>
    <s v="base-jumping"/>
    <s v="unmarried"/>
    <n v="0"/>
    <n v="0"/>
    <d v="2015-01-07T00:00:00"/>
    <s v="Single Vehicle Collision"/>
    <s v="Front Collision"/>
    <s v="Minor Damage"/>
    <s v="Fire"/>
    <x v="2"/>
    <x v="0"/>
    <s v="6104 Oak Ave"/>
    <n v="14"/>
    <n v="1"/>
    <s v="NO"/>
    <n v="2"/>
    <n v="2"/>
    <s v="NO"/>
    <n v="63120"/>
    <n v="5260"/>
    <n v="10520"/>
    <n v="47340"/>
    <s v="Audi"/>
    <s v="A5"/>
    <n v="2008"/>
    <s v="N"/>
    <n v="68.184764291578446"/>
    <n v="-62195.28"/>
    <n v="1.4649958017141682E-2"/>
    <n v="7"/>
    <n v="69"/>
    <x v="0"/>
    <x v="0"/>
  </r>
  <r>
    <n v="38"/>
    <n v="28"/>
    <n v="970607"/>
    <d v="1995-03-28T00:00:00"/>
    <s v="OH"/>
    <s v="250/500"/>
    <n v="1000"/>
    <n v="1019.44"/>
    <n v="0"/>
    <n v="437387"/>
    <s v="MALE"/>
    <s v="Masters"/>
    <s v="transport-moving"/>
    <s v="yachting"/>
    <s v="not-in-family"/>
    <n v="0"/>
    <n v="-39700"/>
    <d v="2015-02-10T00:00:00"/>
    <s v="Vehicle Theft"/>
    <s v="?"/>
    <s v="Trivial Damage"/>
    <s v="None"/>
    <x v="5"/>
    <x v="3"/>
    <s v="9742 5th Ridge"/>
    <n v="17"/>
    <n v="1"/>
    <s v="?"/>
    <n v="2"/>
    <n v="1"/>
    <s v="NO"/>
    <n v="7200"/>
    <n v="1440"/>
    <n v="720"/>
    <n v="5040"/>
    <s v="BMW"/>
    <s v="X5"/>
    <n v="2004"/>
    <s v="N"/>
    <n v="7.0557798596683776"/>
    <n v="-6180.5599999999995"/>
    <n v="0.14156922649631995"/>
    <n v="11"/>
    <n v="38"/>
    <x v="2"/>
    <x v="0"/>
  </r>
  <r>
    <n v="328"/>
    <n v="46"/>
    <n v="174701"/>
    <d v="1996-06-19T00:00:00"/>
    <s v="IL"/>
    <s v="500/1000"/>
    <n v="500"/>
    <n v="1314.6"/>
    <n v="0"/>
    <n v="458139"/>
    <s v="FEMALE"/>
    <s v="MD"/>
    <s v="prof-specialty"/>
    <s v="exercise"/>
    <s v="not-in-family"/>
    <n v="24800"/>
    <n v="0"/>
    <d v="2015-02-23T00:00:00"/>
    <s v="Single Vehicle Collision"/>
    <s v="Rear Collision"/>
    <s v="Total Loss"/>
    <s v="Other"/>
    <x v="4"/>
    <x v="4"/>
    <s v="8782 3rd St"/>
    <n v="0"/>
    <n v="1"/>
    <s v="?"/>
    <n v="2"/>
    <n v="3"/>
    <s v="?"/>
    <n v="70290"/>
    <n v="12780"/>
    <n v="6390"/>
    <n v="51120"/>
    <s v="Saab"/>
    <s v="92x"/>
    <n v="1998"/>
    <s v="Y"/>
    <n v="53.428093645484957"/>
    <n v="-68975.399999999994"/>
    <n v="1.8702252066409637E-2"/>
    <n v="17"/>
    <n v="328"/>
    <x v="0"/>
    <x v="0"/>
  </r>
  <r>
    <n v="281"/>
    <n v="43"/>
    <n v="529398"/>
    <d v="1993-06-16T00:00:00"/>
    <s v="OH"/>
    <s v="100/300"/>
    <n v="1000"/>
    <n v="1515.18"/>
    <n v="6000000"/>
    <n v="443191"/>
    <s v="MALE"/>
    <s v="College"/>
    <s v="priv-house-serv"/>
    <s v="camping"/>
    <s v="other-relative"/>
    <n v="0"/>
    <n v="0"/>
    <d v="2015-01-09T00:00:00"/>
    <s v="Multi-vehicle Collision"/>
    <s v="Side Collision"/>
    <s v="Minor Damage"/>
    <s v="Fire"/>
    <x v="0"/>
    <x v="6"/>
    <s v="9798 Sky Ridge"/>
    <n v="21"/>
    <n v="3"/>
    <s v="NO"/>
    <n v="1"/>
    <n v="0"/>
    <s v="NO"/>
    <n v="60190"/>
    <n v="9260"/>
    <n v="9260"/>
    <n v="41670"/>
    <s v="BMW"/>
    <s v="X6"/>
    <n v="1999"/>
    <s v="N"/>
    <n v="39.698452690313815"/>
    <n v="-58674.82"/>
    <n v="2.5172866375371736E-2"/>
    <n v="16"/>
    <n v="281"/>
    <x v="0"/>
    <x v="0"/>
  </r>
  <r>
    <n v="246"/>
    <n v="44"/>
    <n v="940942"/>
    <d v="2001-07-11T00:00:00"/>
    <s v="OH"/>
    <s v="250/500"/>
    <n v="2000"/>
    <n v="1649.18"/>
    <n v="0"/>
    <n v="613647"/>
    <s v="MALE"/>
    <s v="College"/>
    <s v="farming-fishing"/>
    <s v="base-jumping"/>
    <s v="other-relative"/>
    <n v="0"/>
    <n v="-58600"/>
    <d v="2015-02-22T00:00:00"/>
    <s v="Single Vehicle Collision"/>
    <s v="Front Collision"/>
    <s v="Major Damage"/>
    <s v="Other"/>
    <x v="2"/>
    <x v="4"/>
    <s v="5483 Francis Drive"/>
    <n v="18"/>
    <n v="1"/>
    <s v="YES"/>
    <n v="1"/>
    <n v="2"/>
    <s v="YES"/>
    <n v="61380"/>
    <n v="11160"/>
    <n v="5580"/>
    <n v="44640"/>
    <s v="Honda"/>
    <s v="Civic"/>
    <n v="2009"/>
    <s v="Y"/>
    <n v="37.195942260844269"/>
    <n v="-59730.82"/>
    <n v="2.6867923298740652E-2"/>
    <n v="6"/>
    <n v="246"/>
    <x v="0"/>
    <x v="0"/>
  </r>
  <r>
    <n v="298"/>
    <n v="49"/>
    <n v="442677"/>
    <d v="2008-11-22T00:00:00"/>
    <s v="OH"/>
    <s v="250/500"/>
    <n v="500"/>
    <n v="1451.01"/>
    <n v="0"/>
    <n v="460820"/>
    <s v="FEMALE"/>
    <s v="College"/>
    <s v="other-service"/>
    <s v="exercise"/>
    <s v="own-child"/>
    <n v="47800"/>
    <n v="0"/>
    <d v="2015-02-21T00:00:00"/>
    <s v="Single Vehicle Collision"/>
    <s v="Front Collision"/>
    <s v="Minor Damage"/>
    <s v="Ambulance"/>
    <x v="2"/>
    <x v="3"/>
    <s v="2005 Texas Hwy"/>
    <n v="17"/>
    <n v="1"/>
    <s v="NO"/>
    <n v="2"/>
    <n v="2"/>
    <s v="NO"/>
    <n v="28100"/>
    <n v="2810"/>
    <n v="5620"/>
    <n v="19670"/>
    <s v="Jeep"/>
    <s v="Grand Cherokee"/>
    <n v="2012"/>
    <s v="N"/>
    <n v="19.352483798320947"/>
    <n v="-26648.99"/>
    <n v="5.1635528984733642E-2"/>
    <n v="3"/>
    <n v="298"/>
    <x v="2"/>
    <x v="0"/>
  </r>
  <r>
    <n v="330"/>
    <n v="50"/>
    <n v="365364"/>
    <d v="2002-12-28T00:00:00"/>
    <s v="IL"/>
    <s v="500/1000"/>
    <n v="1000"/>
    <n v="978.46"/>
    <n v="0"/>
    <n v="431121"/>
    <s v="FEMALE"/>
    <s v="High School"/>
    <s v="sales"/>
    <s v="yachting"/>
    <s v="husband"/>
    <n v="0"/>
    <n v="0"/>
    <d v="2015-02-04T00:00:00"/>
    <s v="Single Vehicle Collision"/>
    <s v="Side Collision"/>
    <s v="Total Loss"/>
    <s v="Fire"/>
    <x v="2"/>
    <x v="4"/>
    <s v="6634 Texas Ridge"/>
    <n v="19"/>
    <n v="1"/>
    <s v="YES"/>
    <n v="0"/>
    <n v="0"/>
    <s v="NO"/>
    <n v="49060"/>
    <n v="8920"/>
    <n v="8920"/>
    <n v="31220"/>
    <s v="Chevrolet"/>
    <s v="Silverado"/>
    <n v="1995"/>
    <s v="N"/>
    <n v="50.088824454291135"/>
    <n v="-48081.54"/>
    <n v="1.994374350298608E-2"/>
    <n v="20"/>
    <n v="330"/>
    <x v="0"/>
    <x v="0"/>
  </r>
  <r>
    <n v="362"/>
    <n v="50"/>
    <n v="114839"/>
    <d v="2006-01-01T00:00:00"/>
    <s v="IL"/>
    <s v="250/500"/>
    <n v="500"/>
    <n v="1198.3399999999999"/>
    <n v="4000000"/>
    <n v="619735"/>
    <s v="MALE"/>
    <s v="Associate"/>
    <s v="sales"/>
    <s v="board-games"/>
    <s v="wife"/>
    <n v="53000"/>
    <n v="-72500"/>
    <d v="2015-01-07T00:00:00"/>
    <s v="Multi-vehicle Collision"/>
    <s v="Side Collision"/>
    <s v="Total Loss"/>
    <s v="Fire"/>
    <x v="2"/>
    <x v="0"/>
    <s v="8655 Cherokee Lane"/>
    <n v="17"/>
    <n v="3"/>
    <s v="?"/>
    <n v="1"/>
    <n v="1"/>
    <s v="NO"/>
    <n v="57060"/>
    <n v="6340"/>
    <n v="6340"/>
    <n v="44380"/>
    <s v="Mercedes"/>
    <s v="E400"/>
    <n v="1995"/>
    <s v="N"/>
    <n v="47.576166891790486"/>
    <n v="-55861.66"/>
    <n v="2.1001033981178037E-2"/>
    <n v="20"/>
    <n v="362"/>
    <x v="0"/>
    <x v="0"/>
  </r>
  <r>
    <n v="241"/>
    <n v="38"/>
    <n v="872734"/>
    <d v="1990-05-19T00:00:00"/>
    <s v="IN"/>
    <s v="100/300"/>
    <n v="2000"/>
    <n v="1003.23"/>
    <n v="0"/>
    <n v="470485"/>
    <s v="FEMALE"/>
    <s v="Associate"/>
    <s v="tech-support"/>
    <s v="kayaking"/>
    <s v="not-in-family"/>
    <n v="0"/>
    <n v="0"/>
    <d v="2015-01-17T00:00:00"/>
    <s v="Multi-vehicle Collision"/>
    <s v="Side Collision"/>
    <s v="Major Damage"/>
    <s v="Fire"/>
    <x v="1"/>
    <x v="2"/>
    <s v="4955 Lincoln Ridge"/>
    <n v="23"/>
    <n v="3"/>
    <s v="?"/>
    <n v="0"/>
    <n v="3"/>
    <s v="YES"/>
    <n v="77880"/>
    <n v="12980"/>
    <n v="12980"/>
    <n v="51920"/>
    <s v="Accura"/>
    <s v="MDX"/>
    <n v="2008"/>
    <s v="N"/>
    <n v="77.551955229379729"/>
    <n v="-76876.77"/>
    <n v="1.288157573734287E-2"/>
    <n v="7"/>
    <n v="241"/>
    <x v="0"/>
    <x v="0"/>
  </r>
  <r>
    <n v="245"/>
    <n v="41"/>
    <n v="267885"/>
    <d v="2013-08-26T00:00:00"/>
    <s v="IN"/>
    <s v="500/1000"/>
    <n v="2000"/>
    <n v="1212"/>
    <n v="0"/>
    <n v="620473"/>
    <s v="MALE"/>
    <s v="Masters"/>
    <s v="exec-managerial"/>
    <s v="basketball"/>
    <s v="unmarried"/>
    <n v="24400"/>
    <n v="-60500"/>
    <d v="2015-01-28T00:00:00"/>
    <s v="Single Vehicle Collision"/>
    <s v="Front Collision"/>
    <s v="Total Loss"/>
    <s v="Ambulance"/>
    <x v="2"/>
    <x v="3"/>
    <s v="7705 Best Ridge"/>
    <n v="4"/>
    <n v="1"/>
    <s v="YES"/>
    <n v="0"/>
    <n v="1"/>
    <s v="YES"/>
    <n v="73500"/>
    <n v="7350"/>
    <n v="14700"/>
    <n v="51450"/>
    <s v="Jeep"/>
    <s v="Wrangler"/>
    <n v="1999"/>
    <s v="N"/>
    <n v="60.593569661995055"/>
    <n v="-72288"/>
    <n v="1.6489571570454824E-2"/>
    <n v="16"/>
    <n v="245"/>
    <x v="0"/>
    <x v="0"/>
  </r>
  <r>
    <n v="371"/>
    <n v="52"/>
    <n v="740505"/>
    <d v="1997-10-12T00:00:00"/>
    <s v="IL"/>
    <s v="250/500"/>
    <n v="1000"/>
    <n v="1242.96"/>
    <n v="7000000"/>
    <n v="449800"/>
    <s v="FEMALE"/>
    <s v="High School"/>
    <s v="other-service"/>
    <s v="paintball"/>
    <s v="own-child"/>
    <n v="0"/>
    <n v="-37100"/>
    <d v="2015-02-22T00:00:00"/>
    <s v="Multi-vehicle Collision"/>
    <s v="Rear Collision"/>
    <s v="Minor Damage"/>
    <s v="Other"/>
    <x v="2"/>
    <x v="1"/>
    <s v="5838 Pine Lane"/>
    <n v="2"/>
    <n v="2"/>
    <s v="YES"/>
    <n v="2"/>
    <n v="0"/>
    <s v="?"/>
    <n v="88920"/>
    <n v="6840"/>
    <n v="13680"/>
    <n v="68400"/>
    <s v="Accura"/>
    <s v="RSX"/>
    <n v="2010"/>
    <s v="N"/>
    <n v="71.481398115695043"/>
    <n v="-87677.04"/>
    <n v="1.3978250357058512E-2"/>
    <n v="5"/>
    <n v="371"/>
    <x v="0"/>
    <x v="0"/>
  </r>
  <r>
    <n v="343"/>
    <n v="52"/>
    <n v="629663"/>
    <d v="2002-01-21T00:00:00"/>
    <s v="IL"/>
    <s v="500/1000"/>
    <n v="1000"/>
    <n v="1053.02"/>
    <n v="0"/>
    <n v="602402"/>
    <s v="FEMALE"/>
    <s v="Associate"/>
    <s v="prof-specialty"/>
    <s v="bungie-jumping"/>
    <s v="not-in-family"/>
    <n v="0"/>
    <n v="0"/>
    <d v="2015-02-16T00:00:00"/>
    <s v="Single Vehicle Collision"/>
    <s v="Front Collision"/>
    <s v="Major Damage"/>
    <s v="Other"/>
    <x v="2"/>
    <x v="2"/>
    <s v="7331 Sky Hwy"/>
    <n v="2"/>
    <n v="1"/>
    <s v="?"/>
    <n v="0"/>
    <n v="2"/>
    <s v="NO"/>
    <n v="47630"/>
    <n v="12990"/>
    <n v="4330"/>
    <n v="30310"/>
    <s v="Toyota"/>
    <s v="Corolla"/>
    <n v="2005"/>
    <s v="Y"/>
    <n v="45.188895846378628"/>
    <n v="-46576.98"/>
    <n v="2.2107870924397977E-2"/>
    <n v="10"/>
    <n v="343"/>
    <x v="0"/>
    <x v="0"/>
  </r>
  <r>
    <n v="377"/>
    <n v="53"/>
    <n v="839884"/>
    <d v="1996-09-02T00:00:00"/>
    <s v="IL"/>
    <s v="100/300"/>
    <n v="500"/>
    <n v="1693.63"/>
    <n v="0"/>
    <n v="452456"/>
    <s v="FEMALE"/>
    <s v="MD"/>
    <s v="craft-repair"/>
    <s v="kayaking"/>
    <s v="unmarried"/>
    <n v="0"/>
    <n v="-64000"/>
    <d v="2015-02-17T00:00:00"/>
    <s v="Multi-vehicle Collision"/>
    <s v="Front Collision"/>
    <s v="Total Loss"/>
    <s v="Fire"/>
    <x v="4"/>
    <x v="4"/>
    <s v="5640 Embaracadero Lane"/>
    <n v="10"/>
    <n v="3"/>
    <s v="YES"/>
    <n v="1"/>
    <n v="3"/>
    <s v="NO"/>
    <n v="59040"/>
    <n v="6560"/>
    <n v="6560"/>
    <n v="45920"/>
    <s v="Saab"/>
    <n v="93"/>
    <n v="2015"/>
    <s v="N"/>
    <n v="34.839463481703966"/>
    <n v="-57346.37"/>
    <n v="2.8685659118239868E-2"/>
    <n v="0"/>
    <n v="377"/>
    <x v="0"/>
    <x v="0"/>
  </r>
  <r>
    <n v="154"/>
    <n v="37"/>
    <n v="241562"/>
    <d v="2010-01-28T00:00:00"/>
    <s v="IL"/>
    <s v="250/500"/>
    <n v="1000"/>
    <n v="2047.59"/>
    <n v="0"/>
    <n v="439269"/>
    <s v="FEMALE"/>
    <s v="MD"/>
    <s v="farming-fishing"/>
    <s v="dancing"/>
    <s v="other-relative"/>
    <n v="0"/>
    <n v="-67800"/>
    <d v="2015-01-09T00:00:00"/>
    <s v="Single Vehicle Collision"/>
    <s v="Rear Collision"/>
    <s v="Minor Damage"/>
    <s v="Other"/>
    <x v="0"/>
    <x v="0"/>
    <s v="9610 Cherokee St"/>
    <n v="2"/>
    <n v="1"/>
    <s v="?"/>
    <n v="0"/>
    <n v="3"/>
    <s v="NO"/>
    <n v="79530"/>
    <n v="14460"/>
    <n v="7230"/>
    <n v="57840"/>
    <s v="Accura"/>
    <s v="MDX"/>
    <n v="2000"/>
    <s v="N"/>
    <n v="38.821823790997705"/>
    <n v="-77482.41"/>
    <n v="2.5745809810011188E-2"/>
    <n v="15"/>
    <n v="154"/>
    <x v="0"/>
    <x v="0"/>
  </r>
  <r>
    <n v="166"/>
    <n v="34"/>
    <n v="405533"/>
    <d v="2014-10-03T00:00:00"/>
    <s v="OH"/>
    <s v="100/300"/>
    <n v="1000"/>
    <n v="1083.72"/>
    <n v="0"/>
    <n v="617774"/>
    <s v="FEMALE"/>
    <s v="High School"/>
    <s v="machine-op-inspct"/>
    <s v="base-jumping"/>
    <s v="wife"/>
    <n v="65600"/>
    <n v="-68200"/>
    <d v="2015-02-09T00:00:00"/>
    <s v="Single Vehicle Collision"/>
    <s v="Side Collision"/>
    <s v="Total Loss"/>
    <s v="Other"/>
    <x v="2"/>
    <x v="0"/>
    <s v="3550 Washington Ave"/>
    <n v="18"/>
    <n v="1"/>
    <s v="NO"/>
    <n v="0"/>
    <n v="2"/>
    <s v="YES"/>
    <n v="53680"/>
    <n v="4880"/>
    <n v="4880"/>
    <n v="43920"/>
    <s v="Honda"/>
    <s v="CRV"/>
    <n v="2005"/>
    <s v="N"/>
    <n v="49.487425326351499"/>
    <n v="-52596.28"/>
    <n v="2.0188148506920512E-2"/>
    <n v="10"/>
    <n v="166"/>
    <x v="0"/>
    <x v="0"/>
  </r>
  <r>
    <n v="298"/>
    <n v="46"/>
    <n v="667021"/>
    <d v="2007-05-02T00:00:00"/>
    <s v="OH"/>
    <s v="500/1000"/>
    <n v="1000"/>
    <n v="1138.42"/>
    <n v="6000000"/>
    <n v="477678"/>
    <s v="MALE"/>
    <s v="JD"/>
    <s v="prof-specialty"/>
    <s v="dancing"/>
    <s v="own-child"/>
    <n v="36900"/>
    <n v="-55000"/>
    <d v="2015-02-16T00:00:00"/>
    <s v="Single Vehicle Collision"/>
    <s v="Side Collision"/>
    <s v="Minor Damage"/>
    <s v="Police"/>
    <x v="0"/>
    <x v="2"/>
    <s v="5277 Texas Lane"/>
    <n v="18"/>
    <n v="1"/>
    <s v="NO"/>
    <n v="2"/>
    <n v="3"/>
    <s v="YES"/>
    <n v="33550"/>
    <n v="3050"/>
    <n v="6100"/>
    <n v="24400"/>
    <s v="Volkswagen"/>
    <s v="Passat"/>
    <n v="2005"/>
    <s v="N"/>
    <n v="29.444805251794772"/>
    <n v="-32411.58"/>
    <n v="3.3931030371672978E-2"/>
    <n v="10"/>
    <n v="298"/>
    <x v="0"/>
    <x v="0"/>
  </r>
  <r>
    <n v="235"/>
    <n v="42"/>
    <n v="511621"/>
    <d v="1990-09-22T00:00:00"/>
    <s v="IN"/>
    <s v="250/500"/>
    <n v="500"/>
    <n v="1072.6199999999999"/>
    <n v="0"/>
    <n v="444913"/>
    <s v="FEMALE"/>
    <s v="Masters"/>
    <s v="machine-op-inspct"/>
    <s v="exercise"/>
    <s v="husband"/>
    <n v="39900"/>
    <n v="-60200"/>
    <d v="2015-02-18T00:00:00"/>
    <s v="Multi-vehicle Collision"/>
    <s v="Side Collision"/>
    <s v="Total Loss"/>
    <s v="Other"/>
    <x v="4"/>
    <x v="3"/>
    <s v="3654 Cherokee Ave"/>
    <n v="7"/>
    <n v="4"/>
    <s v="?"/>
    <n v="2"/>
    <n v="1"/>
    <s v="YES"/>
    <n v="69100"/>
    <n v="6910"/>
    <n v="6910"/>
    <n v="55280"/>
    <s v="Toyota"/>
    <s v="Highlander"/>
    <n v="2006"/>
    <s v="N"/>
    <n v="64.36169221884839"/>
    <n v="-68027.38"/>
    <n v="1.552249605649701E-2"/>
    <n v="9"/>
    <n v="235"/>
    <x v="0"/>
    <x v="0"/>
  </r>
  <r>
    <n v="172"/>
    <n v="35"/>
    <n v="476923"/>
    <d v="2004-09-19T00:00:00"/>
    <s v="IL"/>
    <s v="100/300"/>
    <n v="2000"/>
    <n v="1219.04"/>
    <n v="0"/>
    <n v="456602"/>
    <s v="MALE"/>
    <s v="MD"/>
    <s v="handlers-cleaners"/>
    <s v="paintball"/>
    <s v="own-child"/>
    <n v="63600"/>
    <n v="-68700"/>
    <d v="2015-01-11T00:00:00"/>
    <s v="Multi-vehicle Collision"/>
    <s v="Rear Collision"/>
    <s v="Major Damage"/>
    <s v="Police"/>
    <x v="3"/>
    <x v="4"/>
    <s v="7380 5th Hwy"/>
    <n v="19"/>
    <n v="3"/>
    <s v="?"/>
    <n v="2"/>
    <n v="0"/>
    <s v="NO"/>
    <n v="79750"/>
    <n v="14500"/>
    <n v="14500"/>
    <n v="50750"/>
    <s v="Nissan"/>
    <s v="Pathfinder"/>
    <n v="1999"/>
    <s v="N"/>
    <n v="65.366709288220065"/>
    <n v="-78530.960000000006"/>
    <n v="1.5285576356409324E-2"/>
    <n v="16"/>
    <n v="172"/>
    <x v="0"/>
    <x v="0"/>
  </r>
  <r>
    <n v="27"/>
    <n v="28"/>
    <n v="735822"/>
    <d v="1995-08-28T00:00:00"/>
    <s v="IN"/>
    <s v="100/300"/>
    <n v="2000"/>
    <n v="1371.78"/>
    <n v="0"/>
    <n v="451560"/>
    <s v="MALE"/>
    <s v="JD"/>
    <s v="farming-fishing"/>
    <s v="polo"/>
    <s v="other-relative"/>
    <n v="0"/>
    <n v="-32500"/>
    <d v="2015-02-04T00:00:00"/>
    <s v="Multi-vehicle Collision"/>
    <s v="Front Collision"/>
    <s v="Major Damage"/>
    <s v="Other"/>
    <x v="6"/>
    <x v="1"/>
    <s v="2539 Embaracadero Ridge"/>
    <n v="10"/>
    <n v="3"/>
    <s v="?"/>
    <n v="0"/>
    <n v="2"/>
    <s v="YES"/>
    <n v="53600"/>
    <n v="5360"/>
    <n v="10720"/>
    <n v="37520"/>
    <s v="Audi"/>
    <s v="A5"/>
    <n v="2015"/>
    <s v="Y"/>
    <n v="39.044857879631117"/>
    <n v="-52228.22"/>
    <n v="2.5592432976996697E-2"/>
    <n v="0"/>
    <n v="27"/>
    <x v="0"/>
    <x v="0"/>
  </r>
  <r>
    <n v="428"/>
    <n v="54"/>
    <n v="492745"/>
    <d v="2004-02-04T00:00:00"/>
    <s v="IN"/>
    <s v="100/300"/>
    <n v="2000"/>
    <n v="1506.21"/>
    <n v="0"/>
    <n v="453407"/>
    <s v="MALE"/>
    <s v="Masters"/>
    <s v="transport-moving"/>
    <s v="kayaking"/>
    <s v="unmarried"/>
    <n v="0"/>
    <n v="-24400"/>
    <d v="2015-01-22T00:00:00"/>
    <s v="Multi-vehicle Collision"/>
    <s v="Side Collision"/>
    <s v="Minor Damage"/>
    <s v="Fire"/>
    <x v="2"/>
    <x v="1"/>
    <s v="4693 Lincoln Hwy"/>
    <n v="16"/>
    <n v="3"/>
    <s v="NO"/>
    <n v="1"/>
    <n v="0"/>
    <s v="?"/>
    <n v="76560"/>
    <n v="12760"/>
    <n v="6380"/>
    <n v="57420"/>
    <s v="Nissan"/>
    <s v="Ultima"/>
    <n v="2009"/>
    <s v="N"/>
    <n v="50.795841322708846"/>
    <n v="-75053.789999999994"/>
    <n v="1.9673332375491438E-2"/>
    <n v="6"/>
    <n v="428"/>
    <x v="0"/>
    <x v="0"/>
  </r>
  <r>
    <n v="99"/>
    <n v="32"/>
    <n v="130930"/>
    <d v="2014-07-23T00:00:00"/>
    <s v="IN"/>
    <s v="100/300"/>
    <n v="1000"/>
    <n v="1058.21"/>
    <n v="3000000"/>
    <n v="618655"/>
    <s v="MALE"/>
    <s v="JD"/>
    <s v="craft-repair"/>
    <s v="golf"/>
    <s v="unmarried"/>
    <n v="0"/>
    <n v="0"/>
    <d v="2015-01-10T00:00:00"/>
    <s v="Single Vehicle Collision"/>
    <s v="Front Collision"/>
    <s v="Total Loss"/>
    <s v="Fire"/>
    <x v="2"/>
    <x v="2"/>
    <s v="2376 Sky Ridge"/>
    <n v="17"/>
    <n v="1"/>
    <s v="YES"/>
    <n v="1"/>
    <n v="1"/>
    <s v="NO"/>
    <n v="41130"/>
    <n v="4570"/>
    <n v="4570"/>
    <n v="31990"/>
    <s v="Dodge"/>
    <s v="RAM"/>
    <n v="1999"/>
    <s v="N"/>
    <n v="38.830826748236895"/>
    <n v="-40071.79"/>
    <n v="2.5727796552478668E-2"/>
    <n v="16"/>
    <n v="99"/>
    <x v="0"/>
    <x v="0"/>
  </r>
  <r>
    <n v="107"/>
    <n v="26"/>
    <n v="261119"/>
    <d v="1997-03-21T00:00:00"/>
    <s v="IL"/>
    <s v="500/1000"/>
    <n v="2000"/>
    <n v="932.14"/>
    <n v="0"/>
    <n v="612550"/>
    <s v="MALE"/>
    <s v="MD"/>
    <s v="sales"/>
    <s v="cross-fit"/>
    <s v="own-child"/>
    <n v="40600"/>
    <n v="0"/>
    <d v="2015-01-10T00:00:00"/>
    <s v="Multi-vehicle Collision"/>
    <s v="Rear Collision"/>
    <s v="Total Loss"/>
    <s v="Fire"/>
    <x v="0"/>
    <x v="0"/>
    <s v="1273 Rock Lane"/>
    <n v="2"/>
    <n v="3"/>
    <s v="NO"/>
    <n v="2"/>
    <n v="3"/>
    <s v="NO"/>
    <n v="78650"/>
    <n v="14300"/>
    <n v="7150"/>
    <n v="57200"/>
    <s v="Audi"/>
    <s v="A3"/>
    <n v="1996"/>
    <s v="Y"/>
    <n v="84.285316244079127"/>
    <n v="-77717.86"/>
    <n v="1.1851597563921628E-2"/>
    <n v="19"/>
    <n v="107"/>
    <x v="0"/>
    <x v="0"/>
  </r>
  <r>
    <n v="272"/>
    <n v="41"/>
    <n v="280709"/>
    <d v="1991-05-06T00:00:00"/>
    <s v="OH"/>
    <s v="500/1000"/>
    <n v="2000"/>
    <n v="1608.34"/>
    <n v="0"/>
    <n v="466718"/>
    <s v="FEMALE"/>
    <s v="Associate"/>
    <s v="farming-fishing"/>
    <s v="reading"/>
    <s v="own-child"/>
    <n v="33300"/>
    <n v="-10600"/>
    <d v="2015-02-16T00:00:00"/>
    <s v="Single Vehicle Collision"/>
    <s v="Side Collision"/>
    <s v="Major Damage"/>
    <s v="Other"/>
    <x v="2"/>
    <x v="3"/>
    <s v="8281 Lincoln Lane"/>
    <n v="19"/>
    <n v="1"/>
    <s v="?"/>
    <n v="1"/>
    <n v="1"/>
    <s v="?"/>
    <n v="71060"/>
    <n v="6460"/>
    <n v="12920"/>
    <n v="51680"/>
    <s v="Saab"/>
    <s v="92x"/>
    <n v="2010"/>
    <s v="N"/>
    <n v="44.154746666335271"/>
    <n v="-69451.66"/>
    <n v="2.2633230604691742E-2"/>
    <n v="5"/>
    <n v="272"/>
    <x v="0"/>
    <x v="0"/>
  </r>
  <r>
    <n v="151"/>
    <n v="37"/>
    <n v="898573"/>
    <d v="1992-08-07T00:00:00"/>
    <s v="IN"/>
    <s v="500/1000"/>
    <n v="1000"/>
    <n v="1728.56"/>
    <n v="0"/>
    <n v="617947"/>
    <s v="FEMALE"/>
    <s v="Masters"/>
    <s v="farming-fishing"/>
    <s v="dancing"/>
    <s v="own-child"/>
    <n v="54000"/>
    <n v="0"/>
    <d v="2015-02-08T00:00:00"/>
    <s v="Single Vehicle Collision"/>
    <s v="Front Collision"/>
    <s v="Minor Damage"/>
    <s v="Fire"/>
    <x v="4"/>
    <x v="6"/>
    <s v="6429 4th Hwy"/>
    <n v="0"/>
    <n v="1"/>
    <s v="YES"/>
    <n v="1"/>
    <n v="1"/>
    <s v="?"/>
    <n v="38830"/>
    <n v="3530"/>
    <n v="3530"/>
    <n v="31770"/>
    <s v="Suburu"/>
    <s v="Legacy"/>
    <n v="1999"/>
    <s v="N"/>
    <n v="22.450796734429566"/>
    <n v="-37101.440000000002"/>
    <n v="4.4514949396101053E-2"/>
    <n v="16"/>
    <n v="151"/>
    <x v="0"/>
    <x v="0"/>
  </r>
  <r>
    <n v="249"/>
    <n v="43"/>
    <n v="547802"/>
    <d v="2013-09-03T00:00:00"/>
    <s v="IL"/>
    <s v="250/500"/>
    <n v="1000"/>
    <n v="1518.46"/>
    <n v="0"/>
    <n v="606238"/>
    <s v="FEMALE"/>
    <s v="MD"/>
    <s v="armed-forces"/>
    <s v="cross-fit"/>
    <s v="own-child"/>
    <n v="0"/>
    <n v="0"/>
    <d v="2015-01-26T00:00:00"/>
    <s v="Single Vehicle Collision"/>
    <s v="Front Collision"/>
    <s v="Major Damage"/>
    <s v="Fire"/>
    <x v="0"/>
    <x v="1"/>
    <s v="2201 4th Lane"/>
    <n v="16"/>
    <n v="1"/>
    <s v="?"/>
    <n v="0"/>
    <n v="0"/>
    <s v="YES"/>
    <n v="53500"/>
    <n v="5350"/>
    <n v="5350"/>
    <n v="42800"/>
    <s v="Saab"/>
    <s v="92x"/>
    <n v="2015"/>
    <s v="N"/>
    <n v="35.20987719321338"/>
    <n v="-51981.54"/>
    <n v="2.8381899403749463E-2"/>
    <n v="0"/>
    <n v="249"/>
    <x v="0"/>
    <x v="0"/>
  </r>
  <r>
    <n v="177"/>
    <n v="38"/>
    <n v="600845"/>
    <d v="2012-01-05T00:00:00"/>
    <s v="IL"/>
    <s v="100/300"/>
    <n v="2000"/>
    <n v="1540.19"/>
    <n v="0"/>
    <n v="463842"/>
    <s v="FEMALE"/>
    <s v="College"/>
    <s v="adm-clerical"/>
    <s v="skydiving"/>
    <s v="other-relative"/>
    <n v="0"/>
    <n v="-74500"/>
    <d v="2015-02-01T00:00:00"/>
    <s v="Single Vehicle Collision"/>
    <s v="Front Collision"/>
    <s v="Major Damage"/>
    <s v="Other"/>
    <x v="1"/>
    <x v="0"/>
    <s v="5506 Best St"/>
    <n v="20"/>
    <n v="1"/>
    <s v="YES"/>
    <n v="2"/>
    <n v="0"/>
    <s v="NO"/>
    <n v="73700"/>
    <n v="7370"/>
    <n v="7370"/>
    <n v="58960"/>
    <s v="Chevrolet"/>
    <s v="Silverado"/>
    <n v="2001"/>
    <s v="Y"/>
    <n v="47.820190891454004"/>
    <n v="-72159.81"/>
    <n v="2.0897816854588133E-2"/>
    <n v="14"/>
    <n v="177"/>
    <x v="0"/>
    <x v="0"/>
  </r>
  <r>
    <n v="190"/>
    <n v="40"/>
    <n v="390381"/>
    <d v="2007-01-27T00:00:00"/>
    <s v="OH"/>
    <s v="500/1000"/>
    <n v="2000"/>
    <n v="965.21"/>
    <n v="0"/>
    <n v="610354"/>
    <s v="FEMALE"/>
    <s v="JD"/>
    <s v="exec-managerial"/>
    <s v="camping"/>
    <s v="other-relative"/>
    <n v="36900"/>
    <n v="-53700"/>
    <d v="2015-02-02T00:00:00"/>
    <s v="Parked Car"/>
    <s v="?"/>
    <s v="Trivial Damage"/>
    <s v="None"/>
    <x v="0"/>
    <x v="4"/>
    <s v="8404 Embaracadero St"/>
    <n v="10"/>
    <n v="1"/>
    <s v="?"/>
    <n v="2"/>
    <n v="1"/>
    <s v="YES"/>
    <n v="6300"/>
    <n v="630"/>
    <n v="630"/>
    <n v="5040"/>
    <s v="Nissan"/>
    <s v="Ultima"/>
    <n v="2001"/>
    <s v="N"/>
    <n v="6.5203216692023469"/>
    <n v="-5334.79"/>
    <n v="0.15318362164735758"/>
    <n v="14"/>
    <n v="190"/>
    <x v="2"/>
    <x v="0"/>
  </r>
  <r>
    <n v="174"/>
    <n v="36"/>
    <n v="629918"/>
    <d v="2005-10-14T00:00:00"/>
    <s v="IL"/>
    <s v="100/300"/>
    <n v="2000"/>
    <n v="1278.75"/>
    <n v="0"/>
    <n v="461328"/>
    <s v="FEMALE"/>
    <s v="College"/>
    <s v="tech-support"/>
    <s v="paintball"/>
    <s v="own-child"/>
    <n v="53200"/>
    <n v="-53800"/>
    <d v="2015-02-06T00:00:00"/>
    <s v="Multi-vehicle Collision"/>
    <s v="Rear Collision"/>
    <s v="Total Loss"/>
    <s v="Ambulance"/>
    <x v="2"/>
    <x v="1"/>
    <s v="2117 Lincoln Hwy"/>
    <n v="21"/>
    <n v="3"/>
    <s v="?"/>
    <n v="2"/>
    <n v="2"/>
    <s v="NO"/>
    <n v="65400"/>
    <n v="10900"/>
    <n v="10900"/>
    <n v="43600"/>
    <s v="Dodge"/>
    <s v="RAM"/>
    <n v="2012"/>
    <s v="N"/>
    <n v="51.103731197499513"/>
    <n v="-64121.25"/>
    <n v="1.9552453326401736E-2"/>
    <n v="3"/>
    <n v="174"/>
    <x v="0"/>
    <x v="0"/>
  </r>
  <r>
    <n v="95"/>
    <n v="28"/>
    <n v="208298"/>
    <d v="1990-11-03T00:00:00"/>
    <s v="OH"/>
    <s v="250/500"/>
    <n v="1000"/>
    <n v="773.99"/>
    <n v="0"/>
    <n v="458727"/>
    <s v="MALE"/>
    <s v="Associate"/>
    <s v="armed-forces"/>
    <s v="board-games"/>
    <s v="other-relative"/>
    <n v="0"/>
    <n v="-70300"/>
    <d v="2015-01-01T00:00:00"/>
    <s v="Vehicle Theft"/>
    <s v="?"/>
    <s v="Trivial Damage"/>
    <s v="None"/>
    <x v="6"/>
    <x v="3"/>
    <s v="6359 MLK Ridge"/>
    <n v="3"/>
    <n v="1"/>
    <s v="YES"/>
    <n v="1"/>
    <n v="2"/>
    <s v="NO"/>
    <n v="3200"/>
    <n v="640"/>
    <n v="320"/>
    <n v="2240"/>
    <s v="Mercedes"/>
    <s v="E400"/>
    <n v="2014"/>
    <s v="N"/>
    <n v="4.1290855365875689"/>
    <n v="-2426.0100000000002"/>
    <n v="0.24179631365198376"/>
    <n v="1"/>
    <n v="95"/>
    <x v="1"/>
    <x v="1"/>
  </r>
  <r>
    <n v="371"/>
    <n v="51"/>
    <n v="513099"/>
    <d v="2005-10-15T00:00:00"/>
    <s v="IN"/>
    <s v="500/1000"/>
    <n v="1000"/>
    <n v="1532.47"/>
    <n v="0"/>
    <n v="452587"/>
    <s v="FEMALE"/>
    <s v="Associate"/>
    <s v="tech-support"/>
    <s v="golf"/>
    <s v="other-relative"/>
    <n v="60300"/>
    <n v="-24700"/>
    <d v="2015-01-19T00:00:00"/>
    <s v="Single Vehicle Collision"/>
    <s v="Rear Collision"/>
    <s v="Major Damage"/>
    <s v="Fire"/>
    <x v="2"/>
    <x v="2"/>
    <s v="9751 Sky Ridge"/>
    <n v="7"/>
    <n v="1"/>
    <s v="YES"/>
    <n v="0"/>
    <n v="3"/>
    <s v="YES"/>
    <n v="75400"/>
    <n v="7540"/>
    <n v="15080"/>
    <n v="52780"/>
    <s v="Dodge"/>
    <s v="RAM"/>
    <n v="2012"/>
    <s v="Y"/>
    <n v="49.16953054184301"/>
    <n v="-73867.53"/>
    <n v="2.0324266256415698E-2"/>
    <n v="3"/>
    <n v="371"/>
    <x v="0"/>
    <x v="0"/>
  </r>
  <r>
    <n v="2"/>
    <n v="28"/>
    <n v="184938"/>
    <d v="1999-05-22T00:00:00"/>
    <s v="IL"/>
    <s v="250/500"/>
    <n v="1000"/>
    <n v="1340.56"/>
    <n v="0"/>
    <n v="433184"/>
    <s v="FEMALE"/>
    <s v="JD"/>
    <s v="machine-op-inspct"/>
    <s v="golf"/>
    <s v="not-in-family"/>
    <n v="0"/>
    <n v="0"/>
    <d v="2015-01-17T00:00:00"/>
    <s v="Single Vehicle Collision"/>
    <s v="Side Collision"/>
    <s v="Minor Damage"/>
    <s v="Fire"/>
    <x v="2"/>
    <x v="5"/>
    <s v="9020 Elm Ave"/>
    <n v="19"/>
    <n v="1"/>
    <s v="YES"/>
    <n v="0"/>
    <n v="2"/>
    <s v="YES"/>
    <n v="58140"/>
    <n v="6460"/>
    <n v="6460"/>
    <n v="45220"/>
    <s v="Saab"/>
    <s v="92x"/>
    <n v="2008"/>
    <s v="N"/>
    <n v="43.337606965025792"/>
    <n v="-56799.44"/>
    <n v="2.3057050962315747E-2"/>
    <n v="7"/>
    <n v="2"/>
    <x v="0"/>
    <x v="0"/>
  </r>
  <r>
    <n v="269"/>
    <n v="44"/>
    <n v="187775"/>
    <d v="2002-12-21T00:00:00"/>
    <s v="OH"/>
    <s v="100/300"/>
    <n v="500"/>
    <n v="1297.75"/>
    <n v="4000000"/>
    <n v="451280"/>
    <s v="FEMALE"/>
    <s v="JD"/>
    <s v="other-service"/>
    <s v="chess"/>
    <s v="own-child"/>
    <n v="0"/>
    <n v="-41400"/>
    <d v="2015-02-01T00:00:00"/>
    <s v="Multi-vehicle Collision"/>
    <s v="Rear Collision"/>
    <s v="Total Loss"/>
    <s v="Ambulance"/>
    <x v="0"/>
    <x v="0"/>
    <s v="1830 Sky St"/>
    <n v="15"/>
    <n v="3"/>
    <s v="?"/>
    <n v="0"/>
    <n v="1"/>
    <s v="?"/>
    <n v="98670"/>
    <n v="15180"/>
    <n v="15180"/>
    <n v="68310"/>
    <s v="Chevrolet"/>
    <s v="Tahoe"/>
    <n v="2010"/>
    <s v="Y"/>
    <n v="75.973051010587099"/>
    <n v="-97372.25"/>
    <n v="1.3152293987088405E-2"/>
    <n v="5"/>
    <n v="269"/>
    <x v="0"/>
    <x v="0"/>
  </r>
  <r>
    <n v="101"/>
    <n v="27"/>
    <n v="326322"/>
    <d v="2007-02-10T00:00:00"/>
    <s v="IL"/>
    <s v="250/500"/>
    <n v="1000"/>
    <n v="433.33"/>
    <n v="0"/>
    <n v="603269"/>
    <s v="MALE"/>
    <s v="Masters"/>
    <s v="machine-op-inspct"/>
    <s v="golf"/>
    <s v="other-relative"/>
    <n v="25900"/>
    <n v="0"/>
    <d v="2015-01-02T00:00:00"/>
    <s v="Parked Car"/>
    <s v="?"/>
    <s v="Minor Damage"/>
    <s v="None"/>
    <x v="0"/>
    <x v="4"/>
    <s v="6067 Weaver Ridge"/>
    <n v="7"/>
    <n v="1"/>
    <s v="?"/>
    <n v="0"/>
    <n v="3"/>
    <s v="NO"/>
    <n v="5900"/>
    <n v="1180"/>
    <n v="590"/>
    <n v="4130"/>
    <s v="Mercedes"/>
    <s v="E400"/>
    <n v="2009"/>
    <s v="N"/>
    <n v="13.584141090875603"/>
    <n v="-5466.67"/>
    <n v="7.3433316387053041E-2"/>
    <n v="6"/>
    <n v="101"/>
    <x v="2"/>
    <x v="0"/>
  </r>
  <r>
    <n v="94"/>
    <n v="30"/>
    <n v="146138"/>
    <d v="2002-03-01T00:00:00"/>
    <s v="IN"/>
    <s v="250/500"/>
    <n v="2000"/>
    <n v="1025.54"/>
    <n v="0"/>
    <n v="442632"/>
    <s v="FEMALE"/>
    <s v="High School"/>
    <s v="armed-forces"/>
    <s v="paintball"/>
    <s v="other-relative"/>
    <n v="0"/>
    <n v="-52600"/>
    <d v="2015-02-20T00:00:00"/>
    <s v="Single Vehicle Collision"/>
    <s v="Rear Collision"/>
    <s v="Major Damage"/>
    <s v="Fire"/>
    <x v="5"/>
    <x v="2"/>
    <s v="1840 Embaracadero Ave"/>
    <n v="19"/>
    <n v="1"/>
    <s v="?"/>
    <n v="1"/>
    <n v="3"/>
    <s v="YES"/>
    <n v="64100"/>
    <n v="6410"/>
    <n v="6410"/>
    <n v="51280"/>
    <s v="Chevrolet"/>
    <s v="Malibu"/>
    <n v="2001"/>
    <s v="N"/>
    <n v="62.442768913047715"/>
    <n v="-63074.46"/>
    <n v="1.5998814371070653E-2"/>
    <n v="14"/>
    <n v="94"/>
    <x v="0"/>
    <x v="0"/>
  </r>
  <r>
    <n v="117"/>
    <n v="28"/>
    <n v="336047"/>
    <d v="2003-04-21T00:00:00"/>
    <s v="OH"/>
    <s v="250/500"/>
    <n v="500"/>
    <n v="1264.77"/>
    <n v="0"/>
    <n v="447300"/>
    <s v="FEMALE"/>
    <s v="Associate"/>
    <s v="transport-moving"/>
    <s v="yachting"/>
    <s v="unmarried"/>
    <n v="47500"/>
    <n v="-32500"/>
    <d v="2015-02-05T00:00:00"/>
    <s v="Multi-vehicle Collision"/>
    <s v="Rear Collision"/>
    <s v="Total Loss"/>
    <s v="Fire"/>
    <x v="0"/>
    <x v="3"/>
    <s v="4058 Tree Drive"/>
    <n v="13"/>
    <n v="2"/>
    <s v="YES"/>
    <n v="0"/>
    <n v="1"/>
    <s v="?"/>
    <n v="55440"/>
    <n v="5040"/>
    <n v="10080"/>
    <n v="40320"/>
    <s v="Suburu"/>
    <s v="Forrestor"/>
    <n v="2009"/>
    <s v="Y"/>
    <n v="43.799426436082385"/>
    <n v="-54175.23"/>
    <n v="2.281290020021284E-2"/>
    <n v="6"/>
    <n v="117"/>
    <x v="0"/>
    <x v="0"/>
  </r>
  <r>
    <n v="111"/>
    <n v="27"/>
    <n v="532330"/>
    <d v="2002-09-22T00:00:00"/>
    <s v="OH"/>
    <s v="250/500"/>
    <n v="500"/>
    <n v="1459.97"/>
    <n v="5000000"/>
    <n v="441783"/>
    <s v="MALE"/>
    <s v="MD"/>
    <s v="sales"/>
    <s v="yachting"/>
    <s v="other-relative"/>
    <n v="0"/>
    <n v="0"/>
    <d v="2015-02-27T00:00:00"/>
    <s v="Multi-vehicle Collision"/>
    <s v="Side Collision"/>
    <s v="Major Damage"/>
    <s v="Police"/>
    <x v="0"/>
    <x v="5"/>
    <s v="4983 MLK Ridge"/>
    <n v="2"/>
    <n v="3"/>
    <s v="NO"/>
    <n v="1"/>
    <n v="2"/>
    <s v="NO"/>
    <n v="80850"/>
    <n v="7350"/>
    <n v="14700"/>
    <n v="58800"/>
    <s v="Ford"/>
    <s v="F150"/>
    <n v="2011"/>
    <s v="Y"/>
    <n v="55.33994537875521"/>
    <n v="-79390.03"/>
    <n v="1.805753794016153E-2"/>
    <n v="4"/>
    <n v="111"/>
    <x v="0"/>
    <x v="0"/>
  </r>
  <r>
    <n v="242"/>
    <n v="40"/>
    <n v="118137"/>
    <d v="1998-02-10T00:00:00"/>
    <s v="OH"/>
    <s v="100/300"/>
    <n v="500"/>
    <n v="1238.6500000000001"/>
    <n v="0"/>
    <n v="468702"/>
    <s v="FEMALE"/>
    <s v="High School"/>
    <s v="transport-moving"/>
    <s v="bungie-jumping"/>
    <s v="husband"/>
    <n v="0"/>
    <n v="-44600"/>
    <d v="2015-01-27T00:00:00"/>
    <s v="Vehicle Theft"/>
    <s v="?"/>
    <s v="Trivial Damage"/>
    <s v="Police"/>
    <x v="4"/>
    <x v="3"/>
    <s v="9744 Texas Drive"/>
    <n v="5"/>
    <n v="1"/>
    <s v="YES"/>
    <n v="1"/>
    <n v="1"/>
    <s v="NO"/>
    <n v="7480"/>
    <n v="680"/>
    <n v="680"/>
    <n v="6120"/>
    <s v="Saab"/>
    <n v="95"/>
    <n v="1998"/>
    <s v="N"/>
    <n v="6.0339611987254465"/>
    <n v="-6241.35"/>
    <n v="0.16557278438711404"/>
    <n v="17"/>
    <n v="242"/>
    <x v="2"/>
    <x v="0"/>
  </r>
  <r>
    <n v="440"/>
    <n v="61"/>
    <n v="212674"/>
    <d v="1992-09-01T00:00:00"/>
    <s v="OH"/>
    <s v="250/500"/>
    <n v="500"/>
    <n v="1050.76"/>
    <n v="0"/>
    <n v="467942"/>
    <s v="MALE"/>
    <s v="PhD"/>
    <s v="transport-moving"/>
    <s v="movies"/>
    <s v="wife"/>
    <n v="41500"/>
    <n v="-70200"/>
    <d v="2015-01-26T00:00:00"/>
    <s v="Single Vehicle Collision"/>
    <s v="Side Collision"/>
    <s v="Major Damage"/>
    <s v="Fire"/>
    <x v="3"/>
    <x v="1"/>
    <s v="8821 Elm St"/>
    <n v="21"/>
    <n v="1"/>
    <s v="?"/>
    <n v="2"/>
    <n v="3"/>
    <s v="NO"/>
    <n v="53640"/>
    <n v="5960"/>
    <n v="5960"/>
    <n v="41720"/>
    <s v="Nissan"/>
    <s v="Maxima"/>
    <n v="2004"/>
    <s v="Y"/>
    <n v="51.00022818894044"/>
    <n v="-52589.24"/>
    <n v="1.9588747413359184E-2"/>
    <n v="11"/>
    <n v="440"/>
    <x v="0"/>
    <x v="0"/>
  </r>
  <r>
    <n v="20"/>
    <n v="23"/>
    <n v="935596"/>
    <d v="1999-05-01T00:00:00"/>
    <s v="OH"/>
    <s v="500/1000"/>
    <n v="1000"/>
    <n v="1711.72"/>
    <n v="0"/>
    <n v="463678"/>
    <s v="FEMALE"/>
    <s v="JD"/>
    <s v="tech-support"/>
    <s v="base-jumping"/>
    <s v="wife"/>
    <n v="0"/>
    <n v="0"/>
    <d v="2015-01-13T00:00:00"/>
    <s v="Multi-vehicle Collision"/>
    <s v="Rear Collision"/>
    <s v="Major Damage"/>
    <s v="Fire"/>
    <x v="0"/>
    <x v="6"/>
    <s v="2886 Tree Ridge"/>
    <n v="21"/>
    <n v="3"/>
    <s v="NO"/>
    <n v="2"/>
    <n v="2"/>
    <s v="NO"/>
    <n v="63250"/>
    <n v="5750"/>
    <n v="11500"/>
    <n v="46000"/>
    <s v="Chevrolet"/>
    <s v="Tahoe"/>
    <n v="2002"/>
    <s v="Y"/>
    <n v="36.929562333598021"/>
    <n v="-61538.28"/>
    <n v="2.70623389353528E-2"/>
    <n v="13"/>
    <n v="20"/>
    <x v="0"/>
    <x v="0"/>
  </r>
  <r>
    <n v="461"/>
    <n v="57"/>
    <n v="737593"/>
    <d v="1997-12-19T00:00:00"/>
    <s v="IL"/>
    <s v="100/300"/>
    <n v="500"/>
    <n v="865.33"/>
    <n v="7000000"/>
    <n v="615220"/>
    <s v="FEMALE"/>
    <s v="High School"/>
    <s v="farming-fishing"/>
    <s v="golf"/>
    <s v="own-child"/>
    <n v="0"/>
    <n v="0"/>
    <d v="2015-01-14T00:00:00"/>
    <s v="Multi-vehicle Collision"/>
    <s v="Side Collision"/>
    <s v="Major Damage"/>
    <s v="Ambulance"/>
    <x v="2"/>
    <x v="4"/>
    <s v="5236 Weaver Drive"/>
    <n v="7"/>
    <n v="3"/>
    <s v="NO"/>
    <n v="0"/>
    <n v="1"/>
    <s v="?"/>
    <n v="59040"/>
    <n v="9840"/>
    <n v="9840"/>
    <n v="39360"/>
    <s v="Dodge"/>
    <s v="RAM"/>
    <n v="1995"/>
    <s v="N"/>
    <n v="68.149550402271643"/>
    <n v="-58174.67"/>
    <n v="1.4656425196050203E-2"/>
    <n v="20"/>
    <n v="461"/>
    <x v="0"/>
    <x v="0"/>
  </r>
  <r>
    <n v="208"/>
    <n v="36"/>
    <n v="812025"/>
    <d v="2000-06-18T00:00:00"/>
    <s v="IL"/>
    <s v="250/500"/>
    <n v="500"/>
    <n v="1153.49"/>
    <n v="0"/>
    <n v="432711"/>
    <s v="MALE"/>
    <s v="Associate"/>
    <s v="craft-repair"/>
    <s v="base-jumping"/>
    <s v="other-relative"/>
    <n v="0"/>
    <n v="0"/>
    <d v="2015-02-22T00:00:00"/>
    <s v="Multi-vehicle Collision"/>
    <s v="Side Collision"/>
    <s v="Total Loss"/>
    <s v="Other"/>
    <x v="0"/>
    <x v="2"/>
    <s v="5862 Apache Ridge"/>
    <n v="16"/>
    <n v="3"/>
    <s v="YES"/>
    <n v="1"/>
    <n v="0"/>
    <s v="YES"/>
    <n v="50500"/>
    <n v="10100"/>
    <n v="5050"/>
    <n v="35350"/>
    <s v="Accura"/>
    <s v="TL"/>
    <n v="2004"/>
    <s v="N"/>
    <n v="43.74225848643124"/>
    <n v="-49346.51"/>
    <n v="2.28409338428942E-2"/>
    <n v="11"/>
    <n v="208"/>
    <x v="0"/>
    <x v="0"/>
  </r>
  <r>
    <n v="279"/>
    <n v="43"/>
    <n v="168151"/>
    <d v="1995-04-24T00:00:00"/>
    <s v="OH"/>
    <s v="500/1000"/>
    <n v="2000"/>
    <n v="1281.25"/>
    <n v="0"/>
    <n v="463583"/>
    <s v="MALE"/>
    <s v="Associate"/>
    <s v="machine-op-inspct"/>
    <s v="cross-fit"/>
    <s v="other-relative"/>
    <n v="0"/>
    <n v="0"/>
    <d v="2015-01-17T00:00:00"/>
    <s v="Single Vehicle Collision"/>
    <s v="Side Collision"/>
    <s v="Major Damage"/>
    <s v="Police"/>
    <x v="0"/>
    <x v="0"/>
    <s v="7859 4th Ridge"/>
    <n v="13"/>
    <n v="1"/>
    <s v="YES"/>
    <n v="0"/>
    <n v="1"/>
    <s v="NO"/>
    <n v="57690"/>
    <n v="6410"/>
    <n v="12820"/>
    <n v="38460"/>
    <s v="Mercedes"/>
    <s v="C300"/>
    <n v="2010"/>
    <s v="Y"/>
    <n v="44.991226359914215"/>
    <n v="-56408.75"/>
    <n v="2.220883673363263E-2"/>
    <n v="5"/>
    <n v="279"/>
    <x v="0"/>
    <x v="0"/>
  </r>
  <r>
    <n v="244"/>
    <n v="40"/>
    <n v="594739"/>
    <d v="2006-06-16T00:00:00"/>
    <s v="IL"/>
    <s v="100/300"/>
    <n v="500"/>
    <n v="1342.8"/>
    <n v="0"/>
    <n v="439502"/>
    <s v="FEMALE"/>
    <s v="MD"/>
    <s v="sales"/>
    <s v="base-jumping"/>
    <s v="husband"/>
    <n v="0"/>
    <n v="0"/>
    <d v="2015-02-02T00:00:00"/>
    <s v="Vehicle Theft"/>
    <s v="?"/>
    <s v="Trivial Damage"/>
    <s v="Police"/>
    <x v="2"/>
    <x v="3"/>
    <s v="6259 Weaver St"/>
    <n v="2"/>
    <n v="1"/>
    <s v="YES"/>
    <n v="1"/>
    <n v="3"/>
    <s v="YES"/>
    <n v="5940"/>
    <n v="660"/>
    <n v="660"/>
    <n v="4620"/>
    <s v="Toyota"/>
    <s v="Camry"/>
    <n v="2014"/>
    <s v="N"/>
    <n v="4.4203006399761868"/>
    <n v="-4597.2"/>
    <n v="0.22602255512539976"/>
    <n v="1"/>
    <n v="244"/>
    <x v="1"/>
    <x v="1"/>
  </r>
  <r>
    <n v="134"/>
    <n v="30"/>
    <n v="843227"/>
    <d v="2007-09-28T00:00:00"/>
    <s v="OH"/>
    <s v="250/500"/>
    <n v="2000"/>
    <n v="1443.32"/>
    <n v="0"/>
    <n v="613287"/>
    <s v="FEMALE"/>
    <s v="PhD"/>
    <s v="exec-managerial"/>
    <s v="dancing"/>
    <s v="unmarried"/>
    <n v="0"/>
    <n v="0"/>
    <d v="2015-01-07T00:00:00"/>
    <s v="Multi-vehicle Collision"/>
    <s v="Rear Collision"/>
    <s v="Major Damage"/>
    <s v="Fire"/>
    <x v="0"/>
    <x v="5"/>
    <s v="9980 Lincoln Ave"/>
    <n v="19"/>
    <n v="3"/>
    <s v="?"/>
    <n v="0"/>
    <n v="2"/>
    <s v="YES"/>
    <n v="47790"/>
    <n v="5310"/>
    <n v="5310"/>
    <n v="37170"/>
    <s v="Suburu"/>
    <s v="Impreza"/>
    <n v="1995"/>
    <s v="Y"/>
    <n v="33.088235294117645"/>
    <n v="-46346.68"/>
    <n v="3.0200665397250526E-2"/>
    <n v="20"/>
    <n v="134"/>
    <x v="0"/>
    <x v="0"/>
  </r>
  <r>
    <n v="122"/>
    <n v="29"/>
    <n v="283925"/>
    <d v="1991-11-21T00:00:00"/>
    <s v="OH"/>
    <s v="250/500"/>
    <n v="1000"/>
    <n v="1629.94"/>
    <n v="0"/>
    <n v="620104"/>
    <s v="FEMALE"/>
    <s v="Masters"/>
    <s v="priv-house-serv"/>
    <s v="skydiving"/>
    <s v="other-relative"/>
    <n v="0"/>
    <n v="-47100"/>
    <d v="2015-02-02T00:00:00"/>
    <s v="Parked Car"/>
    <s v="?"/>
    <s v="Trivial Damage"/>
    <s v="None"/>
    <x v="0"/>
    <x v="1"/>
    <s v="7828 Cherokee Ave"/>
    <n v="17"/>
    <n v="1"/>
    <s v="?"/>
    <n v="0"/>
    <n v="1"/>
    <s v="NO"/>
    <n v="3850"/>
    <n v="350"/>
    <n v="350"/>
    <n v="3150"/>
    <s v="Dodge"/>
    <s v="Neon"/>
    <n v="2014"/>
    <s v="N"/>
    <n v="2.3606018615031821"/>
    <n v="-2220.06"/>
    <n v="0.42325110360945212"/>
    <n v="1"/>
    <n v="122"/>
    <x v="1"/>
    <x v="1"/>
  </r>
  <r>
    <n v="156"/>
    <n v="31"/>
    <n v="475588"/>
    <d v="1996-09-21T00:00:00"/>
    <s v="IL"/>
    <s v="100/300"/>
    <n v="2000"/>
    <n v="1134.08"/>
    <n v="0"/>
    <n v="446895"/>
    <s v="MALE"/>
    <s v="PhD"/>
    <s v="other-service"/>
    <s v="reading"/>
    <s v="husband"/>
    <n v="0"/>
    <n v="0"/>
    <d v="2015-02-07T00:00:00"/>
    <s v="Single Vehicle Collision"/>
    <s v="Front Collision"/>
    <s v="Major Damage"/>
    <s v="Police"/>
    <x v="5"/>
    <x v="2"/>
    <s v="5812 Oak St"/>
    <n v="3"/>
    <n v="1"/>
    <s v="?"/>
    <n v="2"/>
    <n v="0"/>
    <s v="?"/>
    <n v="59000"/>
    <n v="5900"/>
    <n v="5900"/>
    <n v="47200"/>
    <s v="Ford"/>
    <s v="Fusion"/>
    <n v="2013"/>
    <s v="Y"/>
    <n v="51.978715156640945"/>
    <n v="-57865.919999999998"/>
    <n v="1.922136912933679E-2"/>
    <n v="2"/>
    <n v="156"/>
    <x v="0"/>
    <x v="0"/>
  </r>
  <r>
    <n v="232"/>
    <n v="43"/>
    <n v="751905"/>
    <d v="2001-05-16T00:00:00"/>
    <s v="OH"/>
    <s v="250/500"/>
    <n v="500"/>
    <n v="1483.91"/>
    <n v="8000000"/>
    <n v="431531"/>
    <s v="MALE"/>
    <s v="College"/>
    <s v="machine-op-inspct"/>
    <s v="golf"/>
    <s v="husband"/>
    <n v="0"/>
    <n v="-33600"/>
    <d v="2015-01-18T00:00:00"/>
    <s v="Multi-vehicle Collision"/>
    <s v="Rear Collision"/>
    <s v="Major Damage"/>
    <s v="Ambulance"/>
    <x v="2"/>
    <x v="2"/>
    <s v="2318 Washington Hwy"/>
    <n v="17"/>
    <n v="3"/>
    <s v="NO"/>
    <n v="0"/>
    <n v="1"/>
    <s v="?"/>
    <n v="70600"/>
    <n v="7060"/>
    <n v="14120"/>
    <n v="49420"/>
    <s v="Volkswagen"/>
    <s v="Passat"/>
    <n v="2013"/>
    <s v="Y"/>
    <n v="47.544969055363623"/>
    <n v="-69116.09"/>
    <n v="2.1018257531763007E-2"/>
    <n v="2"/>
    <n v="232"/>
    <x v="0"/>
    <x v="0"/>
  </r>
  <r>
    <n v="244"/>
    <n v="40"/>
    <n v="226725"/>
    <d v="1999-08-11T00:00:00"/>
    <s v="IN"/>
    <s v="500/1000"/>
    <n v="2000"/>
    <n v="1304.67"/>
    <n v="7000000"/>
    <n v="605408"/>
    <s v="MALE"/>
    <s v="Masters"/>
    <s v="armed-forces"/>
    <s v="base-jumping"/>
    <s v="other-relative"/>
    <n v="0"/>
    <n v="-45000"/>
    <d v="2015-01-10T00:00:00"/>
    <s v="Multi-vehicle Collision"/>
    <s v="Side Collision"/>
    <s v="Minor Damage"/>
    <s v="Police"/>
    <x v="0"/>
    <x v="4"/>
    <s v="8809 Flute St"/>
    <n v="5"/>
    <n v="3"/>
    <s v="?"/>
    <n v="1"/>
    <n v="1"/>
    <s v="?"/>
    <n v="61490"/>
    <n v="5590"/>
    <n v="11180"/>
    <n v="44720"/>
    <s v="Dodge"/>
    <s v="RAM"/>
    <n v="2001"/>
    <s v="N"/>
    <n v="47.094595112088044"/>
    <n v="-60185.33"/>
    <n v="2.1217251305069035E-2"/>
    <n v="14"/>
    <n v="244"/>
    <x v="0"/>
    <x v="0"/>
  </r>
  <r>
    <n v="84"/>
    <n v="30"/>
    <n v="942504"/>
    <d v="2003-06-16T00:00:00"/>
    <s v="IL"/>
    <s v="500/1000"/>
    <n v="2000"/>
    <n v="1035.79"/>
    <n v="0"/>
    <n v="457551"/>
    <s v="FEMALE"/>
    <s v="MD"/>
    <s v="protective-serv"/>
    <s v="kayaking"/>
    <s v="wife"/>
    <n v="44400"/>
    <n v="-51500"/>
    <d v="2015-01-30T00:00:00"/>
    <s v="Single Vehicle Collision"/>
    <s v="Side Collision"/>
    <s v="Minor Damage"/>
    <s v="Police"/>
    <x v="0"/>
    <x v="5"/>
    <s v="3184 Oak Ave"/>
    <n v="9"/>
    <n v="1"/>
    <s v="NO"/>
    <n v="1"/>
    <n v="0"/>
    <s v="YES"/>
    <n v="57640"/>
    <n v="5240"/>
    <n v="10480"/>
    <n v="41920"/>
    <s v="Volkswagen"/>
    <s v="Passat"/>
    <n v="2010"/>
    <s v="N"/>
    <n v="55.594672016512504"/>
    <n v="-56604.21"/>
    <n v="1.7969674363734148E-2"/>
    <n v="5"/>
    <n v="84"/>
    <x v="0"/>
    <x v="0"/>
  </r>
  <r>
    <n v="394"/>
    <n v="57"/>
    <n v="395572"/>
    <d v="1999-03-30T00:00:00"/>
    <s v="IL"/>
    <s v="250/500"/>
    <n v="500"/>
    <n v="1401.2"/>
    <n v="0"/>
    <n v="619892"/>
    <s v="FEMALE"/>
    <s v="High School"/>
    <s v="craft-repair"/>
    <s v="movies"/>
    <s v="own-child"/>
    <n v="51500"/>
    <n v="0"/>
    <d v="2015-01-25T00:00:00"/>
    <s v="Vehicle Theft"/>
    <s v="?"/>
    <s v="Trivial Damage"/>
    <s v="Police"/>
    <x v="5"/>
    <x v="4"/>
    <s v="6493 Lincoln Lane"/>
    <n v="9"/>
    <n v="1"/>
    <s v="NO"/>
    <n v="1"/>
    <n v="0"/>
    <s v="NO"/>
    <n v="6890"/>
    <n v="1060"/>
    <n v="1060"/>
    <n v="4770"/>
    <s v="Audi"/>
    <s v="A5"/>
    <n v="1999"/>
    <s v="N"/>
    <n v="4.9137070318071601"/>
    <n v="-5488.8"/>
    <n v="0.20333768683790451"/>
    <n v="16"/>
    <n v="394"/>
    <x v="1"/>
    <x v="0"/>
  </r>
  <r>
    <n v="246"/>
    <n v="45"/>
    <n v="889883"/>
    <d v="1999-02-03T00:00:00"/>
    <s v="IL"/>
    <s v="250/500"/>
    <n v="1000"/>
    <n v="1665.45"/>
    <n v="0"/>
    <n v="445853"/>
    <s v="MALE"/>
    <s v="JD"/>
    <s v="machine-op-inspct"/>
    <s v="hiking"/>
    <s v="wife"/>
    <n v="34400"/>
    <n v="-33100"/>
    <d v="2015-01-29T00:00:00"/>
    <s v="Multi-vehicle Collision"/>
    <s v="Side Collision"/>
    <s v="Major Damage"/>
    <s v="Fire"/>
    <x v="6"/>
    <x v="0"/>
    <s v="7162 Maple Ave"/>
    <n v="9"/>
    <n v="3"/>
    <s v="?"/>
    <n v="2"/>
    <n v="2"/>
    <s v="?"/>
    <n v="53280"/>
    <n v="11840"/>
    <n v="5920"/>
    <n v="35520"/>
    <s v="Toyota"/>
    <s v="Camry"/>
    <n v="2006"/>
    <s v="Y"/>
    <n v="31.972156380329441"/>
    <n v="-51614.55"/>
    <n v="3.1257859274413019E-2"/>
    <n v="9"/>
    <n v="246"/>
    <x v="0"/>
    <x v="0"/>
  </r>
  <r>
    <n v="35"/>
    <n v="29"/>
    <n v="818167"/>
    <d v="2011-08-25T00:00:00"/>
    <s v="IN"/>
    <s v="500/1000"/>
    <n v="2000"/>
    <n v="653.66"/>
    <n v="0"/>
    <n v="475483"/>
    <s v="FEMALE"/>
    <s v="JD"/>
    <s v="handlers-cleaners"/>
    <s v="video-games"/>
    <s v="unmarried"/>
    <n v="52100"/>
    <n v="-46900"/>
    <d v="2015-02-24T00:00:00"/>
    <s v="Multi-vehicle Collision"/>
    <s v="Rear Collision"/>
    <s v="Minor Damage"/>
    <s v="Fire"/>
    <x v="0"/>
    <x v="3"/>
    <s v="5455 Tree Ridge"/>
    <n v="22"/>
    <n v="3"/>
    <s v="NO"/>
    <n v="0"/>
    <n v="0"/>
    <s v="?"/>
    <n v="78300"/>
    <n v="15660"/>
    <n v="7830"/>
    <n v="54810"/>
    <s v="BMW"/>
    <s v="X5"/>
    <n v="2009"/>
    <s v="N"/>
    <n v="119.60406928787462"/>
    <n v="-77646.34"/>
    <n v="8.348041532036627E-3"/>
    <n v="6"/>
    <n v="35"/>
    <x v="0"/>
    <x v="0"/>
  </r>
  <r>
    <n v="156"/>
    <n v="37"/>
    <n v="277767"/>
    <d v="2010-06-28T00:00:00"/>
    <s v="OH"/>
    <s v="100/300"/>
    <n v="500"/>
    <n v="1080.1300000000001"/>
    <n v="0"/>
    <n v="606290"/>
    <s v="MALE"/>
    <s v="Associate"/>
    <s v="protective-serv"/>
    <s v="reading"/>
    <s v="other-relative"/>
    <n v="0"/>
    <n v="-61000"/>
    <d v="2015-01-04T00:00:00"/>
    <s v="Multi-vehicle Collision"/>
    <s v="Rear Collision"/>
    <s v="Major Damage"/>
    <s v="Ambulance"/>
    <x v="6"/>
    <x v="3"/>
    <s v="5778 Pine Ridge"/>
    <n v="15"/>
    <n v="3"/>
    <s v="YES"/>
    <n v="0"/>
    <n v="3"/>
    <s v="NO"/>
    <n v="41490"/>
    <n v="4610"/>
    <n v="4610"/>
    <n v="32270"/>
    <s v="Nissan"/>
    <s v="Pathfinder"/>
    <n v="2001"/>
    <s v="N"/>
    <n v="38.376513462765807"/>
    <n v="-40409.870000000003"/>
    <n v="2.6032874599310696E-2"/>
    <n v="14"/>
    <n v="156"/>
    <x v="0"/>
    <x v="0"/>
  </r>
  <r>
    <n v="195"/>
    <n v="36"/>
    <n v="842618"/>
    <d v="2001-11-06T00:00:00"/>
    <s v="IN"/>
    <s v="100/300"/>
    <n v="2000"/>
    <n v="1346.18"/>
    <n v="0"/>
    <n v="611852"/>
    <s v="FEMALE"/>
    <s v="Associate"/>
    <s v="machine-op-inspct"/>
    <s v="camping"/>
    <s v="wife"/>
    <n v="57800"/>
    <n v="-53300"/>
    <d v="2015-02-25T00:00:00"/>
    <s v="Multi-vehicle Collision"/>
    <s v="Front Collision"/>
    <s v="Total Loss"/>
    <s v="Fire"/>
    <x v="0"/>
    <x v="4"/>
    <s v="3797 Solo Lane"/>
    <n v="14"/>
    <n v="3"/>
    <s v="YES"/>
    <n v="2"/>
    <n v="3"/>
    <s v="YES"/>
    <n v="68970"/>
    <n v="12540"/>
    <n v="6270"/>
    <n v="50160"/>
    <s v="Chevrolet"/>
    <s v="Tahoe"/>
    <n v="2007"/>
    <s v="N"/>
    <n v="51.195831292032246"/>
    <n v="-67623.820000000007"/>
    <n v="1.9518058314364008E-2"/>
    <n v="8"/>
    <n v="195"/>
    <x v="0"/>
    <x v="0"/>
  </r>
  <r>
    <n v="369"/>
    <n v="55"/>
    <n v="577810"/>
    <d v="2013-04-15T00:00:00"/>
    <s v="OH"/>
    <s v="250/500"/>
    <n v="2000"/>
    <n v="1589.54"/>
    <n v="0"/>
    <n v="444734"/>
    <s v="MALE"/>
    <s v="College"/>
    <s v="handlers-cleaners"/>
    <s v="camping"/>
    <s v="husband"/>
    <n v="55400"/>
    <n v="0"/>
    <d v="2015-01-27T00:00:00"/>
    <s v="Multi-vehicle Collision"/>
    <s v="Rear Collision"/>
    <s v="Minor Damage"/>
    <s v="Police"/>
    <x v="1"/>
    <x v="2"/>
    <s v="9373 Pine Hwy"/>
    <n v="6"/>
    <n v="3"/>
    <s v="?"/>
    <n v="2"/>
    <n v="0"/>
    <s v="YES"/>
    <n v="85300"/>
    <n v="17060"/>
    <n v="8530"/>
    <n v="59710"/>
    <s v="Toyota"/>
    <s v="Highlander"/>
    <n v="2003"/>
    <s v="N"/>
    <n v="53.629584920844493"/>
    <n v="-83710.460000000006"/>
    <n v="1.8634482596921489E-2"/>
    <n v="12"/>
    <n v="369"/>
    <x v="0"/>
    <x v="0"/>
  </r>
  <r>
    <n v="271"/>
    <n v="40"/>
    <n v="873114"/>
    <d v="1995-12-07T00:00:00"/>
    <s v="IL"/>
    <s v="100/300"/>
    <n v="1000"/>
    <n v="1251.6500000000001"/>
    <n v="0"/>
    <n v="433683"/>
    <s v="FEMALE"/>
    <s v="Associate"/>
    <s v="other-service"/>
    <s v="camping"/>
    <s v="wife"/>
    <n v="71200"/>
    <n v="0"/>
    <d v="2015-02-19T00:00:00"/>
    <s v="Parked Car"/>
    <s v="?"/>
    <s v="Minor Damage"/>
    <s v="None"/>
    <x v="2"/>
    <x v="4"/>
    <s v="1365 Francis Ave"/>
    <n v="6"/>
    <n v="1"/>
    <s v="NO"/>
    <n v="0"/>
    <n v="0"/>
    <s v="NO"/>
    <n v="3080"/>
    <n v="560"/>
    <n v="280"/>
    <n v="2240"/>
    <s v="Audi"/>
    <s v="A3"/>
    <n v="2012"/>
    <s v="N"/>
    <n v="2.4587873707739591"/>
    <n v="-1828.35"/>
    <n v="0.40624797143784491"/>
    <n v="3"/>
    <n v="271"/>
    <x v="1"/>
    <x v="1"/>
  </r>
  <r>
    <n v="332"/>
    <n v="47"/>
    <n v="994538"/>
    <d v="1991-11-01T00:00:00"/>
    <s v="IL"/>
    <s v="100/300"/>
    <n v="2000"/>
    <n v="1083.01"/>
    <n v="0"/>
    <n v="448882"/>
    <s v="MALE"/>
    <s v="MD"/>
    <s v="craft-repair"/>
    <s v="paintball"/>
    <s v="other-relative"/>
    <n v="91900"/>
    <n v="0"/>
    <d v="2015-01-31T00:00:00"/>
    <s v="Multi-vehicle Collision"/>
    <s v="Front Collision"/>
    <s v="Major Damage"/>
    <s v="Police"/>
    <x v="4"/>
    <x v="2"/>
    <s v="9239 Washington Ridge"/>
    <n v="22"/>
    <n v="4"/>
    <s v="YES"/>
    <n v="2"/>
    <n v="0"/>
    <s v="?"/>
    <n v="71760"/>
    <n v="11040"/>
    <n v="11040"/>
    <n v="49680"/>
    <s v="Jeep"/>
    <s v="Grand Cherokee"/>
    <n v="2010"/>
    <s v="Y"/>
    <n v="66.198651303954762"/>
    <n v="-70676.990000000005"/>
    <n v="1.5091902286757431E-2"/>
    <n v="5"/>
    <n v="332"/>
    <x v="0"/>
    <x v="0"/>
  </r>
  <r>
    <n v="107"/>
    <n v="26"/>
    <n v="727792"/>
    <d v="2014-05-19T00:00:00"/>
    <s v="OH"/>
    <s v="100/300"/>
    <n v="500"/>
    <n v="974.59"/>
    <n v="0"/>
    <n v="466838"/>
    <s v="FEMALE"/>
    <s v="JD"/>
    <s v="armed-forces"/>
    <s v="skydiving"/>
    <s v="wife"/>
    <n v="62800"/>
    <n v="0"/>
    <d v="2015-01-18T00:00:00"/>
    <s v="Multi-vehicle Collision"/>
    <s v="Rear Collision"/>
    <s v="Minor Damage"/>
    <s v="Ambulance"/>
    <x v="2"/>
    <x v="2"/>
    <s v="3416 Washington Drive"/>
    <n v="14"/>
    <n v="3"/>
    <s v="?"/>
    <n v="1"/>
    <n v="0"/>
    <s v="NO"/>
    <n v="59700"/>
    <n v="11940"/>
    <n v="11940"/>
    <n v="35820"/>
    <s v="Nissan"/>
    <s v="Ultima"/>
    <n v="2002"/>
    <s v="N"/>
    <n v="61.193739173218255"/>
    <n v="-58725.41"/>
    <n v="1.6324517177266712E-2"/>
    <n v="13"/>
    <n v="107"/>
    <x v="0"/>
    <x v="0"/>
  </r>
  <r>
    <n v="217"/>
    <n v="39"/>
    <n v="522506"/>
    <d v="1992-03-15T00:00:00"/>
    <s v="IL"/>
    <s v="500/1000"/>
    <n v="2000"/>
    <n v="1399.85"/>
    <n v="0"/>
    <n v="605490"/>
    <s v="FEMALE"/>
    <s v="Masters"/>
    <s v="other-service"/>
    <s v="skydiving"/>
    <s v="other-relative"/>
    <n v="49900"/>
    <n v="-19800"/>
    <d v="2015-01-10T00:00:00"/>
    <s v="Multi-vehicle Collision"/>
    <s v="Front Collision"/>
    <s v="Minor Damage"/>
    <s v="Fire"/>
    <x v="2"/>
    <x v="0"/>
    <s v="1923 2nd Hwy"/>
    <n v="16"/>
    <n v="3"/>
    <s v="NO"/>
    <n v="0"/>
    <n v="2"/>
    <s v="?"/>
    <n v="64920"/>
    <n v="10820"/>
    <n v="10820"/>
    <n v="43280"/>
    <s v="Ford"/>
    <s v="Fusion"/>
    <n v="1997"/>
    <s v="N"/>
    <n v="46.343291572973556"/>
    <n v="-63520.15"/>
    <n v="2.1562360407264211E-2"/>
    <n v="18"/>
    <n v="217"/>
    <x v="0"/>
    <x v="0"/>
  </r>
  <r>
    <n v="243"/>
    <n v="43"/>
    <n v="367595"/>
    <d v="2006-02-03T00:00:00"/>
    <s v="IN"/>
    <s v="500/1000"/>
    <n v="500"/>
    <n v="1307.74"/>
    <n v="0"/>
    <n v="466137"/>
    <s v="FEMALE"/>
    <s v="Associate"/>
    <s v="machine-op-inspct"/>
    <s v="board-games"/>
    <s v="own-child"/>
    <n v="0"/>
    <n v="-75700"/>
    <d v="2015-01-28T00:00:00"/>
    <s v="Multi-vehicle Collision"/>
    <s v="Front Collision"/>
    <s v="Major Damage"/>
    <s v="Ambulance"/>
    <x v="0"/>
    <x v="1"/>
    <s v="6451 1st Hwy"/>
    <n v="10"/>
    <n v="3"/>
    <s v="?"/>
    <n v="0"/>
    <n v="1"/>
    <s v="NO"/>
    <n v="37530"/>
    <n v="4170"/>
    <n v="4170"/>
    <n v="29190"/>
    <s v="Jeep"/>
    <s v="Wrangler"/>
    <n v="2008"/>
    <s v="N"/>
    <n v="28.676436878218745"/>
    <n v="-36222.26"/>
    <n v="3.4844262076683279E-2"/>
    <n v="7"/>
    <n v="243"/>
    <x v="0"/>
    <x v="0"/>
  </r>
  <r>
    <n v="296"/>
    <n v="42"/>
    <n v="586104"/>
    <d v="2003-03-16T00:00:00"/>
    <s v="IN"/>
    <s v="250/500"/>
    <n v="2000"/>
    <n v="1219.27"/>
    <n v="0"/>
    <n v="466970"/>
    <s v="MALE"/>
    <s v="Associate"/>
    <s v="tech-support"/>
    <s v="paintball"/>
    <s v="husband"/>
    <n v="53100"/>
    <n v="-63400"/>
    <d v="2015-02-16T00:00:00"/>
    <s v="Multi-vehicle Collision"/>
    <s v="Side Collision"/>
    <s v="Total Loss"/>
    <s v="Ambulance"/>
    <x v="4"/>
    <x v="0"/>
    <s v="1267 Francis Hwy"/>
    <n v="9"/>
    <n v="3"/>
    <s v="YES"/>
    <n v="1"/>
    <n v="2"/>
    <s v="NO"/>
    <n v="64080"/>
    <n v="7120"/>
    <n v="7120"/>
    <n v="49840"/>
    <s v="Saab"/>
    <n v="93"/>
    <n v="2012"/>
    <s v="N"/>
    <n v="52.512968441410507"/>
    <n v="-62860.73"/>
    <n v="1.902701268706793E-2"/>
    <n v="3"/>
    <n v="296"/>
    <x v="0"/>
    <x v="0"/>
  </r>
  <r>
    <n v="264"/>
    <n v="41"/>
    <n v="424862"/>
    <d v="2002-10-16T00:00:00"/>
    <s v="OH"/>
    <s v="100/300"/>
    <n v="500"/>
    <n v="1411.3"/>
    <n v="0"/>
    <n v="474801"/>
    <s v="MALE"/>
    <s v="PhD"/>
    <s v="prof-specialty"/>
    <s v="cross-fit"/>
    <s v="unmarried"/>
    <n v="55600"/>
    <n v="0"/>
    <d v="2015-02-08T00:00:00"/>
    <s v="Single Vehicle Collision"/>
    <s v="Rear Collision"/>
    <s v="Minor Damage"/>
    <s v="Other"/>
    <x v="6"/>
    <x v="6"/>
    <s v="4158 Washington Lane"/>
    <n v="4"/>
    <n v="1"/>
    <s v="NO"/>
    <n v="1"/>
    <n v="0"/>
    <s v="?"/>
    <n v="60390"/>
    <n v="10980"/>
    <n v="5490"/>
    <n v="43920"/>
    <s v="BMW"/>
    <s v="M5"/>
    <n v="2004"/>
    <s v="Y"/>
    <n v="42.760036819372658"/>
    <n v="-58978.7"/>
    <n v="2.336937623155768E-2"/>
    <n v="11"/>
    <n v="264"/>
    <x v="0"/>
    <x v="0"/>
  </r>
  <r>
    <n v="108"/>
    <n v="33"/>
    <n v="512813"/>
    <d v="1990-01-27T00:00:00"/>
    <s v="IL"/>
    <s v="100/300"/>
    <n v="2000"/>
    <n v="694.45"/>
    <n v="0"/>
    <n v="450703"/>
    <s v="FEMALE"/>
    <s v="JD"/>
    <s v="armed-forces"/>
    <s v="exercise"/>
    <s v="not-in-family"/>
    <n v="0"/>
    <n v="0"/>
    <d v="2015-01-20T00:00:00"/>
    <s v="Multi-vehicle Collision"/>
    <s v="Side Collision"/>
    <s v="Major Damage"/>
    <s v="Police"/>
    <x v="4"/>
    <x v="5"/>
    <s v="3796 Cherokee Drive"/>
    <n v="6"/>
    <n v="3"/>
    <s v="?"/>
    <n v="0"/>
    <n v="1"/>
    <s v="YES"/>
    <n v="64350"/>
    <n v="5850"/>
    <n v="11700"/>
    <n v="46800"/>
    <s v="Nissan"/>
    <s v="Pathfinder"/>
    <n v="2011"/>
    <s v="Y"/>
    <n v="92.530016536055783"/>
    <n v="-63655.55"/>
    <n v="1.0791596090192849E-2"/>
    <n v="4"/>
    <n v="108"/>
    <x v="0"/>
    <x v="0"/>
  </r>
  <r>
    <n v="32"/>
    <n v="38"/>
    <n v="356768"/>
    <d v="2010-03-11T00:00:00"/>
    <s v="IL"/>
    <s v="100/300"/>
    <n v="500"/>
    <n v="1006.77"/>
    <n v="6000000"/>
    <n v="478172"/>
    <s v="FEMALE"/>
    <s v="College"/>
    <s v="other-service"/>
    <s v="sleeping"/>
    <s v="own-child"/>
    <n v="0"/>
    <n v="0"/>
    <d v="2015-02-06T00:00:00"/>
    <s v="Multi-vehicle Collision"/>
    <s v="Side Collision"/>
    <s v="Minor Damage"/>
    <s v="Police"/>
    <x v="0"/>
    <x v="5"/>
    <s v="7434 Oak Hwy"/>
    <n v="15"/>
    <n v="3"/>
    <s v="YES"/>
    <n v="2"/>
    <n v="1"/>
    <s v="YES"/>
    <n v="70900"/>
    <n v="14180"/>
    <n v="7090"/>
    <n v="49630"/>
    <s v="BMW"/>
    <s v="X6"/>
    <n v="1997"/>
    <s v="N"/>
    <n v="70.353354436032035"/>
    <n v="-69893.23"/>
    <n v="1.4199658679003116E-2"/>
    <n v="18"/>
    <n v="32"/>
    <x v="0"/>
    <x v="0"/>
  </r>
  <r>
    <n v="259"/>
    <n v="39"/>
    <n v="330506"/>
    <d v="1995-09-19T00:00:00"/>
    <s v="OH"/>
    <s v="250/500"/>
    <n v="1000"/>
    <n v="1422.36"/>
    <n v="0"/>
    <n v="604668"/>
    <s v="FEMALE"/>
    <s v="JD"/>
    <s v="craft-repair"/>
    <s v="movies"/>
    <s v="unmarried"/>
    <n v="0"/>
    <n v="-83900"/>
    <d v="2015-01-24T00:00:00"/>
    <s v="Multi-vehicle Collision"/>
    <s v="Side Collision"/>
    <s v="Minor Damage"/>
    <s v="Fire"/>
    <x v="6"/>
    <x v="0"/>
    <s v="5178 Weaver Hwy"/>
    <n v="12"/>
    <n v="3"/>
    <s v="NO"/>
    <n v="1"/>
    <n v="3"/>
    <s v="?"/>
    <n v="46560"/>
    <n v="7760"/>
    <n v="7760"/>
    <n v="31040"/>
    <s v="Nissan"/>
    <s v="Ultima"/>
    <n v="2012"/>
    <s v="N"/>
    <n v="32.711330935251802"/>
    <n v="-45137.64"/>
    <n v="3.0548312965786816E-2"/>
    <n v="3"/>
    <n v="259"/>
    <x v="0"/>
    <x v="0"/>
  </r>
  <r>
    <n v="186"/>
    <n v="33"/>
    <n v="779075"/>
    <d v="2010-02-27T00:00:00"/>
    <s v="IN"/>
    <s v="100/300"/>
    <n v="1000"/>
    <n v="1348.32"/>
    <n v="0"/>
    <n v="469429"/>
    <s v="FEMALE"/>
    <s v="Associate"/>
    <s v="craft-repair"/>
    <s v="cross-fit"/>
    <s v="wife"/>
    <n v="37600"/>
    <n v="-37600"/>
    <d v="2015-01-14T00:00:00"/>
    <s v="Vehicle Theft"/>
    <s v="?"/>
    <s v="Trivial Damage"/>
    <s v="Police"/>
    <x v="2"/>
    <x v="2"/>
    <s v="8477 Francis Hwy"/>
    <n v="3"/>
    <n v="1"/>
    <s v="NO"/>
    <n v="2"/>
    <n v="1"/>
    <s v="?"/>
    <n v="4730"/>
    <n v="860"/>
    <n v="860"/>
    <n v="3010"/>
    <s v="Chevrolet"/>
    <s v="Malibu"/>
    <n v="2013"/>
    <s v="Y"/>
    <n v="3.5054694216346012"/>
    <n v="-3381.6800000000003"/>
    <n v="0.28499682942295496"/>
    <n v="2"/>
    <n v="186"/>
    <x v="1"/>
    <x v="1"/>
  </r>
  <r>
    <n v="201"/>
    <n v="40"/>
    <n v="799501"/>
    <d v="1991-12-28T00:00:00"/>
    <s v="OH"/>
    <s v="250/500"/>
    <n v="2000"/>
    <n v="1315.56"/>
    <n v="0"/>
    <n v="471806"/>
    <s v="FEMALE"/>
    <s v="PhD"/>
    <s v="transport-moving"/>
    <s v="video-games"/>
    <s v="not-in-family"/>
    <n v="0"/>
    <n v="0"/>
    <d v="2015-02-18T00:00:00"/>
    <s v="Vehicle Theft"/>
    <s v="?"/>
    <s v="Minor Damage"/>
    <s v="Police"/>
    <x v="0"/>
    <x v="6"/>
    <s v="7693 Britain Lane"/>
    <n v="14"/>
    <n v="1"/>
    <s v="YES"/>
    <n v="0"/>
    <n v="0"/>
    <s v="YES"/>
    <n v="6820"/>
    <n v="1240"/>
    <n v="1240"/>
    <n v="4340"/>
    <s v="Jeep"/>
    <s v="Grand Cherokee"/>
    <n v="2003"/>
    <s v="N"/>
    <n v="5.1801664945008206"/>
    <n v="-5504.4400000000005"/>
    <n v="0.19286908077994427"/>
    <n v="12"/>
    <n v="201"/>
    <x v="2"/>
    <x v="0"/>
  </r>
  <r>
    <n v="436"/>
    <n v="58"/>
    <n v="987905"/>
    <d v="2002-04-30T00:00:00"/>
    <s v="OH"/>
    <s v="250/500"/>
    <n v="2000"/>
    <n v="1407.01"/>
    <n v="5000000"/>
    <n v="475705"/>
    <s v="MALE"/>
    <s v="PhD"/>
    <s v="tech-support"/>
    <s v="sleeping"/>
    <s v="other-relative"/>
    <n v="47400"/>
    <n v="-27600"/>
    <d v="2015-01-10T00:00:00"/>
    <s v="Single Vehicle Collision"/>
    <s v="Rear Collision"/>
    <s v="Major Damage"/>
    <s v="Police"/>
    <x v="4"/>
    <x v="1"/>
    <s v="3658 Rock Drive"/>
    <n v="10"/>
    <n v="1"/>
    <s v="?"/>
    <n v="0"/>
    <n v="2"/>
    <s v="?"/>
    <n v="59900"/>
    <n v="11980"/>
    <n v="5990"/>
    <n v="41930"/>
    <s v="BMW"/>
    <s v="X5"/>
    <n v="1997"/>
    <s v="Y"/>
    <n v="42.542311489264989"/>
    <n v="-58492.99"/>
    <n v="2.3488923390260597E-2"/>
    <n v="18"/>
    <n v="436"/>
    <x v="0"/>
    <x v="0"/>
  </r>
  <r>
    <n v="189"/>
    <n v="36"/>
    <n v="967756"/>
    <d v="2007-04-28T00:00:00"/>
    <s v="OH"/>
    <s v="250/500"/>
    <n v="2000"/>
    <n v="1388.58"/>
    <n v="0"/>
    <n v="459122"/>
    <s v="FEMALE"/>
    <s v="MD"/>
    <s v="priv-house-serv"/>
    <s v="basketball"/>
    <s v="own-child"/>
    <n v="0"/>
    <n v="-49400"/>
    <d v="2015-02-13T00:00:00"/>
    <s v="Multi-vehicle Collision"/>
    <s v="Side Collision"/>
    <s v="Major Damage"/>
    <s v="Police"/>
    <x v="4"/>
    <x v="1"/>
    <s v="2617 Andromedia Drive"/>
    <n v="17"/>
    <n v="3"/>
    <s v="?"/>
    <n v="1"/>
    <n v="3"/>
    <s v="YES"/>
    <n v="79560"/>
    <n v="13260"/>
    <n v="13260"/>
    <n v="53040"/>
    <s v="Ford"/>
    <s v="Escape"/>
    <n v="2009"/>
    <s v="N"/>
    <n v="57.254710056275997"/>
    <n v="-78171.42"/>
    <n v="1.7453023466271162E-2"/>
    <n v="6"/>
    <n v="189"/>
    <x v="0"/>
    <x v="0"/>
  </r>
  <r>
    <n v="105"/>
    <n v="33"/>
    <n v="830414"/>
    <d v="1996-07-08T00:00:00"/>
    <s v="IL"/>
    <s v="500/1000"/>
    <n v="500"/>
    <n v="1310.76"/>
    <n v="0"/>
    <n v="476737"/>
    <s v="FEMALE"/>
    <s v="High School"/>
    <s v="adm-clerical"/>
    <s v="kayaking"/>
    <s v="not-in-family"/>
    <n v="0"/>
    <n v="-40900"/>
    <d v="2015-02-17T00:00:00"/>
    <s v="Single Vehicle Collision"/>
    <s v="Front Collision"/>
    <s v="Total Loss"/>
    <s v="Other"/>
    <x v="1"/>
    <x v="6"/>
    <s v="9279 Oak Hwy"/>
    <n v="8"/>
    <n v="1"/>
    <s v="YES"/>
    <n v="0"/>
    <n v="1"/>
    <s v="?"/>
    <n v="70290"/>
    <n v="12780"/>
    <n v="6390"/>
    <n v="51120"/>
    <s v="Accura"/>
    <s v="MDX"/>
    <n v="2008"/>
    <s v="N"/>
    <n v="53.58449716411539"/>
    <n v="-68979.240000000005"/>
    <n v="1.8647622028424692E-2"/>
    <n v="7"/>
    <n v="105"/>
    <x v="0"/>
    <x v="0"/>
  </r>
  <r>
    <n v="163"/>
    <n v="31"/>
    <n v="127313"/>
    <d v="2002-04-01T00:00:00"/>
    <s v="IN"/>
    <s v="100/300"/>
    <n v="1000"/>
    <n v="1004.63"/>
    <n v="6000000"/>
    <n v="460359"/>
    <s v="MALE"/>
    <s v="JD"/>
    <s v="priv-house-serv"/>
    <s v="hiking"/>
    <s v="not-in-family"/>
    <n v="26900"/>
    <n v="0"/>
    <d v="2015-01-07T00:00:00"/>
    <s v="Multi-vehicle Collision"/>
    <s v="Rear Collision"/>
    <s v="Total Loss"/>
    <s v="Ambulance"/>
    <x v="0"/>
    <x v="4"/>
    <s v="3439 Andromedia Hwy"/>
    <n v="14"/>
    <n v="3"/>
    <s v="YES"/>
    <n v="2"/>
    <n v="0"/>
    <s v="NO"/>
    <n v="63910"/>
    <n v="5810"/>
    <n v="11620"/>
    <n v="46480"/>
    <s v="Suburu"/>
    <s v="Forrestor"/>
    <n v="1999"/>
    <s v="N"/>
    <n v="63.552201107763295"/>
    <n v="-62905.37"/>
    <n v="1.5719203267043232E-2"/>
    <n v="16"/>
    <n v="163"/>
    <x v="0"/>
    <x v="0"/>
  </r>
  <r>
    <n v="219"/>
    <n v="40"/>
    <n v="786957"/>
    <d v="2006-10-29T00:00:00"/>
    <s v="OH"/>
    <s v="100/300"/>
    <n v="500"/>
    <n v="1134.9100000000001"/>
    <n v="0"/>
    <n v="452735"/>
    <s v="FEMALE"/>
    <s v="Associate"/>
    <s v="transport-moving"/>
    <s v="golf"/>
    <s v="not-in-family"/>
    <n v="68700"/>
    <n v="0"/>
    <d v="2015-01-29T00:00:00"/>
    <s v="Vehicle Theft"/>
    <s v="?"/>
    <s v="Trivial Damage"/>
    <s v="None"/>
    <x v="0"/>
    <x v="1"/>
    <s v="5901 Elm Drive"/>
    <n v="6"/>
    <n v="1"/>
    <s v="?"/>
    <n v="1"/>
    <n v="0"/>
    <s v="NO"/>
    <n v="6400"/>
    <n v="640"/>
    <n v="640"/>
    <n v="5120"/>
    <s v="Toyota"/>
    <s v="Camry"/>
    <n v="1997"/>
    <s v="N"/>
    <n v="5.6342491922775571"/>
    <n v="-5265.09"/>
    <n v="0.17730198406498987"/>
    <n v="18"/>
    <n v="219"/>
    <x v="2"/>
    <x v="0"/>
  </r>
  <r>
    <n v="88"/>
    <n v="25"/>
    <n v="332892"/>
    <d v="2007-10-25T00:00:00"/>
    <s v="IN"/>
    <s v="250/500"/>
    <n v="1000"/>
    <n v="1194"/>
    <n v="0"/>
    <n v="613583"/>
    <s v="FEMALE"/>
    <s v="JD"/>
    <s v="handlers-cleaners"/>
    <s v="movies"/>
    <s v="husband"/>
    <n v="0"/>
    <n v="0"/>
    <d v="2015-02-13T00:00:00"/>
    <s v="Single Vehicle Collision"/>
    <s v="Rear Collision"/>
    <s v="Major Damage"/>
    <s v="Ambulance"/>
    <x v="0"/>
    <x v="6"/>
    <s v="3982 Washington Hwy"/>
    <n v="6"/>
    <n v="1"/>
    <s v="YES"/>
    <n v="1"/>
    <n v="2"/>
    <s v="YES"/>
    <n v="66780"/>
    <n v="7420"/>
    <n v="7420"/>
    <n v="51940"/>
    <s v="Ford"/>
    <s v="Escape"/>
    <n v="2013"/>
    <s v="Y"/>
    <n v="55.88284518828452"/>
    <n v="-65586"/>
    <n v="1.7879336937152782E-2"/>
    <n v="2"/>
    <n v="88"/>
    <x v="0"/>
    <x v="0"/>
  </r>
  <r>
    <n v="40"/>
    <n v="39"/>
    <n v="448642"/>
    <d v="2001-03-28T00:00:00"/>
    <s v="IN"/>
    <s v="500/1000"/>
    <n v="1000"/>
    <n v="1248.25"/>
    <n v="4000000"/>
    <n v="605692"/>
    <s v="FEMALE"/>
    <s v="College"/>
    <s v="sales"/>
    <s v="hiking"/>
    <s v="own-child"/>
    <n v="0"/>
    <n v="-33300"/>
    <d v="2015-02-01T00:00:00"/>
    <s v="Parked Car"/>
    <s v="?"/>
    <s v="Minor Damage"/>
    <s v="Police"/>
    <x v="1"/>
    <x v="6"/>
    <s v="3376 5th Drive"/>
    <n v="8"/>
    <n v="1"/>
    <s v="NO"/>
    <n v="0"/>
    <n v="2"/>
    <s v="?"/>
    <n v="8760"/>
    <n v="1460"/>
    <n v="1460"/>
    <n v="5840"/>
    <s v="BMW"/>
    <s v="3 Series"/>
    <n v="2013"/>
    <s v="N"/>
    <n v="7.0122073243946366"/>
    <n v="-7511.75"/>
    <n v="0.14247802762241754"/>
    <n v="2"/>
    <n v="40"/>
    <x v="2"/>
    <x v="0"/>
  </r>
  <r>
    <n v="284"/>
    <n v="42"/>
    <n v="526039"/>
    <d v="1995-05-04T00:00:00"/>
    <s v="OH"/>
    <s v="100/300"/>
    <n v="500"/>
    <n v="1338.54"/>
    <n v="-1000000"/>
    <n v="438178"/>
    <s v="MALE"/>
    <s v="Associate"/>
    <s v="machine-op-inspct"/>
    <s v="kayaking"/>
    <s v="wife"/>
    <n v="0"/>
    <n v="0"/>
    <d v="2015-01-29T00:00:00"/>
    <s v="Single Vehicle Collision"/>
    <s v="Side Collision"/>
    <s v="Major Damage"/>
    <s v="Ambulance"/>
    <x v="5"/>
    <x v="2"/>
    <s v="3936 Tree Drive"/>
    <n v="13"/>
    <n v="1"/>
    <s v="YES"/>
    <n v="0"/>
    <n v="1"/>
    <s v="?"/>
    <n v="94160"/>
    <n v="8560"/>
    <n v="17120"/>
    <n v="68480"/>
    <s v="Chevrolet"/>
    <s v="Malibu"/>
    <n v="1996"/>
    <s v="N"/>
    <n v="70.292787076160479"/>
    <n v="-92821.46"/>
    <n v="1.4215439513174244E-2"/>
    <n v="19"/>
    <n v="284"/>
    <x v="0"/>
    <x v="0"/>
  </r>
  <r>
    <n v="59"/>
    <n v="40"/>
    <n v="444422"/>
    <d v="2011-09-28T00:00:00"/>
    <s v="IL"/>
    <s v="250/500"/>
    <n v="2000"/>
    <n v="782.23"/>
    <n v="0"/>
    <n v="449221"/>
    <s v="MALE"/>
    <s v="College"/>
    <s v="protective-serv"/>
    <s v="golf"/>
    <s v="other-relative"/>
    <n v="64200"/>
    <n v="-32300"/>
    <d v="2015-02-06T00:00:00"/>
    <s v="Multi-vehicle Collision"/>
    <s v="Front Collision"/>
    <s v="Total Loss"/>
    <s v="Ambulance"/>
    <x v="3"/>
    <x v="3"/>
    <s v="6605 Tree Ave"/>
    <n v="0"/>
    <n v="3"/>
    <s v="?"/>
    <n v="0"/>
    <n v="2"/>
    <s v="NO"/>
    <n v="51570"/>
    <n v="5730"/>
    <n v="11460"/>
    <n v="34380"/>
    <s v="BMW"/>
    <s v="X5"/>
    <n v="2010"/>
    <s v="N"/>
    <n v="65.84272818967608"/>
    <n v="-50787.77"/>
    <n v="1.5168020786876346E-2"/>
    <n v="5"/>
    <n v="59"/>
    <x v="0"/>
    <x v="0"/>
  </r>
  <r>
    <n v="39"/>
    <n v="31"/>
    <n v="689500"/>
    <d v="2003-01-28T00:00:00"/>
    <s v="IL"/>
    <s v="250/500"/>
    <n v="2000"/>
    <n v="1366.9"/>
    <n v="0"/>
    <n v="459322"/>
    <s v="FEMALE"/>
    <s v="High School"/>
    <s v="handlers-cleaners"/>
    <s v="polo"/>
    <s v="husband"/>
    <n v="0"/>
    <n v="-15700"/>
    <d v="2015-01-28T00:00:00"/>
    <s v="Multi-vehicle Collision"/>
    <s v="Rear Collision"/>
    <s v="Major Damage"/>
    <s v="Fire"/>
    <x v="5"/>
    <x v="5"/>
    <s v="3102 Apache St"/>
    <n v="14"/>
    <n v="3"/>
    <s v="?"/>
    <n v="1"/>
    <n v="0"/>
    <s v="NO"/>
    <n v="52700"/>
    <n v="10540"/>
    <n v="10540"/>
    <n v="31620"/>
    <s v="BMW"/>
    <s v="X6"/>
    <n v="2014"/>
    <s v="Y"/>
    <n v="38.526208056144455"/>
    <n v="-51333.1"/>
    <n v="2.5936889243088367E-2"/>
    <n v="1"/>
    <n v="39"/>
    <x v="0"/>
    <x v="0"/>
  </r>
  <r>
    <n v="147"/>
    <n v="34"/>
    <n v="806081"/>
    <d v="2011-02-01T00:00:00"/>
    <s v="IL"/>
    <s v="500/1000"/>
    <n v="1000"/>
    <n v="1275.81"/>
    <n v="0"/>
    <n v="472657"/>
    <s v="MALE"/>
    <s v="High School"/>
    <s v="sales"/>
    <s v="dancing"/>
    <s v="wife"/>
    <n v="0"/>
    <n v="-48300"/>
    <d v="2015-01-21T00:00:00"/>
    <s v="Single Vehicle Collision"/>
    <s v="Side Collision"/>
    <s v="Minor Damage"/>
    <s v="Fire"/>
    <x v="2"/>
    <x v="0"/>
    <s v="7756 Pine Hwy"/>
    <n v="13"/>
    <n v="1"/>
    <s v="YES"/>
    <n v="2"/>
    <n v="2"/>
    <s v="?"/>
    <n v="101010"/>
    <n v="15540"/>
    <n v="15540"/>
    <n v="69930"/>
    <s v="Mercedes"/>
    <s v="ML350"/>
    <n v="1998"/>
    <s v="N"/>
    <n v="79.111222499823782"/>
    <n v="-99734.19"/>
    <n v="1.2630406589381355E-2"/>
    <n v="17"/>
    <n v="147"/>
    <x v="0"/>
    <x v="0"/>
  </r>
  <r>
    <n v="156"/>
    <n v="37"/>
    <n v="384618"/>
    <d v="1993-02-09T00:00:00"/>
    <s v="IN"/>
    <s v="250/500"/>
    <n v="500"/>
    <n v="1090.6500000000001"/>
    <n v="0"/>
    <n v="608331"/>
    <s v="MALE"/>
    <s v="High School"/>
    <s v="exec-managerial"/>
    <s v="golf"/>
    <s v="unmarried"/>
    <n v="0"/>
    <n v="-51800"/>
    <d v="2015-01-16T00:00:00"/>
    <s v="Multi-vehicle Collision"/>
    <s v="Rear Collision"/>
    <s v="Minor Damage"/>
    <s v="Police"/>
    <x v="5"/>
    <x v="0"/>
    <s v="7142 5th Lane"/>
    <n v="16"/>
    <n v="4"/>
    <s v="?"/>
    <n v="1"/>
    <n v="2"/>
    <s v="YES"/>
    <n v="53400"/>
    <n v="5340"/>
    <n v="5340"/>
    <n v="42720"/>
    <s v="Honda"/>
    <s v="Civic"/>
    <n v="2010"/>
    <s v="Y"/>
    <n v="48.916777355379466"/>
    <n v="-52309.35"/>
    <n v="2.0423774835677238E-2"/>
    <n v="5"/>
    <n v="156"/>
    <x v="0"/>
    <x v="0"/>
  </r>
  <r>
    <n v="123"/>
    <n v="31"/>
    <n v="756459"/>
    <d v="2005-08-05T00:00:00"/>
    <s v="IN"/>
    <s v="250/500"/>
    <n v="500"/>
    <n v="1326"/>
    <n v="0"/>
    <n v="438546"/>
    <s v="FEMALE"/>
    <s v="Associate"/>
    <s v="prof-specialty"/>
    <s v="basketball"/>
    <s v="wife"/>
    <n v="0"/>
    <n v="-54600"/>
    <d v="2015-02-17T00:00:00"/>
    <s v="Single Vehicle Collision"/>
    <s v="Side Collision"/>
    <s v="Total Loss"/>
    <s v="Fire"/>
    <x v="0"/>
    <x v="6"/>
    <s v="2914 Oak Drive"/>
    <n v="13"/>
    <n v="1"/>
    <s v="?"/>
    <n v="1"/>
    <n v="2"/>
    <s v="NO"/>
    <n v="72120"/>
    <n v="12020"/>
    <n v="12020"/>
    <n v="48080"/>
    <s v="Mercedes"/>
    <s v="ML350"/>
    <n v="2009"/>
    <s v="N"/>
    <n v="54.348153730218542"/>
    <n v="-70794"/>
    <n v="1.8385768361503584E-2"/>
    <n v="6"/>
    <n v="123"/>
    <x v="0"/>
    <x v="0"/>
  </r>
  <r>
    <n v="231"/>
    <n v="43"/>
    <n v="655787"/>
    <d v="2006-06-17T00:00:00"/>
    <s v="IL"/>
    <s v="250/500"/>
    <n v="2000"/>
    <n v="972.47"/>
    <n v="0"/>
    <n v="441981"/>
    <s v="MALE"/>
    <s v="College"/>
    <s v="protective-serv"/>
    <s v="reading"/>
    <s v="wife"/>
    <n v="0"/>
    <n v="-58100"/>
    <d v="2015-02-01T00:00:00"/>
    <s v="Multi-vehicle Collision"/>
    <s v="Front Collision"/>
    <s v="Minor Damage"/>
    <s v="Police"/>
    <x v="6"/>
    <x v="4"/>
    <s v="6522 Apache Drive"/>
    <n v="15"/>
    <n v="3"/>
    <s v="YES"/>
    <n v="2"/>
    <n v="2"/>
    <s v="YES"/>
    <n v="77100"/>
    <n v="7710"/>
    <n v="15420"/>
    <n v="53970"/>
    <s v="Audi"/>
    <s v="A3"/>
    <n v="2010"/>
    <s v="N"/>
    <n v="79.20120804955468"/>
    <n v="-76127.53"/>
    <n v="1.2612936278388089E-2"/>
    <n v="5"/>
    <n v="231"/>
    <x v="0"/>
    <x v="0"/>
  </r>
  <r>
    <n v="247"/>
    <n v="39"/>
    <n v="419954"/>
    <d v="1993-12-07T00:00:00"/>
    <s v="IL"/>
    <s v="100/300"/>
    <n v="500"/>
    <n v="806.31"/>
    <n v="0"/>
    <n v="602177"/>
    <s v="FEMALE"/>
    <s v="College"/>
    <s v="handlers-cleaners"/>
    <s v="dancing"/>
    <s v="wife"/>
    <n v="0"/>
    <n v="0"/>
    <d v="2015-02-25T00:00:00"/>
    <s v="Parked Car"/>
    <s v="?"/>
    <s v="Trivial Damage"/>
    <s v="Police"/>
    <x v="0"/>
    <x v="5"/>
    <s v="5279 Pine Ridge"/>
    <n v="3"/>
    <n v="1"/>
    <s v="?"/>
    <n v="2"/>
    <n v="3"/>
    <s v="?"/>
    <n v="3300"/>
    <n v="600"/>
    <n v="0"/>
    <n v="2700"/>
    <s v="Dodge"/>
    <s v="RAM"/>
    <n v="2003"/>
    <s v="N"/>
    <n v="4.0876491062912637"/>
    <n v="-2493.69"/>
    <n v="0.24426234474401695"/>
    <n v="12"/>
    <n v="247"/>
    <x v="1"/>
    <x v="1"/>
  </r>
  <r>
    <n v="194"/>
    <n v="35"/>
    <n v="275092"/>
    <d v="2012-03-14T00:00:00"/>
    <s v="IL"/>
    <s v="500/1000"/>
    <n v="500"/>
    <n v="1416.24"/>
    <n v="0"/>
    <n v="441659"/>
    <s v="FEMALE"/>
    <s v="MD"/>
    <s v="adm-clerical"/>
    <s v="golf"/>
    <s v="not-in-family"/>
    <n v="0"/>
    <n v="0"/>
    <d v="2015-02-26T00:00:00"/>
    <s v="Parked Car"/>
    <s v="?"/>
    <s v="Minor Damage"/>
    <s v="None"/>
    <x v="4"/>
    <x v="5"/>
    <s v="8078 Britain Hwy"/>
    <n v="7"/>
    <n v="1"/>
    <s v="YES"/>
    <n v="1"/>
    <n v="0"/>
    <s v="?"/>
    <n v="5940"/>
    <n v="1080"/>
    <n v="540"/>
    <n v="4320"/>
    <s v="Nissan"/>
    <s v="Pathfinder"/>
    <n v="2003"/>
    <s v="N"/>
    <n v="4.1912449549829249"/>
    <n v="-4523.76"/>
    <n v="0.23838411041912136"/>
    <n v="12"/>
    <n v="194"/>
    <x v="1"/>
    <x v="1"/>
  </r>
  <r>
    <n v="119"/>
    <n v="27"/>
    <n v="515698"/>
    <d v="1997-08-05T00:00:00"/>
    <s v="IN"/>
    <s v="250/500"/>
    <n v="2000"/>
    <n v="1097.6400000000001"/>
    <n v="0"/>
    <n v="614812"/>
    <s v="MALE"/>
    <s v="High School"/>
    <s v="transport-moving"/>
    <s v="video-games"/>
    <s v="other-relative"/>
    <n v="27100"/>
    <n v="0"/>
    <d v="2015-02-06T00:00:00"/>
    <s v="Multi-vehicle Collision"/>
    <s v="Rear Collision"/>
    <s v="Major Damage"/>
    <s v="Other"/>
    <x v="6"/>
    <x v="5"/>
    <s v="1133 Apache St"/>
    <n v="16"/>
    <n v="2"/>
    <s v="NO"/>
    <n v="1"/>
    <n v="0"/>
    <s v="?"/>
    <n v="63720"/>
    <n v="7080"/>
    <n v="21240"/>
    <n v="35400"/>
    <s v="Accura"/>
    <s v="TL"/>
    <n v="2006"/>
    <s v="N"/>
    <n v="57.99898055778052"/>
    <n v="-62622.36"/>
    <n v="1.7225718366001792E-2"/>
    <n v="9"/>
    <n v="119"/>
    <x v="0"/>
    <x v="0"/>
  </r>
  <r>
    <n v="259"/>
    <n v="43"/>
    <n v="132871"/>
    <d v="2009-07-05T00:00:00"/>
    <s v="IL"/>
    <s v="100/300"/>
    <n v="500"/>
    <n v="947.75"/>
    <n v="0"/>
    <n v="458470"/>
    <s v="FEMALE"/>
    <s v="Masters"/>
    <s v="farming-fishing"/>
    <s v="base-jumping"/>
    <s v="not-in-family"/>
    <n v="0"/>
    <n v="-39300"/>
    <d v="2015-02-03T00:00:00"/>
    <s v="Vehicle Theft"/>
    <s v="?"/>
    <s v="Trivial Damage"/>
    <s v="Police"/>
    <x v="0"/>
    <x v="1"/>
    <s v="2873 Flute Ave"/>
    <n v="15"/>
    <n v="1"/>
    <s v="NO"/>
    <n v="1"/>
    <n v="3"/>
    <s v="NO"/>
    <n v="7680"/>
    <n v="1280"/>
    <n v="640"/>
    <n v="5760"/>
    <s v="Audi"/>
    <s v="A5"/>
    <n v="2008"/>
    <s v="N"/>
    <n v="8.0948616600790508"/>
    <n v="-6732.25"/>
    <n v="0.12338888165603437"/>
    <n v="7"/>
    <n v="259"/>
    <x v="2"/>
    <x v="0"/>
  </r>
  <r>
    <n v="107"/>
    <n v="31"/>
    <n v="714929"/>
    <d v="1994-11-25T00:00:00"/>
    <s v="IL"/>
    <s v="100/300"/>
    <n v="2000"/>
    <n v="1018.73"/>
    <n v="5000000"/>
    <n v="469646"/>
    <s v="MALE"/>
    <s v="Associate"/>
    <s v="handlers-cleaners"/>
    <s v="yachting"/>
    <s v="own-child"/>
    <n v="20000"/>
    <n v="-82700"/>
    <d v="2015-01-27T00:00:00"/>
    <s v="Multi-vehicle Collision"/>
    <s v="Side Collision"/>
    <s v="Total Loss"/>
    <s v="Police"/>
    <x v="2"/>
    <x v="1"/>
    <s v="8509 Apache St"/>
    <n v="21"/>
    <n v="3"/>
    <s v="YES"/>
    <n v="1"/>
    <n v="2"/>
    <s v="?"/>
    <n v="93730"/>
    <n v="14420"/>
    <n v="21630"/>
    <n v="57680"/>
    <s v="Honda"/>
    <s v="CRV"/>
    <n v="2001"/>
    <s v="N"/>
    <n v="91.916487697723909"/>
    <n v="-92711.27"/>
    <n v="1.0868656047625653E-2"/>
    <n v="14"/>
    <n v="107"/>
    <x v="0"/>
    <x v="0"/>
  </r>
  <r>
    <n v="48"/>
    <n v="44"/>
    <n v="297816"/>
    <d v="1997-02-03T00:00:00"/>
    <s v="IL"/>
    <s v="100/300"/>
    <n v="2000"/>
    <n v="1400.74"/>
    <n v="0"/>
    <n v="611118"/>
    <s v="MALE"/>
    <s v="College"/>
    <s v="sales"/>
    <s v="base-jumping"/>
    <s v="other-relative"/>
    <n v="34000"/>
    <n v="-55600"/>
    <d v="2015-01-21T00:00:00"/>
    <s v="Multi-vehicle Collision"/>
    <s v="Rear Collision"/>
    <s v="Major Damage"/>
    <s v="Police"/>
    <x v="5"/>
    <x v="2"/>
    <s v="8245 4th Hwy"/>
    <n v="23"/>
    <n v="3"/>
    <s v="YES"/>
    <n v="0"/>
    <n v="2"/>
    <s v="?"/>
    <n v="87300"/>
    <n v="17460"/>
    <n v="17460"/>
    <n v="52380"/>
    <s v="Jeep"/>
    <s v="Wrangler"/>
    <n v="2013"/>
    <s v="N"/>
    <n v="62.279738039864739"/>
    <n v="-85899.26"/>
    <n v="1.6044947938740679E-2"/>
    <n v="2"/>
    <n v="48"/>
    <x v="0"/>
    <x v="0"/>
  </r>
  <r>
    <n v="267"/>
    <n v="40"/>
    <n v="426708"/>
    <d v="2009-10-09T00:00:00"/>
    <s v="IL"/>
    <s v="250/500"/>
    <n v="500"/>
    <n v="1155.53"/>
    <n v="5000000"/>
    <n v="465158"/>
    <s v="MALE"/>
    <s v="JD"/>
    <s v="transport-moving"/>
    <s v="camping"/>
    <s v="wife"/>
    <n v="0"/>
    <n v="-35200"/>
    <d v="2015-01-24T00:00:00"/>
    <s v="Parked Car"/>
    <s v="?"/>
    <s v="Trivial Damage"/>
    <s v="Police"/>
    <x v="2"/>
    <x v="0"/>
    <s v="3094 Best Lane"/>
    <n v="5"/>
    <n v="1"/>
    <s v="?"/>
    <n v="0"/>
    <n v="2"/>
    <s v="NO"/>
    <n v="5670"/>
    <n v="1260"/>
    <n v="630"/>
    <n v="3780"/>
    <s v="Ford"/>
    <s v="F150"/>
    <n v="1997"/>
    <s v="N"/>
    <n v="4.9025965604005082"/>
    <n v="-4514.47"/>
    <n v="0.2037612414036325"/>
    <n v="18"/>
    <n v="267"/>
    <x v="1"/>
    <x v="1"/>
  </r>
  <r>
    <n v="286"/>
    <n v="47"/>
    <n v="615047"/>
    <d v="2002-11-20T00:00:00"/>
    <s v="IN"/>
    <s v="250/500"/>
    <n v="500"/>
    <n v="1386.93"/>
    <n v="0"/>
    <n v="457130"/>
    <s v="MALE"/>
    <s v="High School"/>
    <s v="priv-house-serv"/>
    <s v="bungie-jumping"/>
    <s v="husband"/>
    <n v="54100"/>
    <n v="-77600"/>
    <d v="2015-01-17T00:00:00"/>
    <s v="Multi-vehicle Collision"/>
    <s v="Rear Collision"/>
    <s v="Minor Damage"/>
    <s v="Other"/>
    <x v="2"/>
    <x v="3"/>
    <s v="8188 Tree Ave"/>
    <n v="15"/>
    <n v="3"/>
    <s v="YES"/>
    <n v="0"/>
    <n v="0"/>
    <s v="NO"/>
    <n v="65800"/>
    <n v="13160"/>
    <n v="6580"/>
    <n v="46060"/>
    <s v="Accura"/>
    <s v="TL"/>
    <n v="2001"/>
    <s v="N"/>
    <n v="47.408730987874023"/>
    <n v="-64413.07"/>
    <n v="2.1077643196911904E-2"/>
    <n v="14"/>
    <n v="286"/>
    <x v="0"/>
    <x v="0"/>
  </r>
  <r>
    <n v="175"/>
    <n v="34"/>
    <n v="771236"/>
    <d v="1995-05-29T00:00:00"/>
    <s v="OH"/>
    <s v="100/300"/>
    <n v="500"/>
    <n v="915.29"/>
    <n v="0"/>
    <n v="607893"/>
    <s v="FEMALE"/>
    <s v="JD"/>
    <s v="handlers-cleaners"/>
    <s v="base-jumping"/>
    <s v="wife"/>
    <n v="82400"/>
    <n v="-57100"/>
    <d v="2015-02-23T00:00:00"/>
    <s v="Single Vehicle Collision"/>
    <s v="Front Collision"/>
    <s v="Major Damage"/>
    <s v="Other"/>
    <x v="2"/>
    <x v="2"/>
    <s v="5224 5th Lane"/>
    <n v="14"/>
    <n v="1"/>
    <s v="?"/>
    <n v="2"/>
    <n v="1"/>
    <s v="YES"/>
    <n v="36720"/>
    <n v="4080"/>
    <n v="4080"/>
    <n v="28560"/>
    <s v="Honda"/>
    <s v="Accord"/>
    <n v="2009"/>
    <s v="Y"/>
    <n v="40.074648855711622"/>
    <n v="-35804.71"/>
    <n v="2.492551945753111E-2"/>
    <n v="6"/>
    <n v="175"/>
    <x v="0"/>
    <x v="0"/>
  </r>
  <r>
    <n v="111"/>
    <n v="29"/>
    <n v="235869"/>
    <d v="2011-01-22T00:00:00"/>
    <s v="IL"/>
    <s v="250/500"/>
    <n v="500"/>
    <n v="1239.55"/>
    <n v="2000000"/>
    <n v="464736"/>
    <s v="FEMALE"/>
    <s v="PhD"/>
    <s v="farming-fishing"/>
    <s v="kayaking"/>
    <s v="own-child"/>
    <n v="0"/>
    <n v="0"/>
    <d v="2015-01-09T00:00:00"/>
    <s v="Single Vehicle Collision"/>
    <s v="Side Collision"/>
    <s v="Major Damage"/>
    <s v="Fire"/>
    <x v="0"/>
    <x v="1"/>
    <s v="2230 1st St"/>
    <n v="1"/>
    <n v="1"/>
    <s v="?"/>
    <n v="1"/>
    <n v="1"/>
    <s v="YES"/>
    <n v="52800"/>
    <n v="4800"/>
    <n v="9600"/>
    <n v="38400"/>
    <s v="Mercedes"/>
    <s v="ML350"/>
    <n v="1996"/>
    <s v="Y"/>
    <n v="42.561766958204025"/>
    <n v="-51560.45"/>
    <n v="2.3475881138614797E-2"/>
    <n v="19"/>
    <n v="111"/>
    <x v="0"/>
    <x v="0"/>
  </r>
  <r>
    <n v="151"/>
    <n v="37"/>
    <n v="931625"/>
    <d v="2012-10-18T00:00:00"/>
    <s v="IN"/>
    <s v="250/500"/>
    <n v="500"/>
    <n v="1366.42"/>
    <n v="0"/>
    <n v="476198"/>
    <s v="FEMALE"/>
    <s v="Associate"/>
    <s v="protective-serv"/>
    <s v="cross-fit"/>
    <s v="unmarried"/>
    <n v="44000"/>
    <n v="0"/>
    <d v="2015-02-15T00:00:00"/>
    <s v="Multi-vehicle Collision"/>
    <s v="Rear Collision"/>
    <s v="Total Loss"/>
    <s v="Fire"/>
    <x v="0"/>
    <x v="2"/>
    <s v="6719 Flute St"/>
    <n v="14"/>
    <n v="3"/>
    <s v="NO"/>
    <n v="1"/>
    <n v="2"/>
    <s v="YES"/>
    <n v="59100"/>
    <n v="5910"/>
    <n v="5910"/>
    <n v="47280"/>
    <s v="Nissan"/>
    <s v="Maxima"/>
    <n v="1998"/>
    <s v="Y"/>
    <n v="43.220078688332769"/>
    <n v="-57733.58"/>
    <n v="2.3120082570514882E-2"/>
    <n v="17"/>
    <n v="151"/>
    <x v="0"/>
    <x v="0"/>
  </r>
  <r>
    <n v="156"/>
    <n v="37"/>
    <n v="371635"/>
    <d v="1991-10-13T00:00:00"/>
    <s v="OH"/>
    <s v="500/1000"/>
    <n v="1000"/>
    <n v="1086.48"/>
    <n v="6000000"/>
    <n v="444903"/>
    <s v="MALE"/>
    <s v="Associate"/>
    <s v="machine-op-inspct"/>
    <s v="hiking"/>
    <s v="unmarried"/>
    <n v="0"/>
    <n v="-53800"/>
    <d v="2015-01-16T00:00:00"/>
    <s v="Multi-vehicle Collision"/>
    <s v="Rear Collision"/>
    <s v="Total Loss"/>
    <s v="Other"/>
    <x v="2"/>
    <x v="6"/>
    <s v="8064 4th Ave"/>
    <n v="17"/>
    <n v="3"/>
    <s v="?"/>
    <n v="1"/>
    <n v="1"/>
    <s v="YES"/>
    <n v="77440"/>
    <n v="14080"/>
    <n v="7040"/>
    <n v="56320"/>
    <s v="Suburu"/>
    <s v="Legacy"/>
    <n v="1999"/>
    <s v="N"/>
    <n v="71.210505020781994"/>
    <n v="-76353.52"/>
    <n v="1.4029777508038377E-2"/>
    <n v="16"/>
    <n v="156"/>
    <x v="0"/>
    <x v="0"/>
  </r>
  <r>
    <n v="165"/>
    <n v="36"/>
    <n v="427199"/>
    <d v="2010-10-01T00:00:00"/>
    <s v="IL"/>
    <s v="250/500"/>
    <n v="2000"/>
    <n v="1247.8699999999999"/>
    <n v="0"/>
    <n v="464336"/>
    <s v="MALE"/>
    <s v="Masters"/>
    <s v="armed-forces"/>
    <s v="golf"/>
    <s v="husband"/>
    <n v="0"/>
    <n v="-39700"/>
    <d v="2015-01-14T00:00:00"/>
    <s v="Multi-vehicle Collision"/>
    <s v="Side Collision"/>
    <s v="Total Loss"/>
    <s v="Fire"/>
    <x v="2"/>
    <x v="5"/>
    <s v="2469 Francis Lane"/>
    <n v="20"/>
    <n v="3"/>
    <s v="NO"/>
    <n v="2"/>
    <n v="2"/>
    <s v="NO"/>
    <n v="45700"/>
    <n v="4570"/>
    <n v="4570"/>
    <n v="36560"/>
    <s v="BMW"/>
    <s v="3 Series"/>
    <n v="2008"/>
    <s v="N"/>
    <n v="36.593080144450589"/>
    <n v="-44452.13"/>
    <n v="2.7305091792302134E-2"/>
    <n v="7"/>
    <n v="165"/>
    <x v="0"/>
    <x v="0"/>
  </r>
  <r>
    <n v="253"/>
    <n v="41"/>
    <n v="261315"/>
    <d v="2013-04-10T00:00:00"/>
    <s v="OH"/>
    <s v="100/300"/>
    <n v="2000"/>
    <n v="1312.75"/>
    <n v="0"/>
    <n v="471453"/>
    <s v="FEMALE"/>
    <s v="PhD"/>
    <s v="sales"/>
    <s v="dancing"/>
    <s v="other-relative"/>
    <n v="81300"/>
    <n v="0"/>
    <d v="2015-01-01T00:00:00"/>
    <s v="Multi-vehicle Collision"/>
    <s v="Rear Collision"/>
    <s v="Major Damage"/>
    <s v="Other"/>
    <x v="0"/>
    <x v="3"/>
    <s v="4671 5th Ridge"/>
    <n v="10"/>
    <n v="3"/>
    <s v="NO"/>
    <n v="2"/>
    <n v="2"/>
    <s v="YES"/>
    <n v="80740"/>
    <n v="7340"/>
    <n v="14680"/>
    <n v="58720"/>
    <s v="Toyota"/>
    <s v="Camry"/>
    <n v="2014"/>
    <s v="Y"/>
    <n v="61.45765937202664"/>
    <n v="-79427.25"/>
    <n v="1.6258778068143818E-2"/>
    <n v="1"/>
    <n v="253"/>
    <x v="0"/>
    <x v="0"/>
  </r>
  <r>
    <n v="10"/>
    <n v="26"/>
    <n v="582973"/>
    <d v="2008-06-11T00:00:00"/>
    <s v="IN"/>
    <s v="100/300"/>
    <n v="2000"/>
    <n v="765.64"/>
    <n v="0"/>
    <n v="466191"/>
    <s v="MALE"/>
    <s v="MD"/>
    <s v="sales"/>
    <s v="base-jumping"/>
    <s v="not-in-family"/>
    <n v="0"/>
    <n v="-22200"/>
    <d v="2015-02-16T00:00:00"/>
    <s v="Multi-vehicle Collision"/>
    <s v="Front Collision"/>
    <s v="Major Damage"/>
    <s v="Ambulance"/>
    <x v="0"/>
    <x v="6"/>
    <s v="6985 Maple Lane"/>
    <n v="3"/>
    <n v="3"/>
    <s v="?"/>
    <n v="0"/>
    <n v="3"/>
    <s v="?"/>
    <n v="31350"/>
    <n v="2850"/>
    <n v="5700"/>
    <n v="22800"/>
    <s v="Honda"/>
    <s v="Accord"/>
    <n v="2001"/>
    <s v="Y"/>
    <n v="40.892726703537512"/>
    <n v="-30584.36"/>
    <n v="2.4421549551848425E-2"/>
    <n v="14"/>
    <n v="10"/>
    <x v="0"/>
    <x v="0"/>
  </r>
  <r>
    <n v="158"/>
    <n v="33"/>
    <n v="278091"/>
    <d v="2013-12-04T00:00:00"/>
    <s v="OH"/>
    <s v="100/300"/>
    <n v="2000"/>
    <n v="1327.41"/>
    <n v="0"/>
    <n v="440930"/>
    <s v="FEMALE"/>
    <s v="Associate"/>
    <s v="handlers-cleaners"/>
    <s v="skydiving"/>
    <s v="other-relative"/>
    <n v="0"/>
    <n v="-38600"/>
    <d v="2015-01-04T00:00:00"/>
    <s v="Single Vehicle Collision"/>
    <s v="Side Collision"/>
    <s v="Total Loss"/>
    <s v="Other"/>
    <x v="0"/>
    <x v="4"/>
    <s v="7791 Britain Ridge"/>
    <n v="0"/>
    <n v="1"/>
    <s v="?"/>
    <n v="0"/>
    <n v="0"/>
    <s v="?"/>
    <n v="35000"/>
    <n v="3500"/>
    <n v="7000"/>
    <n v="24500"/>
    <s v="Suburu"/>
    <s v="Legacy"/>
    <n v="2012"/>
    <s v="N"/>
    <n v="26.347287358571524"/>
    <n v="-33672.589999999997"/>
    <n v="3.7924916430959119E-2"/>
    <n v="3"/>
    <n v="158"/>
    <x v="0"/>
    <x v="0"/>
  </r>
  <r>
    <n v="436"/>
    <n v="59"/>
    <n v="153154"/>
    <d v="2010-08-21T00:00:00"/>
    <s v="OH"/>
    <s v="500/1000"/>
    <n v="1000"/>
    <n v="1338.55"/>
    <n v="0"/>
    <n v="430380"/>
    <s v="MALE"/>
    <s v="PhD"/>
    <s v="protective-serv"/>
    <s v="board-games"/>
    <s v="own-child"/>
    <n v="39000"/>
    <n v="0"/>
    <d v="2015-01-12T00:00:00"/>
    <s v="Multi-vehicle Collision"/>
    <s v="Side Collision"/>
    <s v="Total Loss"/>
    <s v="Police"/>
    <x v="4"/>
    <x v="4"/>
    <s v="6355 4th Hwy"/>
    <n v="10"/>
    <n v="3"/>
    <s v="?"/>
    <n v="2"/>
    <n v="2"/>
    <s v="NO"/>
    <n v="68000"/>
    <n v="13600"/>
    <n v="6800"/>
    <n v="47600"/>
    <s v="Toyota"/>
    <s v="Corolla"/>
    <n v="2014"/>
    <s v="N"/>
    <n v="50.763316038968313"/>
    <n v="-66661.45"/>
    <n v="1.9684269348980162E-2"/>
    <n v="1"/>
    <n v="436"/>
    <x v="0"/>
    <x v="0"/>
  </r>
  <r>
    <n v="91"/>
    <n v="30"/>
    <n v="515217"/>
    <d v="2010-06-18T00:00:00"/>
    <s v="IL"/>
    <s v="250/500"/>
    <n v="2000"/>
    <n v="1316.63"/>
    <n v="8000000"/>
    <n v="613178"/>
    <s v="FEMALE"/>
    <s v="Masters"/>
    <s v="machine-op-inspct"/>
    <s v="golf"/>
    <s v="unmarried"/>
    <n v="43900"/>
    <n v="0"/>
    <d v="2015-01-08T00:00:00"/>
    <s v="Multi-vehicle Collision"/>
    <s v="Side Collision"/>
    <s v="Minor Damage"/>
    <s v="Other"/>
    <x v="0"/>
    <x v="5"/>
    <s v="3495 Britain Drive"/>
    <n v="13"/>
    <n v="3"/>
    <s v="YES"/>
    <n v="2"/>
    <n v="0"/>
    <s v="?"/>
    <n v="84500"/>
    <n v="13000"/>
    <n v="13000"/>
    <n v="58500"/>
    <s v="BMW"/>
    <s v="X6"/>
    <n v="2009"/>
    <s v="N"/>
    <n v="64.130294543991866"/>
    <n v="-83183.37"/>
    <n v="1.5581235725021007E-2"/>
    <n v="6"/>
    <n v="91"/>
    <x v="0"/>
    <x v="0"/>
  </r>
  <r>
    <n v="256"/>
    <n v="42"/>
    <n v="860497"/>
    <d v="1992-04-10T00:00:00"/>
    <s v="IL"/>
    <s v="500/1000"/>
    <n v="1000"/>
    <n v="1286.44"/>
    <n v="0"/>
    <n v="460564"/>
    <s v="FEMALE"/>
    <s v="MD"/>
    <s v="transport-moving"/>
    <s v="bungie-jumping"/>
    <s v="wife"/>
    <n v="0"/>
    <n v="-39500"/>
    <d v="2015-01-22T00:00:00"/>
    <s v="Single Vehicle Collision"/>
    <s v="Rear Collision"/>
    <s v="Minor Damage"/>
    <s v="Police"/>
    <x v="4"/>
    <x v="5"/>
    <s v="2980 Sky Ridge"/>
    <n v="14"/>
    <n v="1"/>
    <s v="NO"/>
    <n v="2"/>
    <n v="1"/>
    <s v="?"/>
    <n v="75500"/>
    <n v="7550"/>
    <n v="15100"/>
    <n v="52850"/>
    <s v="Nissan"/>
    <s v="Ultima"/>
    <n v="1998"/>
    <s v="N"/>
    <n v="58.643509600447395"/>
    <n v="-74213.56"/>
    <n v="1.7038714719010344E-2"/>
    <n v="17"/>
    <n v="256"/>
    <x v="0"/>
    <x v="0"/>
  </r>
  <r>
    <n v="274"/>
    <n v="46"/>
    <n v="351741"/>
    <d v="1997-02-03T00:00:00"/>
    <s v="OH"/>
    <s v="500/1000"/>
    <n v="1000"/>
    <n v="1372.18"/>
    <n v="0"/>
    <n v="439929"/>
    <s v="MALE"/>
    <s v="High School"/>
    <s v="exec-managerial"/>
    <s v="bungie-jumping"/>
    <s v="not-in-family"/>
    <n v="0"/>
    <n v="0"/>
    <d v="2015-01-13T00:00:00"/>
    <s v="Multi-vehicle Collision"/>
    <s v="Side Collision"/>
    <s v="Total Loss"/>
    <s v="Other"/>
    <x v="4"/>
    <x v="1"/>
    <s v="5914 Oak Ave"/>
    <n v="22"/>
    <n v="3"/>
    <s v="NO"/>
    <n v="1"/>
    <n v="3"/>
    <s v="?"/>
    <n v="90600"/>
    <n v="15100"/>
    <n v="15100"/>
    <n v="60400"/>
    <s v="BMW"/>
    <s v="X5"/>
    <n v="2009"/>
    <s v="N"/>
    <n v="65.978240288964301"/>
    <n v="-89227.82"/>
    <n v="1.5145307446937673E-2"/>
    <n v="6"/>
    <n v="274"/>
    <x v="0"/>
    <x v="0"/>
  </r>
  <r>
    <n v="275"/>
    <n v="45"/>
    <n v="403737"/>
    <d v="1991-12-06T00:00:00"/>
    <s v="IN"/>
    <s v="500/1000"/>
    <n v="2000"/>
    <n v="1447.77"/>
    <n v="0"/>
    <n v="605756"/>
    <s v="FEMALE"/>
    <s v="Associate"/>
    <s v="adm-clerical"/>
    <s v="camping"/>
    <s v="wife"/>
    <n v="39400"/>
    <n v="-63900"/>
    <d v="2015-01-18T00:00:00"/>
    <s v="Multi-vehicle Collision"/>
    <s v="Side Collision"/>
    <s v="Total Loss"/>
    <s v="Ambulance"/>
    <x v="1"/>
    <x v="5"/>
    <s v="3835 5th Ave"/>
    <n v="8"/>
    <n v="3"/>
    <s v="YES"/>
    <n v="1"/>
    <n v="1"/>
    <s v="?"/>
    <n v="64320"/>
    <n v="5360"/>
    <n v="10720"/>
    <n v="48240"/>
    <s v="Accura"/>
    <s v="MDX"/>
    <n v="1998"/>
    <s v="N"/>
    <n v="44.396280983178833"/>
    <n v="-62872.23"/>
    <n v="2.2508511994527448E-2"/>
    <n v="17"/>
    <n v="275"/>
    <x v="0"/>
    <x v="0"/>
  </r>
  <r>
    <n v="1"/>
    <n v="33"/>
    <n v="162004"/>
    <d v="1995-09-19T00:00:00"/>
    <s v="IL"/>
    <s v="250/500"/>
    <n v="500"/>
    <n v="903.32"/>
    <n v="0"/>
    <n v="451184"/>
    <s v="FEMALE"/>
    <s v="High School"/>
    <s v="transport-moving"/>
    <s v="yachting"/>
    <s v="not-in-family"/>
    <n v="0"/>
    <n v="0"/>
    <d v="2015-01-19T00:00:00"/>
    <s v="Multi-vehicle Collision"/>
    <s v="Rear Collision"/>
    <s v="Minor Damage"/>
    <s v="Police"/>
    <x v="2"/>
    <x v="5"/>
    <s v="5925 Tree Hwy"/>
    <n v="1"/>
    <n v="3"/>
    <s v="?"/>
    <n v="1"/>
    <n v="0"/>
    <s v="?"/>
    <n v="31700"/>
    <n v="6340"/>
    <n v="3170"/>
    <n v="22190"/>
    <s v="Toyota"/>
    <s v="Highlander"/>
    <n v="2006"/>
    <s v="N"/>
    <n v="35.053963198867656"/>
    <n v="-30796.68"/>
    <n v="2.8495000157723733E-2"/>
    <n v="9"/>
    <n v="1"/>
    <x v="0"/>
    <x v="0"/>
  </r>
  <r>
    <n v="85"/>
    <n v="30"/>
    <n v="740384"/>
    <d v="1993-10-29T00:00:00"/>
    <s v="IN"/>
    <s v="500/1000"/>
    <n v="1000"/>
    <n v="1454.42"/>
    <n v="0"/>
    <n v="459588"/>
    <s v="MALE"/>
    <s v="Associate"/>
    <s v="protective-serv"/>
    <s v="reading"/>
    <s v="other-relative"/>
    <n v="51600"/>
    <n v="-73900"/>
    <d v="2015-01-31T00:00:00"/>
    <s v="Single Vehicle Collision"/>
    <s v="Side Collision"/>
    <s v="Major Damage"/>
    <s v="Other"/>
    <x v="2"/>
    <x v="3"/>
    <s v="6250 1st Ridge"/>
    <n v="19"/>
    <n v="1"/>
    <s v="YES"/>
    <n v="0"/>
    <n v="1"/>
    <s v="YES"/>
    <n v="74280"/>
    <n v="12380"/>
    <n v="12380"/>
    <n v="49520"/>
    <s v="Suburu"/>
    <s v="Forrestor"/>
    <n v="2006"/>
    <s v="Y"/>
    <n v="51.036814115513046"/>
    <n v="-72825.58"/>
    <n v="1.9579973344462244E-2"/>
    <n v="9"/>
    <n v="85"/>
    <x v="0"/>
    <x v="0"/>
  </r>
  <r>
    <n v="233"/>
    <n v="37"/>
    <n v="876714"/>
    <d v="1991-11-03T00:00:00"/>
    <s v="IL"/>
    <s v="100/300"/>
    <n v="2000"/>
    <n v="1603.42"/>
    <n v="0"/>
    <n v="616637"/>
    <s v="FEMALE"/>
    <s v="High School"/>
    <s v="sales"/>
    <s v="video-games"/>
    <s v="wife"/>
    <n v="61600"/>
    <n v="-30200"/>
    <d v="2015-02-06T00:00:00"/>
    <s v="Single Vehicle Collision"/>
    <s v="Front Collision"/>
    <s v="Total Loss"/>
    <s v="Fire"/>
    <x v="2"/>
    <x v="0"/>
    <s v="1346 5th Lane"/>
    <n v="17"/>
    <n v="1"/>
    <s v="YES"/>
    <n v="0"/>
    <n v="2"/>
    <s v="YES"/>
    <n v="80520"/>
    <n v="13420"/>
    <n v="6710"/>
    <n v="60390"/>
    <s v="Toyota"/>
    <s v="Corolla"/>
    <n v="2005"/>
    <s v="N"/>
    <n v="50.186360180002737"/>
    <n v="-78916.58"/>
    <n v="1.9913066156654786E-2"/>
    <n v="10"/>
    <n v="233"/>
    <x v="0"/>
    <x v="0"/>
  </r>
  <r>
    <n v="142"/>
    <n v="30"/>
    <n v="951543"/>
    <d v="2002-07-09T00:00:00"/>
    <s v="IN"/>
    <s v="250/500"/>
    <n v="2000"/>
    <n v="1616.58"/>
    <n v="0"/>
    <n v="447979"/>
    <s v="MALE"/>
    <s v="JD"/>
    <s v="adm-clerical"/>
    <s v="polo"/>
    <s v="husband"/>
    <n v="58500"/>
    <n v="-46800"/>
    <d v="2015-02-04T00:00:00"/>
    <s v="Multi-vehicle Collision"/>
    <s v="Rear Collision"/>
    <s v="Major Damage"/>
    <s v="Other"/>
    <x v="0"/>
    <x v="4"/>
    <s v="1128 Maple Lane"/>
    <n v="13"/>
    <n v="3"/>
    <s v="YES"/>
    <n v="0"/>
    <n v="3"/>
    <s v="YES"/>
    <n v="63600"/>
    <n v="6360"/>
    <n v="12720"/>
    <n v="44520"/>
    <s v="Dodge"/>
    <s v="RAM"/>
    <n v="2010"/>
    <s v="N"/>
    <n v="39.31799354591427"/>
    <n v="-61983.42"/>
    <n v="2.541752488168425E-2"/>
    <n v="5"/>
    <n v="142"/>
    <x v="0"/>
    <x v="0"/>
  </r>
  <r>
    <n v="266"/>
    <n v="44"/>
    <n v="576723"/>
    <d v="1999-12-07T00:00:00"/>
    <s v="IL"/>
    <s v="250/500"/>
    <n v="500"/>
    <n v="1611.83"/>
    <n v="0"/>
    <n v="460176"/>
    <s v="MALE"/>
    <s v="High School"/>
    <s v="handlers-cleaners"/>
    <s v="movies"/>
    <s v="husband"/>
    <n v="0"/>
    <n v="0"/>
    <d v="2015-01-02T00:00:00"/>
    <s v="Single Vehicle Collision"/>
    <s v="Front Collision"/>
    <s v="Total Loss"/>
    <s v="Police"/>
    <x v="4"/>
    <x v="1"/>
    <s v="6309 Cherokee Ave"/>
    <n v="4"/>
    <n v="1"/>
    <s v="?"/>
    <n v="1"/>
    <n v="2"/>
    <s v="YES"/>
    <n v="32800"/>
    <n v="3280"/>
    <n v="3280"/>
    <n v="26240"/>
    <s v="BMW"/>
    <s v="3 Series"/>
    <n v="2012"/>
    <s v="N"/>
    <n v="20.336923296317654"/>
    <n v="-31188.17"/>
    <n v="4.9139660376208039E-2"/>
    <n v="3"/>
    <n v="266"/>
    <x v="0"/>
    <x v="0"/>
  </r>
  <r>
    <n v="350"/>
    <n v="50"/>
    <n v="391003"/>
    <d v="2005-07-01T00:00:00"/>
    <s v="OH"/>
    <s v="500/1000"/>
    <n v="500"/>
    <n v="889.13"/>
    <n v="0"/>
    <n v="459429"/>
    <s v="FEMALE"/>
    <s v="Masters"/>
    <s v="priv-house-serv"/>
    <s v="board-games"/>
    <s v="other-relative"/>
    <n v="0"/>
    <n v="0"/>
    <d v="2015-02-26T00:00:00"/>
    <s v="Multi-vehicle Collision"/>
    <s v="Rear Collision"/>
    <s v="Total Loss"/>
    <s v="Police"/>
    <x v="6"/>
    <x v="5"/>
    <s v="4618 Flute Ave"/>
    <n v="14"/>
    <n v="3"/>
    <s v="NO"/>
    <n v="0"/>
    <n v="2"/>
    <s v="NO"/>
    <n v="44190"/>
    <n v="9820"/>
    <n v="4910"/>
    <n v="29460"/>
    <s v="Audi"/>
    <s v="A3"/>
    <n v="2015"/>
    <s v="N"/>
    <n v="49.64443395908463"/>
    <n v="-43300.87"/>
    <n v="2.0120160213618156E-2"/>
    <n v="0"/>
    <n v="350"/>
    <x v="0"/>
    <x v="0"/>
  </r>
  <r>
    <n v="97"/>
    <n v="26"/>
    <n v="225865"/>
    <d v="1991-11-04T00:00:00"/>
    <s v="IL"/>
    <s v="250/500"/>
    <n v="1000"/>
    <n v="1252.08"/>
    <n v="0"/>
    <n v="465456"/>
    <s v="MALE"/>
    <s v="College"/>
    <s v="exec-managerial"/>
    <s v="sleeping"/>
    <s v="not-in-family"/>
    <n v="0"/>
    <n v="0"/>
    <d v="2015-02-08T00:00:00"/>
    <s v="Multi-vehicle Collision"/>
    <s v="Rear Collision"/>
    <s v="Major Damage"/>
    <s v="Other"/>
    <x v="1"/>
    <x v="3"/>
    <s v="6191 Oak Lane"/>
    <n v="4"/>
    <n v="2"/>
    <s v="YES"/>
    <n v="2"/>
    <n v="2"/>
    <s v="NO"/>
    <n v="50400"/>
    <n v="10080"/>
    <n v="5040"/>
    <n v="35280"/>
    <s v="Honda"/>
    <s v="CRV"/>
    <n v="2000"/>
    <s v="Y"/>
    <n v="40.220895712963262"/>
    <n v="-49147.92"/>
    <n v="2.4842364238804784E-2"/>
    <n v="15"/>
    <n v="97"/>
    <x v="0"/>
    <x v="0"/>
  </r>
  <r>
    <n v="399"/>
    <n v="55"/>
    <n v="984948"/>
    <d v="1993-04-14T00:00:00"/>
    <s v="IL"/>
    <s v="500/1000"/>
    <n v="2000"/>
    <n v="995.56"/>
    <n v="0"/>
    <n v="464665"/>
    <s v="MALE"/>
    <s v="JD"/>
    <s v="tech-support"/>
    <s v="sleeping"/>
    <s v="not-in-family"/>
    <n v="0"/>
    <n v="-65400"/>
    <d v="2015-02-07T00:00:00"/>
    <s v="Multi-vehicle Collision"/>
    <s v="Side Collision"/>
    <s v="Total Loss"/>
    <s v="Police"/>
    <x v="2"/>
    <x v="5"/>
    <s v="1316 Britain Ridge"/>
    <n v="23"/>
    <n v="3"/>
    <s v="YES"/>
    <n v="1"/>
    <n v="1"/>
    <s v="YES"/>
    <n v="88400"/>
    <n v="17680"/>
    <n v="8840"/>
    <n v="61880"/>
    <s v="Nissan"/>
    <s v="Pathfinder"/>
    <n v="2010"/>
    <s v="N"/>
    <n v="88.705145701212174"/>
    <n v="-87404.44"/>
    <n v="1.126186355357971E-2"/>
    <n v="5"/>
    <n v="399"/>
    <x v="0"/>
    <x v="0"/>
  </r>
  <r>
    <n v="305"/>
    <n v="49"/>
    <n v="890328"/>
    <d v="2009-08-23T00:00:00"/>
    <s v="IL"/>
    <s v="100/300"/>
    <n v="2000"/>
    <n v="1347.92"/>
    <n v="0"/>
    <n v="430853"/>
    <s v="FEMALE"/>
    <s v="High School"/>
    <s v="farming-fishing"/>
    <s v="bungie-jumping"/>
    <s v="own-child"/>
    <n v="0"/>
    <n v="-42100"/>
    <d v="2015-02-17T00:00:00"/>
    <s v="Multi-vehicle Collision"/>
    <s v="Front Collision"/>
    <s v="Total Loss"/>
    <s v="Fire"/>
    <x v="2"/>
    <x v="4"/>
    <s v="5924 Maple Drive"/>
    <n v="21"/>
    <n v="3"/>
    <s v="YES"/>
    <n v="0"/>
    <n v="2"/>
    <s v="?"/>
    <n v="66550"/>
    <n v="12100"/>
    <n v="6050"/>
    <n v="48400"/>
    <s v="Volkswagen"/>
    <s v="Jetta"/>
    <n v="2003"/>
    <s v="N"/>
    <n v="49.33576490822287"/>
    <n v="-65202.080000000002"/>
    <n v="2.0253940586918304E-2"/>
    <n v="12"/>
    <n v="305"/>
    <x v="0"/>
    <x v="0"/>
  </r>
  <r>
    <n v="276"/>
    <n v="47"/>
    <n v="803294"/>
    <d v="1993-06-18T00:00:00"/>
    <s v="IN"/>
    <s v="100/300"/>
    <n v="1000"/>
    <n v="1724.09"/>
    <n v="0"/>
    <n v="615712"/>
    <s v="MALE"/>
    <s v="PhD"/>
    <s v="craft-repair"/>
    <s v="yachting"/>
    <s v="own-child"/>
    <n v="0"/>
    <n v="0"/>
    <d v="2015-01-12T00:00:00"/>
    <s v="Multi-vehicle Collision"/>
    <s v="Rear Collision"/>
    <s v="Minor Damage"/>
    <s v="Police"/>
    <x v="2"/>
    <x v="2"/>
    <s v="8917 Tree Ridge"/>
    <n v="23"/>
    <n v="3"/>
    <s v="YES"/>
    <n v="0"/>
    <n v="0"/>
    <s v="?"/>
    <n v="65780"/>
    <n v="5980"/>
    <n v="11960"/>
    <n v="47840"/>
    <s v="Chevrolet"/>
    <s v="Tahoe"/>
    <n v="2014"/>
    <s v="N"/>
    <n v="38.131343871913934"/>
    <n v="-64055.91"/>
    <n v="2.6209543789240054E-2"/>
    <n v="1"/>
    <n v="276"/>
    <x v="0"/>
    <x v="0"/>
  </r>
  <r>
    <n v="257"/>
    <n v="40"/>
    <n v="414913"/>
    <d v="2012-07-17T00:00:00"/>
    <s v="IN"/>
    <s v="250/500"/>
    <n v="500"/>
    <n v="1379.93"/>
    <n v="0"/>
    <n v="608228"/>
    <s v="MALE"/>
    <s v="MD"/>
    <s v="armed-forces"/>
    <s v="base-jumping"/>
    <s v="husband"/>
    <n v="0"/>
    <n v="0"/>
    <d v="2015-02-01T00:00:00"/>
    <s v="Multi-vehicle Collision"/>
    <s v="Side Collision"/>
    <s v="Major Damage"/>
    <s v="Other"/>
    <x v="2"/>
    <x v="0"/>
    <s v="3966 Francis Ridge"/>
    <n v="6"/>
    <n v="3"/>
    <s v="?"/>
    <n v="0"/>
    <n v="2"/>
    <s v="YES"/>
    <n v="51810"/>
    <n v="9420"/>
    <n v="4710"/>
    <n v="37680"/>
    <s v="Audi"/>
    <s v="A3"/>
    <n v="2002"/>
    <s v="Y"/>
    <n v="37.518194260389734"/>
    <n v="-50430.07"/>
    <n v="2.663391943795719E-2"/>
    <n v="13"/>
    <n v="257"/>
    <x v="0"/>
    <x v="0"/>
  </r>
  <r>
    <n v="78"/>
    <n v="31"/>
    <n v="414519"/>
    <d v="1999-01-25T00:00:00"/>
    <s v="IN"/>
    <s v="250/500"/>
    <n v="1000"/>
    <n v="1554.64"/>
    <n v="4000000"/>
    <n v="457535"/>
    <s v="MALE"/>
    <s v="PhD"/>
    <s v="protective-serv"/>
    <s v="board-games"/>
    <s v="own-child"/>
    <n v="0"/>
    <n v="-27900"/>
    <d v="2015-02-03T00:00:00"/>
    <s v="Single Vehicle Collision"/>
    <s v="Front Collision"/>
    <s v="Major Damage"/>
    <s v="Other"/>
    <x v="4"/>
    <x v="3"/>
    <s v="1507 Solo Ave"/>
    <n v="21"/>
    <n v="1"/>
    <s v="NO"/>
    <n v="1"/>
    <n v="0"/>
    <s v="NO"/>
    <n v="55660"/>
    <n v="5060"/>
    <n v="10120"/>
    <n v="40480"/>
    <s v="Honda"/>
    <s v="CRV"/>
    <n v="2009"/>
    <s v="Y"/>
    <n v="35.779486256460359"/>
    <n v="-54105.36"/>
    <n v="2.7930507896013368E-2"/>
    <n v="6"/>
    <n v="78"/>
    <x v="0"/>
    <x v="0"/>
  </r>
  <r>
    <n v="129"/>
    <n v="28"/>
    <n v="818413"/>
    <d v="1990-02-23T00:00:00"/>
    <s v="OH"/>
    <s v="500/1000"/>
    <n v="1000"/>
    <n v="1377.94"/>
    <n v="0"/>
    <n v="442540"/>
    <s v="MALE"/>
    <s v="Masters"/>
    <s v="machine-op-inspct"/>
    <s v="base-jumping"/>
    <s v="not-in-family"/>
    <n v="0"/>
    <n v="0"/>
    <d v="2015-02-21T00:00:00"/>
    <s v="Single Vehicle Collision"/>
    <s v="Side Collision"/>
    <s v="Major Damage"/>
    <s v="Fire"/>
    <x v="2"/>
    <x v="3"/>
    <s v="4272 Oak Ridge"/>
    <n v="23"/>
    <n v="1"/>
    <s v="?"/>
    <n v="2"/>
    <n v="3"/>
    <s v="?"/>
    <n v="44640"/>
    <n v="9920"/>
    <n v="4960"/>
    <n v="29760"/>
    <s v="Toyota"/>
    <s v="Camry"/>
    <n v="2005"/>
    <s v="N"/>
    <n v="32.372692067820211"/>
    <n v="-43262.06"/>
    <n v="3.0867140073027041E-2"/>
    <n v="10"/>
    <n v="129"/>
    <x v="0"/>
    <x v="0"/>
  </r>
  <r>
    <n v="283"/>
    <n v="46"/>
    <n v="487356"/>
    <d v="2000-08-30T00:00:00"/>
    <s v="IL"/>
    <s v="500/1000"/>
    <n v="2000"/>
    <n v="1313.33"/>
    <n v="0"/>
    <n v="455332"/>
    <s v="FEMALE"/>
    <s v="PhD"/>
    <s v="transport-moving"/>
    <s v="reading"/>
    <s v="husband"/>
    <n v="53500"/>
    <n v="-73600"/>
    <d v="2015-01-09T00:00:00"/>
    <s v="Multi-vehicle Collision"/>
    <s v="Front Collision"/>
    <s v="Major Damage"/>
    <s v="Ambulance"/>
    <x v="2"/>
    <x v="1"/>
    <s v="4434 Lincoln Ave"/>
    <n v="3"/>
    <n v="3"/>
    <s v="?"/>
    <n v="1"/>
    <n v="3"/>
    <s v="NO"/>
    <n v="77660"/>
    <n v="7060"/>
    <n v="14120"/>
    <n v="56480"/>
    <s v="Nissan"/>
    <s v="Maxima"/>
    <n v="2004"/>
    <s v="Y"/>
    <n v="59.08713945508358"/>
    <n v="-76346.67"/>
    <n v="1.691106218050244E-2"/>
    <n v="11"/>
    <n v="283"/>
    <x v="0"/>
    <x v="0"/>
  </r>
  <r>
    <n v="85"/>
    <n v="25"/>
    <n v="159768"/>
    <d v="2008-09-03T00:00:00"/>
    <s v="IN"/>
    <s v="250/500"/>
    <n v="500"/>
    <n v="1259.02"/>
    <n v="0"/>
    <n v="439534"/>
    <s v="FEMALE"/>
    <s v="JD"/>
    <s v="tech-support"/>
    <s v="base-jumping"/>
    <s v="unmarried"/>
    <n v="67000"/>
    <n v="-53600"/>
    <d v="2015-02-16T00:00:00"/>
    <s v="Parked Car"/>
    <s v="?"/>
    <s v="Trivial Damage"/>
    <s v="None"/>
    <x v="0"/>
    <x v="5"/>
    <s v="7529 Solo Ridge"/>
    <n v="8"/>
    <n v="1"/>
    <s v="NO"/>
    <n v="2"/>
    <n v="2"/>
    <s v="?"/>
    <n v="5640"/>
    <n v="940"/>
    <n v="940"/>
    <n v="3760"/>
    <s v="Nissan"/>
    <s v="Ultima"/>
    <n v="2005"/>
    <s v="N"/>
    <n v="4.4761194266757673"/>
    <n v="-4380.9799999999996"/>
    <n v="0.22319092359510725"/>
    <n v="10"/>
    <n v="85"/>
    <x v="1"/>
    <x v="1"/>
  </r>
  <r>
    <n v="101"/>
    <n v="26"/>
    <n v="865839"/>
    <d v="1991-08-02T00:00:00"/>
    <s v="IL"/>
    <s v="500/1000"/>
    <n v="1000"/>
    <n v="1371.88"/>
    <n v="0"/>
    <n v="462420"/>
    <s v="FEMALE"/>
    <s v="MD"/>
    <s v="prof-specialty"/>
    <s v="reading"/>
    <s v="husband"/>
    <n v="0"/>
    <n v="0"/>
    <d v="2015-02-04T00:00:00"/>
    <s v="Parked Car"/>
    <s v="?"/>
    <s v="Trivial Damage"/>
    <s v="None"/>
    <x v="1"/>
    <x v="2"/>
    <s v="8096 Apache Hwy"/>
    <n v="4"/>
    <n v="1"/>
    <s v="?"/>
    <n v="2"/>
    <n v="2"/>
    <s v="?"/>
    <n v="3190"/>
    <n v="580"/>
    <n v="580"/>
    <n v="2030"/>
    <s v="Suburu"/>
    <s v="Legacy"/>
    <n v="1995"/>
    <s v="N"/>
    <n v="2.3235825418099179"/>
    <n v="-1818.12"/>
    <n v="0.42992165465371363"/>
    <n v="20"/>
    <n v="101"/>
    <x v="1"/>
    <x v="1"/>
  </r>
  <r>
    <n v="96"/>
    <n v="30"/>
    <n v="406567"/>
    <d v="2001-09-25T00:00:00"/>
    <s v="OH"/>
    <s v="100/300"/>
    <n v="500"/>
    <n v="1399.27"/>
    <n v="6000000"/>
    <n v="448913"/>
    <s v="MALE"/>
    <s v="College"/>
    <s v="prof-specialty"/>
    <s v="hiking"/>
    <s v="wife"/>
    <n v="38900"/>
    <n v="-48700"/>
    <d v="2015-02-24T00:00:00"/>
    <s v="Single Vehicle Collision"/>
    <s v="Side Collision"/>
    <s v="Total Loss"/>
    <s v="Fire"/>
    <x v="5"/>
    <x v="2"/>
    <s v="9417 Tree Hwy"/>
    <n v="22"/>
    <n v="1"/>
    <s v="?"/>
    <n v="0"/>
    <n v="0"/>
    <s v="YES"/>
    <n v="53440"/>
    <n v="0"/>
    <n v="6680"/>
    <n v="46760"/>
    <s v="Ford"/>
    <s v="Escape"/>
    <n v="2004"/>
    <s v="N"/>
    <n v="38.164068358245196"/>
    <n v="-52040.73"/>
    <n v="2.6183454650923449E-2"/>
    <n v="11"/>
    <n v="96"/>
    <x v="0"/>
    <x v="0"/>
  </r>
  <r>
    <n v="121"/>
    <n v="31"/>
    <n v="623032"/>
    <d v="2007-03-11T00:00:00"/>
    <s v="IL"/>
    <s v="500/1000"/>
    <n v="1000"/>
    <n v="1061.98"/>
    <n v="6000000"/>
    <n v="440837"/>
    <s v="FEMALE"/>
    <s v="JD"/>
    <s v="armed-forces"/>
    <s v="camping"/>
    <s v="unmarried"/>
    <n v="0"/>
    <n v="0"/>
    <d v="2015-02-01T00:00:00"/>
    <s v="Single Vehicle Collision"/>
    <s v="Rear Collision"/>
    <s v="Minor Damage"/>
    <s v="Police"/>
    <x v="4"/>
    <x v="4"/>
    <s v="3809 Texas Lane"/>
    <n v="16"/>
    <n v="1"/>
    <s v="NO"/>
    <n v="0"/>
    <n v="1"/>
    <s v="YES"/>
    <n v="65250"/>
    <n v="7250"/>
    <n v="7250"/>
    <n v="50750"/>
    <s v="BMW"/>
    <s v="3 Series"/>
    <n v="2002"/>
    <s v="N"/>
    <n v="61.384033566012526"/>
    <n v="-64188.02"/>
    <n v="1.6275306125576618E-2"/>
    <n v="13"/>
    <n v="121"/>
    <x v="0"/>
    <x v="0"/>
  </r>
  <r>
    <n v="176"/>
    <n v="39"/>
    <n v="935442"/>
    <d v="2010-11-20T00:00:00"/>
    <s v="OH"/>
    <s v="250/500"/>
    <n v="500"/>
    <n v="1365.46"/>
    <n v="4000000"/>
    <n v="466634"/>
    <s v="MALE"/>
    <s v="College"/>
    <s v="armed-forces"/>
    <s v="sleeping"/>
    <s v="unmarried"/>
    <n v="0"/>
    <n v="-56600"/>
    <d v="2015-02-05T00:00:00"/>
    <s v="Multi-vehicle Collision"/>
    <s v="Side Collision"/>
    <s v="Minor Damage"/>
    <s v="Fire"/>
    <x v="0"/>
    <x v="0"/>
    <s v="1540 Apache Lane"/>
    <n v="14"/>
    <n v="3"/>
    <s v="NO"/>
    <n v="2"/>
    <n v="1"/>
    <s v="NO"/>
    <n v="44280"/>
    <n v="4920"/>
    <n v="4920"/>
    <n v="34440"/>
    <s v="Chevrolet"/>
    <s v="Silverado"/>
    <n v="2008"/>
    <s v="N"/>
    <n v="32.404900253209021"/>
    <n v="-42914.54"/>
    <n v="3.0836250310516927E-2"/>
    <n v="7"/>
    <n v="176"/>
    <x v="0"/>
    <x v="0"/>
  </r>
  <r>
    <n v="159"/>
    <n v="37"/>
    <n v="106873"/>
    <d v="1998-08-28T00:00:00"/>
    <s v="IL"/>
    <s v="500/1000"/>
    <n v="1000"/>
    <n v="894.4"/>
    <n v="0"/>
    <n v="446435"/>
    <s v="MALE"/>
    <s v="Associate"/>
    <s v="tech-support"/>
    <s v="camping"/>
    <s v="wife"/>
    <n v="0"/>
    <n v="-53700"/>
    <d v="2015-01-07T00:00:00"/>
    <s v="Single Vehicle Collision"/>
    <s v="Rear Collision"/>
    <s v="Total Loss"/>
    <s v="Police"/>
    <x v="2"/>
    <x v="3"/>
    <s v="2337 Lincoln Hwy"/>
    <n v="13"/>
    <n v="1"/>
    <s v="YES"/>
    <n v="2"/>
    <n v="0"/>
    <s v="NO"/>
    <n v="70290"/>
    <n v="7810"/>
    <n v="7810"/>
    <n v="54670"/>
    <s v="Dodge"/>
    <s v="RAM"/>
    <n v="1999"/>
    <s v="N"/>
    <n v="78.501228501228496"/>
    <n v="-69395.600000000006"/>
    <n v="1.2724246347327538E-2"/>
    <n v="16"/>
    <n v="159"/>
    <x v="0"/>
    <x v="0"/>
  </r>
  <r>
    <n v="120"/>
    <n v="30"/>
    <n v="563878"/>
    <d v="2002-07-16T00:00:00"/>
    <s v="IN"/>
    <s v="250/500"/>
    <n v="500"/>
    <n v="956.69"/>
    <n v="0"/>
    <n v="438237"/>
    <s v="FEMALE"/>
    <s v="Associate"/>
    <s v="priv-house-serv"/>
    <s v="movies"/>
    <s v="husband"/>
    <n v="39600"/>
    <n v="-64300"/>
    <d v="2015-02-06T00:00:00"/>
    <s v="Single Vehicle Collision"/>
    <s v="Front Collision"/>
    <s v="Minor Damage"/>
    <s v="Other"/>
    <x v="2"/>
    <x v="4"/>
    <s v="6770 1st St"/>
    <n v="20"/>
    <n v="1"/>
    <s v="?"/>
    <n v="1"/>
    <n v="1"/>
    <s v="YES"/>
    <n v="87100"/>
    <n v="8710"/>
    <n v="8710"/>
    <n v="69680"/>
    <s v="Saab"/>
    <s v="92x"/>
    <n v="2000"/>
    <s v="N"/>
    <n v="90.948010316490723"/>
    <n v="-86143.31"/>
    <n v="1.0983685606365026E-2"/>
    <n v="15"/>
    <n v="120"/>
    <x v="0"/>
    <x v="0"/>
  </r>
  <r>
    <n v="212"/>
    <n v="35"/>
    <n v="620855"/>
    <d v="1990-04-29T00:00:00"/>
    <s v="IN"/>
    <s v="500/1000"/>
    <n v="2000"/>
    <n v="1123.8900000000001"/>
    <n v="0"/>
    <n v="468313"/>
    <s v="MALE"/>
    <s v="MD"/>
    <s v="priv-house-serv"/>
    <s v="video-games"/>
    <s v="unmarried"/>
    <n v="35400"/>
    <n v="-49200"/>
    <d v="2015-01-21T00:00:00"/>
    <s v="Multi-vehicle Collision"/>
    <s v="Front Collision"/>
    <s v="Total Loss"/>
    <s v="Fire"/>
    <x v="2"/>
    <x v="0"/>
    <s v="4119 Texas St"/>
    <n v="0"/>
    <n v="3"/>
    <s v="?"/>
    <n v="1"/>
    <n v="3"/>
    <s v="?"/>
    <n v="50380"/>
    <n v="4580"/>
    <n v="4580"/>
    <n v="41220"/>
    <s v="Suburu"/>
    <s v="Forrestor"/>
    <n v="1996"/>
    <s v="N"/>
    <n v="44.786601356577087"/>
    <n v="-49256.11"/>
    <n v="2.2307814453861576E-2"/>
    <n v="19"/>
    <n v="212"/>
    <x v="0"/>
    <x v="0"/>
  </r>
  <r>
    <n v="290"/>
    <n v="45"/>
    <n v="583169"/>
    <d v="1998-02-01T00:00:00"/>
    <s v="IL"/>
    <s v="100/300"/>
    <n v="500"/>
    <n v="1085.03"/>
    <n v="0"/>
    <n v="476303"/>
    <s v="FEMALE"/>
    <s v="JD"/>
    <s v="sales"/>
    <s v="cross-fit"/>
    <s v="wife"/>
    <n v="0"/>
    <n v="-61000"/>
    <d v="2015-03-01T00:00:00"/>
    <s v="Multi-vehicle Collision"/>
    <s v="Side Collision"/>
    <s v="Total Loss"/>
    <s v="Police"/>
    <x v="1"/>
    <x v="2"/>
    <s v="4347 2nd Ridge"/>
    <n v="23"/>
    <n v="3"/>
    <s v="YES"/>
    <n v="2"/>
    <n v="2"/>
    <s v="NO"/>
    <n v="64800"/>
    <n v="12960"/>
    <n v="6480"/>
    <n v="45360"/>
    <s v="Audi"/>
    <s v="A3"/>
    <n v="2014"/>
    <s v="Y"/>
    <n v="59.666860031490842"/>
    <n v="-63714.97"/>
    <n v="1.6744031727905433E-2"/>
    <n v="1"/>
    <n v="290"/>
    <x v="0"/>
    <x v="0"/>
  </r>
  <r>
    <n v="299"/>
    <n v="42"/>
    <n v="337677"/>
    <d v="2008-07-20T00:00:00"/>
    <s v="OH"/>
    <s v="100/300"/>
    <n v="2000"/>
    <n v="1437.33"/>
    <n v="0"/>
    <n v="450339"/>
    <s v="FEMALE"/>
    <s v="Associate"/>
    <s v="craft-repair"/>
    <s v="movies"/>
    <s v="wife"/>
    <n v="25000"/>
    <n v="0"/>
    <d v="2015-02-24T00:00:00"/>
    <s v="Single Vehicle Collision"/>
    <s v="Rear Collision"/>
    <s v="Minor Damage"/>
    <s v="Other"/>
    <x v="0"/>
    <x v="0"/>
    <s v="1091 1st Drive"/>
    <n v="13"/>
    <n v="1"/>
    <s v="YES"/>
    <n v="1"/>
    <n v="3"/>
    <s v="NO"/>
    <n v="70400"/>
    <n v="12800"/>
    <n v="12800"/>
    <n v="44800"/>
    <s v="BMW"/>
    <s v="3 Series"/>
    <n v="2000"/>
    <s v="N"/>
    <n v="48.945652249483778"/>
    <n v="-68962.67"/>
    <n v="2.0416329313504067E-2"/>
    <n v="15"/>
    <n v="299"/>
    <x v="0"/>
    <x v="0"/>
  </r>
  <r>
    <n v="66"/>
    <n v="26"/>
    <n v="445973"/>
    <d v="1998-11-13T00:00:00"/>
    <s v="IL"/>
    <s v="250/500"/>
    <n v="1000"/>
    <n v="988.29"/>
    <n v="0"/>
    <n v="476502"/>
    <s v="MALE"/>
    <s v="College"/>
    <s v="armed-forces"/>
    <s v="skydiving"/>
    <s v="own-child"/>
    <n v="0"/>
    <n v="0"/>
    <d v="2015-02-02T00:00:00"/>
    <s v="Single Vehicle Collision"/>
    <s v="Rear Collision"/>
    <s v="Major Damage"/>
    <s v="Police"/>
    <x v="2"/>
    <x v="5"/>
    <s v="8203 Lincoln Ave"/>
    <n v="8"/>
    <n v="1"/>
    <s v="?"/>
    <n v="2"/>
    <n v="2"/>
    <s v="YES"/>
    <n v="57860"/>
    <n v="0"/>
    <n v="10520"/>
    <n v="47340"/>
    <s v="Suburu"/>
    <s v="Impreza"/>
    <n v="2008"/>
    <s v="Y"/>
    <n v="58.486389228638721"/>
    <n v="-56871.71"/>
    <n v="1.7080416861098149E-2"/>
    <n v="7"/>
    <n v="66"/>
    <x v="0"/>
    <x v="0"/>
  </r>
  <r>
    <n v="334"/>
    <n v="47"/>
    <n v="156694"/>
    <d v="2001-05-24T00:00:00"/>
    <s v="IL"/>
    <s v="500/1000"/>
    <n v="500"/>
    <n v="1238.8900000000001"/>
    <n v="0"/>
    <n v="600561"/>
    <s v="MALE"/>
    <s v="Masters"/>
    <s v="protective-serv"/>
    <s v="sleeping"/>
    <s v="other-relative"/>
    <n v="0"/>
    <n v="0"/>
    <d v="2015-01-31T00:00:00"/>
    <s v="Vehicle Theft"/>
    <s v="?"/>
    <s v="Minor Damage"/>
    <s v="None"/>
    <x v="4"/>
    <x v="5"/>
    <s v="9154 MLK Hwy"/>
    <n v="3"/>
    <n v="1"/>
    <s v="?"/>
    <n v="0"/>
    <n v="3"/>
    <s v="NO"/>
    <n v="6240"/>
    <n v="960"/>
    <n v="960"/>
    <n v="4320"/>
    <s v="Ford"/>
    <s v="Fusion"/>
    <n v="2011"/>
    <s v="N"/>
    <n v="5.0327045141101223"/>
    <n v="-5001.1099999999997"/>
    <n v="0.19850825188271112"/>
    <n v="4"/>
    <n v="334"/>
    <x v="2"/>
    <x v="0"/>
  </r>
  <r>
    <n v="216"/>
    <n v="38"/>
    <n v="421940"/>
    <d v="2014-06-03T00:00:00"/>
    <s v="IN"/>
    <s v="100/300"/>
    <n v="1000"/>
    <n v="1384.64"/>
    <n v="5000000"/>
    <n v="600754"/>
    <s v="FEMALE"/>
    <s v="Associate"/>
    <s v="tech-support"/>
    <s v="board-games"/>
    <s v="unmarried"/>
    <n v="0"/>
    <n v="0"/>
    <d v="2015-01-09T00:00:00"/>
    <s v="Single Vehicle Collision"/>
    <s v="Rear Collision"/>
    <s v="Total Loss"/>
    <s v="Police"/>
    <x v="1"/>
    <x v="0"/>
    <s v="5780 4th Ave"/>
    <n v="16"/>
    <n v="1"/>
    <s v="?"/>
    <n v="2"/>
    <n v="3"/>
    <s v="NO"/>
    <n v="66600"/>
    <n v="16650"/>
    <n v="11100"/>
    <n v="38850"/>
    <s v="Jeep"/>
    <s v="Grand Cherokee"/>
    <n v="2012"/>
    <s v="Y"/>
    <n v="48.064432320083135"/>
    <n v="-65215.360000000001"/>
    <n v="2.079007822705365E-2"/>
    <n v="3"/>
    <n v="216"/>
    <x v="0"/>
    <x v="0"/>
  </r>
  <r>
    <n v="86"/>
    <n v="28"/>
    <n v="613226"/>
    <d v="1991-08-22T00:00:00"/>
    <s v="IN"/>
    <s v="100/300"/>
    <n v="2000"/>
    <n v="1595.07"/>
    <n v="0"/>
    <n v="439304"/>
    <s v="MALE"/>
    <s v="PhD"/>
    <s v="transport-moving"/>
    <s v="hiking"/>
    <s v="unmarried"/>
    <n v="75800"/>
    <n v="0"/>
    <d v="2015-02-23T00:00:00"/>
    <s v="Single Vehicle Collision"/>
    <s v="Side Collision"/>
    <s v="Minor Damage"/>
    <s v="Police"/>
    <x v="1"/>
    <x v="4"/>
    <s v="6945 Texas Hwy"/>
    <n v="19"/>
    <n v="1"/>
    <s v="YES"/>
    <n v="0"/>
    <n v="2"/>
    <s v="YES"/>
    <n v="70920"/>
    <n v="11820"/>
    <n v="11820"/>
    <n v="47280"/>
    <s v="Jeep"/>
    <s v="Wrangler"/>
    <n v="2002"/>
    <s v="N"/>
    <n v="44.434141359714801"/>
    <n v="-69324.929999999993"/>
    <n v="2.2490799622114747E-2"/>
    <n v="13"/>
    <n v="86"/>
    <x v="0"/>
    <x v="0"/>
  </r>
  <r>
    <n v="429"/>
    <n v="56"/>
    <n v="804410"/>
    <d v="1998-12-12T00:00:00"/>
    <s v="OH"/>
    <s v="250/500"/>
    <n v="1000"/>
    <n v="1127.8900000000001"/>
    <n v="6000000"/>
    <n v="460722"/>
    <s v="MALE"/>
    <s v="Associate"/>
    <s v="machine-op-inspct"/>
    <s v="skydiving"/>
    <s v="own-child"/>
    <n v="67400"/>
    <n v="-43800"/>
    <d v="2015-01-28T00:00:00"/>
    <s v="Single Vehicle Collision"/>
    <s v="Rear Collision"/>
    <s v="Minor Damage"/>
    <s v="Ambulance"/>
    <x v="4"/>
    <x v="3"/>
    <s v="5639 1st Ridge"/>
    <n v="0"/>
    <n v="1"/>
    <s v="YES"/>
    <n v="2"/>
    <n v="0"/>
    <s v="YES"/>
    <n v="39480"/>
    <n v="6580"/>
    <n v="6580"/>
    <n v="26320"/>
    <s v="Suburu"/>
    <s v="Forrestor"/>
    <n v="2002"/>
    <s v="N"/>
    <n v="34.97240652322192"/>
    <n v="-38352.11"/>
    <n v="2.8567918745725795E-2"/>
    <n v="13"/>
    <n v="429"/>
    <x v="0"/>
    <x v="0"/>
  </r>
  <r>
    <n v="257"/>
    <n v="43"/>
    <n v="553565"/>
    <d v="1999-02-18T00:00:00"/>
    <s v="IN"/>
    <s v="500/1000"/>
    <n v="2000"/>
    <n v="929.7"/>
    <n v="6000000"/>
    <n v="618632"/>
    <s v="FEMALE"/>
    <s v="PhD"/>
    <s v="handlers-cleaners"/>
    <s v="base-jumping"/>
    <s v="husband"/>
    <n v="46400"/>
    <n v="-74300"/>
    <d v="2015-01-14T00:00:00"/>
    <s v="Single Vehicle Collision"/>
    <s v="Front Collision"/>
    <s v="Total Loss"/>
    <s v="Other"/>
    <x v="1"/>
    <x v="2"/>
    <s v="3834 Pine St"/>
    <n v="12"/>
    <n v="1"/>
    <s v="?"/>
    <n v="2"/>
    <n v="2"/>
    <s v="YES"/>
    <n v="63240"/>
    <n v="10540"/>
    <n v="5270"/>
    <n v="47430"/>
    <s v="Mercedes"/>
    <s v="E400"/>
    <n v="2005"/>
    <s v="N"/>
    <n v="67.948855700010739"/>
    <n v="-62310.3"/>
    <n v="1.4700906057778974E-2"/>
    <n v="10"/>
    <n v="257"/>
    <x v="0"/>
    <x v="0"/>
  </r>
  <r>
    <n v="15"/>
    <n v="34"/>
    <n v="399524"/>
    <d v="1997-10-30T00:00:00"/>
    <s v="IL"/>
    <s v="100/300"/>
    <n v="1000"/>
    <n v="1829.63"/>
    <n v="0"/>
    <n v="452204"/>
    <s v="MALE"/>
    <s v="JD"/>
    <s v="tech-support"/>
    <s v="cross-fit"/>
    <s v="not-in-family"/>
    <n v="56700"/>
    <n v="0"/>
    <d v="2015-02-03T00:00:00"/>
    <s v="Multi-vehicle Collision"/>
    <s v="Side Collision"/>
    <s v="Total Loss"/>
    <s v="Other"/>
    <x v="0"/>
    <x v="2"/>
    <s v="1358 Maple St"/>
    <n v="21"/>
    <n v="3"/>
    <s v="YES"/>
    <n v="1"/>
    <n v="0"/>
    <s v="?"/>
    <n v="67650"/>
    <n v="12300"/>
    <n v="6150"/>
    <n v="49200"/>
    <s v="Audi"/>
    <s v="A5"/>
    <n v="2009"/>
    <s v="N"/>
    <n v="36.954491076842395"/>
    <n v="-65820.37"/>
    <n v="2.7045128675111975E-2"/>
    <n v="6"/>
    <n v="15"/>
    <x v="0"/>
    <x v="0"/>
  </r>
  <r>
    <n v="230"/>
    <n v="39"/>
    <n v="331595"/>
    <d v="1999-11-29T00:00:00"/>
    <s v="IL"/>
    <s v="100/300"/>
    <n v="1000"/>
    <n v="904.7"/>
    <n v="7000000"/>
    <n v="454530"/>
    <s v="FEMALE"/>
    <s v="MD"/>
    <s v="craft-repair"/>
    <s v="bungie-jumping"/>
    <s v="unmarried"/>
    <n v="68600"/>
    <n v="-22300"/>
    <d v="2015-02-17T00:00:00"/>
    <s v="Single Vehicle Collision"/>
    <s v="Front Collision"/>
    <s v="Major Damage"/>
    <s v="Fire"/>
    <x v="0"/>
    <x v="1"/>
    <s v="7460 Apache Lane"/>
    <n v="0"/>
    <n v="1"/>
    <s v="?"/>
    <n v="1"/>
    <n v="3"/>
    <s v="NO"/>
    <n v="74200"/>
    <n v="14840"/>
    <n v="14840"/>
    <n v="44520"/>
    <s v="Accura"/>
    <s v="TL"/>
    <n v="2002"/>
    <s v="Y"/>
    <n v="81.925582422435681"/>
    <n v="-73295.3"/>
    <n v="1.2192558051778279E-2"/>
    <n v="13"/>
    <n v="230"/>
    <x v="0"/>
    <x v="0"/>
  </r>
  <r>
    <n v="250"/>
    <n v="43"/>
    <n v="380067"/>
    <d v="2013-07-07T00:00:00"/>
    <s v="OH"/>
    <s v="500/1000"/>
    <n v="1000"/>
    <n v="1243.8399999999999"/>
    <n v="0"/>
    <n v="474848"/>
    <s v="FEMALE"/>
    <s v="JD"/>
    <s v="tech-support"/>
    <s v="polo"/>
    <s v="own-child"/>
    <n v="47900"/>
    <n v="-73400"/>
    <d v="2015-01-30T00:00:00"/>
    <s v="Single Vehicle Collision"/>
    <s v="Side Collision"/>
    <s v="Minor Damage"/>
    <s v="Other"/>
    <x v="1"/>
    <x v="0"/>
    <s v="5771 Sky Ave"/>
    <n v="22"/>
    <n v="1"/>
    <s v="YES"/>
    <n v="1"/>
    <n v="3"/>
    <s v="NO"/>
    <n v="64900"/>
    <n v="12980"/>
    <n v="12980"/>
    <n v="38940"/>
    <s v="Volkswagen"/>
    <s v="Jetta"/>
    <n v="2011"/>
    <s v="N"/>
    <n v="52.135214164069282"/>
    <n v="-63656.160000000003"/>
    <n v="1.9165190058704797E-2"/>
    <n v="4"/>
    <n v="250"/>
    <x v="0"/>
    <x v="0"/>
  </r>
  <r>
    <n v="270"/>
    <n v="44"/>
    <n v="701521"/>
    <d v="2003-07-05T00:00:00"/>
    <s v="IL"/>
    <s v="500/1000"/>
    <n v="2000"/>
    <n v="1030.95"/>
    <n v="0"/>
    <n v="435985"/>
    <s v="FEMALE"/>
    <s v="Associate"/>
    <s v="machine-op-inspct"/>
    <s v="paintball"/>
    <s v="other-relative"/>
    <n v="47200"/>
    <n v="0"/>
    <d v="2015-02-03T00:00:00"/>
    <s v="Multi-vehicle Collision"/>
    <s v="Rear Collision"/>
    <s v="Major Damage"/>
    <s v="Ambulance"/>
    <x v="5"/>
    <x v="5"/>
    <s v="2865 Maple Lane"/>
    <n v="20"/>
    <n v="3"/>
    <s v="?"/>
    <n v="1"/>
    <n v="0"/>
    <s v="NO"/>
    <n v="35900"/>
    <n v="7180"/>
    <n v="3590"/>
    <n v="25130"/>
    <s v="Audi"/>
    <s v="A3"/>
    <n v="2007"/>
    <s v="Y"/>
    <n v="34.78850719511604"/>
    <n v="-34869.050000000003"/>
    <n v="2.8716470293306595E-2"/>
    <n v="8"/>
    <n v="270"/>
    <x v="0"/>
    <x v="0"/>
  </r>
  <r>
    <n v="65"/>
    <n v="26"/>
    <n v="360770"/>
    <d v="2005-09-21T00:00:00"/>
    <s v="IN"/>
    <s v="100/300"/>
    <n v="500"/>
    <n v="1285.03"/>
    <n v="3000000"/>
    <n v="457942"/>
    <s v="FEMALE"/>
    <s v="High School"/>
    <s v="craft-repair"/>
    <s v="camping"/>
    <s v="unmarried"/>
    <n v="0"/>
    <n v="-41500"/>
    <d v="2015-02-03T00:00:00"/>
    <s v="Single Vehicle Collision"/>
    <s v="Rear Collision"/>
    <s v="Minor Damage"/>
    <s v="Fire"/>
    <x v="1"/>
    <x v="1"/>
    <s v="8940 Elm Ave"/>
    <n v="0"/>
    <n v="1"/>
    <s v="NO"/>
    <n v="1"/>
    <n v="3"/>
    <s v="?"/>
    <n v="52200"/>
    <n v="5220"/>
    <n v="10440"/>
    <n v="36540"/>
    <s v="Honda"/>
    <s v="CRV"/>
    <n v="2011"/>
    <s v="N"/>
    <n v="40.590032891923208"/>
    <n v="-50914.97"/>
    <n v="2.4616961360893468E-2"/>
    <n v="4"/>
    <n v="65"/>
    <x v="0"/>
    <x v="0"/>
  </r>
  <r>
    <n v="475"/>
    <n v="57"/>
    <n v="958785"/>
    <d v="1995-02-18T00:00:00"/>
    <s v="OH"/>
    <s v="100/300"/>
    <n v="500"/>
    <n v="1216.56"/>
    <n v="0"/>
    <n v="436522"/>
    <s v="MALE"/>
    <s v="Masters"/>
    <s v="adm-clerical"/>
    <s v="skydiving"/>
    <s v="own-child"/>
    <n v="67400"/>
    <n v="-83200"/>
    <d v="2015-01-31T00:00:00"/>
    <s v="Single Vehicle Collision"/>
    <s v="Front Collision"/>
    <s v="Minor Damage"/>
    <s v="Police"/>
    <x v="0"/>
    <x v="4"/>
    <s v="1215 Pine Hwy"/>
    <n v="20"/>
    <n v="1"/>
    <s v="?"/>
    <n v="0"/>
    <n v="2"/>
    <s v="NO"/>
    <n v="78000"/>
    <n v="6500"/>
    <n v="13000"/>
    <n v="58500"/>
    <s v="Suburu"/>
    <s v="Forrestor"/>
    <n v="2000"/>
    <s v="N"/>
    <n v="64.062551332172546"/>
    <n v="-76783.44"/>
    <n v="1.5596723118934373E-2"/>
    <n v="15"/>
    <n v="475"/>
    <x v="0"/>
    <x v="0"/>
  </r>
  <r>
    <n v="77"/>
    <n v="27"/>
    <n v="797934"/>
    <d v="1999-04-07T00:00:00"/>
    <s v="IN"/>
    <s v="500/1000"/>
    <n v="2000"/>
    <n v="966.26"/>
    <n v="0"/>
    <n v="471704"/>
    <s v="FEMALE"/>
    <s v="High School"/>
    <s v="adm-clerical"/>
    <s v="base-jumping"/>
    <s v="own-child"/>
    <n v="56400"/>
    <n v="-32800"/>
    <d v="2015-02-06T00:00:00"/>
    <s v="Multi-vehicle Collision"/>
    <s v="Front Collision"/>
    <s v="Minor Damage"/>
    <s v="Ambulance"/>
    <x v="2"/>
    <x v="3"/>
    <s v="6874 Maple Ridge"/>
    <n v="1"/>
    <n v="3"/>
    <s v="YES"/>
    <n v="0"/>
    <n v="0"/>
    <s v="?"/>
    <n v="67200"/>
    <n v="6720"/>
    <n v="6720"/>
    <n v="53760"/>
    <s v="Volkswagen"/>
    <s v="Passat"/>
    <n v="1995"/>
    <s v="N"/>
    <n v="69.474598349978294"/>
    <n v="-66233.740000000005"/>
    <n v="1.4378655079537507E-2"/>
    <n v="20"/>
    <n v="77"/>
    <x v="0"/>
    <x v="0"/>
  </r>
  <r>
    <n v="256"/>
    <n v="43"/>
    <n v="883980"/>
    <d v="2014-12-13T00:00:00"/>
    <s v="OH"/>
    <s v="100/300"/>
    <n v="500"/>
    <n v="1203.17"/>
    <n v="0"/>
    <n v="455810"/>
    <s v="FEMALE"/>
    <s v="MD"/>
    <s v="prof-specialty"/>
    <s v="golf"/>
    <s v="unmarried"/>
    <n v="56700"/>
    <n v="-65600"/>
    <d v="2015-02-06T00:00:00"/>
    <s v="Single Vehicle Collision"/>
    <s v="Rear Collision"/>
    <s v="Total Loss"/>
    <s v="Fire"/>
    <x v="4"/>
    <x v="4"/>
    <s v="8834 Elm Drive"/>
    <n v="11"/>
    <n v="1"/>
    <s v="NO"/>
    <n v="0"/>
    <n v="0"/>
    <s v="?"/>
    <n v="63250"/>
    <n v="11500"/>
    <n v="5750"/>
    <n v="46000"/>
    <s v="Nissan"/>
    <s v="Ultima"/>
    <n v="1997"/>
    <s v="N"/>
    <n v="52.525806156937968"/>
    <n v="-62046.83"/>
    <n v="1.9022149847433244E-2"/>
    <n v="18"/>
    <n v="256"/>
    <x v="0"/>
    <x v="0"/>
  </r>
  <r>
    <n v="229"/>
    <n v="37"/>
    <n v="340614"/>
    <d v="1997-06-01T00:00:00"/>
    <s v="IL"/>
    <s v="250/500"/>
    <n v="2000"/>
    <n v="1212.1199999999999"/>
    <n v="0"/>
    <n v="446544"/>
    <s v="FEMALE"/>
    <s v="MD"/>
    <s v="craft-repair"/>
    <s v="paintball"/>
    <s v="not-in-family"/>
    <n v="65600"/>
    <n v="0"/>
    <d v="2015-01-29T00:00:00"/>
    <s v="Multi-vehicle Collision"/>
    <s v="Side Collision"/>
    <s v="Major Damage"/>
    <s v="Other"/>
    <x v="4"/>
    <x v="0"/>
    <s v="8542 Lincoln Ridge"/>
    <n v="14"/>
    <n v="3"/>
    <s v="YES"/>
    <n v="1"/>
    <n v="1"/>
    <s v="YES"/>
    <n v="68760"/>
    <n v="11460"/>
    <n v="5730"/>
    <n v="51570"/>
    <s v="Ford"/>
    <s v="Fusion"/>
    <n v="1995"/>
    <s v="N"/>
    <n v="56.680295436560279"/>
    <n v="-67547.88"/>
    <n v="1.7628015881095388E-2"/>
    <n v="20"/>
    <n v="229"/>
    <x v="0"/>
    <x v="0"/>
  </r>
  <r>
    <n v="110"/>
    <n v="28"/>
    <n v="435784"/>
    <d v="2013-07-13T00:00:00"/>
    <s v="OH"/>
    <s v="250/500"/>
    <n v="1000"/>
    <n v="1573.93"/>
    <n v="0"/>
    <n v="461919"/>
    <s v="MALE"/>
    <s v="College"/>
    <s v="other-service"/>
    <s v="movies"/>
    <s v="other-relative"/>
    <n v="30400"/>
    <n v="0"/>
    <d v="2015-01-07T00:00:00"/>
    <s v="Multi-vehicle Collision"/>
    <s v="Side Collision"/>
    <s v="Minor Damage"/>
    <s v="Police"/>
    <x v="2"/>
    <x v="3"/>
    <s v="9397 Francis St"/>
    <n v="20"/>
    <n v="3"/>
    <s v="YES"/>
    <n v="0"/>
    <n v="2"/>
    <s v="?"/>
    <n v="65040"/>
    <n v="10840"/>
    <n v="10840"/>
    <n v="43360"/>
    <s v="Suburu"/>
    <s v="Impreza"/>
    <n v="2010"/>
    <s v="N"/>
    <n v="41.297073520727906"/>
    <n v="-63466.07"/>
    <n v="2.4199043680140222E-2"/>
    <n v="5"/>
    <n v="110"/>
    <x v="0"/>
    <x v="0"/>
  </r>
  <r>
    <n v="177"/>
    <n v="33"/>
    <n v="563837"/>
    <d v="2002-12-30T00:00:00"/>
    <s v="IL"/>
    <s v="100/300"/>
    <n v="1000"/>
    <n v="1609.67"/>
    <n v="0"/>
    <n v="470128"/>
    <s v="MALE"/>
    <s v="College"/>
    <s v="adm-clerical"/>
    <s v="yachting"/>
    <s v="wife"/>
    <n v="0"/>
    <n v="-13200"/>
    <d v="2015-01-20T00:00:00"/>
    <s v="Single Vehicle Collision"/>
    <s v="Side Collision"/>
    <s v="Major Damage"/>
    <s v="Ambulance"/>
    <x v="0"/>
    <x v="3"/>
    <s v="4907 Andromedia Drive"/>
    <n v="22"/>
    <n v="1"/>
    <s v="?"/>
    <n v="1"/>
    <n v="3"/>
    <s v="?"/>
    <n v="82800"/>
    <n v="20700"/>
    <n v="13800"/>
    <n v="48300"/>
    <s v="Jeep"/>
    <s v="Grand Cherokee"/>
    <n v="2004"/>
    <s v="Y"/>
    <n v="51.407178379183819"/>
    <n v="-81190.33"/>
    <n v="1.9440224151882225E-2"/>
    <n v="11"/>
    <n v="177"/>
    <x v="0"/>
    <x v="0"/>
  </r>
  <r>
    <n v="292"/>
    <n v="44"/>
    <n v="200827"/>
    <d v="1997-02-28T00:00:00"/>
    <s v="OH"/>
    <s v="500/1000"/>
    <n v="500"/>
    <n v="1097.57"/>
    <n v="0"/>
    <n v="462836"/>
    <s v="MALE"/>
    <s v="PhD"/>
    <s v="priv-house-serv"/>
    <s v="basketball"/>
    <s v="unmarried"/>
    <n v="0"/>
    <n v="0"/>
    <d v="2015-02-28T00:00:00"/>
    <s v="Single Vehicle Collision"/>
    <s v="Side Collision"/>
    <s v="Total Loss"/>
    <s v="Other"/>
    <x v="0"/>
    <x v="0"/>
    <s v="4429 Washington St"/>
    <n v="12"/>
    <n v="1"/>
    <s v="NO"/>
    <n v="1"/>
    <n v="0"/>
    <s v="YES"/>
    <n v="61700"/>
    <n v="6170"/>
    <n v="6170"/>
    <n v="49360"/>
    <s v="Saab"/>
    <n v="93"/>
    <n v="2005"/>
    <s v="N"/>
    <n v="56.163922189755773"/>
    <n v="-60602.43"/>
    <n v="1.7788528548970031E-2"/>
    <n v="10"/>
    <n v="292"/>
    <x v="0"/>
    <x v="0"/>
  </r>
  <r>
    <n v="451"/>
    <n v="61"/>
    <n v="533941"/>
    <d v="1998-06-18T00:00:00"/>
    <s v="IN"/>
    <s v="250/500"/>
    <n v="2000"/>
    <n v="1618.65"/>
    <n v="2000000"/>
    <n v="475407"/>
    <s v="FEMALE"/>
    <s v="Associate"/>
    <s v="transport-moving"/>
    <s v="polo"/>
    <s v="unmarried"/>
    <n v="0"/>
    <n v="-42600"/>
    <d v="2015-02-04T00:00:00"/>
    <s v="Multi-vehicle Collision"/>
    <s v="Rear Collision"/>
    <s v="Major Damage"/>
    <s v="Ambulance"/>
    <x v="3"/>
    <x v="0"/>
    <s v="2651 MLK Lane"/>
    <n v="3"/>
    <n v="3"/>
    <s v="YES"/>
    <n v="2"/>
    <n v="1"/>
    <s v="YES"/>
    <n v="78100"/>
    <n v="15620"/>
    <n v="7810"/>
    <n v="54670"/>
    <s v="Chevrolet"/>
    <s v="Tahoe"/>
    <n v="1997"/>
    <s v="Y"/>
    <n v="48.220294508072726"/>
    <n v="-76481.350000000006"/>
    <n v="2.0725086746648573E-2"/>
    <n v="18"/>
    <n v="451"/>
    <x v="0"/>
    <x v="0"/>
  </r>
  <r>
    <n v="61"/>
    <n v="24"/>
    <n v="265026"/>
    <d v="1996-02-08T00:00:00"/>
    <s v="IN"/>
    <s v="100/300"/>
    <n v="500"/>
    <n v="922.67"/>
    <n v="0"/>
    <n v="473611"/>
    <s v="FEMALE"/>
    <s v="College"/>
    <s v="priv-house-serv"/>
    <s v="paintball"/>
    <s v="other-relative"/>
    <n v="47400"/>
    <n v="0"/>
    <d v="2015-01-12T00:00:00"/>
    <s v="Multi-vehicle Collision"/>
    <s v="Rear Collision"/>
    <s v="Major Damage"/>
    <s v="Ambulance"/>
    <x v="0"/>
    <x v="5"/>
    <s v="2942 1st Lane"/>
    <n v="15"/>
    <n v="3"/>
    <s v="YES"/>
    <n v="2"/>
    <n v="1"/>
    <s v="?"/>
    <n v="65520"/>
    <n v="9360"/>
    <n v="9360"/>
    <n v="46800"/>
    <s v="Toyota"/>
    <s v="Highlander"/>
    <n v="2011"/>
    <s v="Y"/>
    <n v="70.93442463217383"/>
    <n v="-64597.33"/>
    <n v="1.4082050029761451E-2"/>
    <n v="4"/>
    <n v="61"/>
    <x v="0"/>
    <x v="0"/>
  </r>
  <r>
    <n v="150"/>
    <n v="30"/>
    <n v="354481"/>
    <d v="2004-11-17T00:00:00"/>
    <s v="IN"/>
    <s v="100/300"/>
    <n v="1000"/>
    <n v="1342.02"/>
    <n v="0"/>
    <n v="608425"/>
    <s v="MALE"/>
    <s v="MD"/>
    <s v="prof-specialty"/>
    <s v="polo"/>
    <s v="own-child"/>
    <n v="0"/>
    <n v="0"/>
    <d v="2015-02-28T00:00:00"/>
    <s v="Parked Car"/>
    <s v="?"/>
    <s v="Trivial Damage"/>
    <s v="None"/>
    <x v="1"/>
    <x v="2"/>
    <s v="6317 Best St"/>
    <n v="8"/>
    <n v="1"/>
    <s v="YES"/>
    <n v="0"/>
    <n v="2"/>
    <s v="NO"/>
    <n v="4500"/>
    <n v="450"/>
    <n v="450"/>
    <n v="3600"/>
    <s v="Saab"/>
    <n v="93"/>
    <n v="1999"/>
    <s v="N"/>
    <n v="3.3506574734553469"/>
    <n v="-3157.98"/>
    <n v="0.2981604087980449"/>
    <n v="16"/>
    <n v="150"/>
    <x v="1"/>
    <x v="1"/>
  </r>
  <r>
    <n v="283"/>
    <n v="41"/>
    <n v="566720"/>
    <d v="2012-10-25T00:00:00"/>
    <s v="OH"/>
    <s v="100/300"/>
    <n v="500"/>
    <n v="1195.01"/>
    <n v="0"/>
    <n v="476227"/>
    <s v="FEMALE"/>
    <s v="Associate"/>
    <s v="sales"/>
    <s v="reading"/>
    <s v="own-child"/>
    <n v="60700"/>
    <n v="-54300"/>
    <d v="2015-01-08T00:00:00"/>
    <s v="Multi-vehicle Collision"/>
    <s v="Side Collision"/>
    <s v="Major Damage"/>
    <s v="Other"/>
    <x v="4"/>
    <x v="5"/>
    <s v="1555 Washington Lane"/>
    <n v="13"/>
    <n v="3"/>
    <s v="NO"/>
    <n v="0"/>
    <n v="2"/>
    <s v="?"/>
    <n v="42700"/>
    <n v="0"/>
    <n v="6100"/>
    <n v="36600"/>
    <s v="Mercedes"/>
    <s v="ML350"/>
    <n v="2011"/>
    <s v="Y"/>
    <n v="35.702042625061665"/>
    <n v="-41504.99"/>
    <n v="2.7985527271024099E-2"/>
    <n v="4"/>
    <n v="283"/>
    <x v="0"/>
    <x v="0"/>
  </r>
  <r>
    <n v="291"/>
    <n v="46"/>
    <n v="832746"/>
    <d v="2006-04-13T00:00:00"/>
    <s v="OH"/>
    <s v="500/1000"/>
    <n v="1000"/>
    <n v="994.74"/>
    <n v="0"/>
    <n v="452701"/>
    <s v="FEMALE"/>
    <s v="High School"/>
    <s v="adm-clerical"/>
    <s v="polo"/>
    <s v="own-child"/>
    <n v="0"/>
    <n v="-55300"/>
    <d v="2015-01-25T00:00:00"/>
    <s v="Parked Car"/>
    <s v="?"/>
    <s v="Minor Damage"/>
    <s v="Police"/>
    <x v="0"/>
    <x v="4"/>
    <s v="1919 4th Lane"/>
    <n v="8"/>
    <n v="1"/>
    <s v="NO"/>
    <n v="2"/>
    <n v="2"/>
    <s v="YES"/>
    <n v="5580"/>
    <n v="620"/>
    <n v="620"/>
    <n v="4340"/>
    <s v="Volkswagen"/>
    <s v="Passat"/>
    <n v="2005"/>
    <s v="Y"/>
    <n v="5.6038724968365239"/>
    <n v="-4585.26"/>
    <n v="0.1782368751119871"/>
    <n v="10"/>
    <n v="291"/>
    <x v="2"/>
    <x v="1"/>
  </r>
  <r>
    <n v="162"/>
    <n v="31"/>
    <n v="386690"/>
    <d v="2006-02-21T00:00:00"/>
    <s v="IN"/>
    <s v="100/300"/>
    <n v="1000"/>
    <n v="1050.24"/>
    <n v="0"/>
    <n v="456789"/>
    <s v="FEMALE"/>
    <s v="Masters"/>
    <s v="adm-clerical"/>
    <s v="chess"/>
    <s v="wife"/>
    <n v="30700"/>
    <n v="0"/>
    <d v="2015-02-26T00:00:00"/>
    <s v="Parked Car"/>
    <s v="?"/>
    <s v="Minor Damage"/>
    <s v="None"/>
    <x v="5"/>
    <x v="2"/>
    <s v="5480 3rd Ridge"/>
    <n v="7"/>
    <n v="1"/>
    <s v="?"/>
    <n v="0"/>
    <n v="0"/>
    <s v="NO"/>
    <n v="3600"/>
    <n v="360"/>
    <n v="720"/>
    <n v="2520"/>
    <s v="BMW"/>
    <s v="X5"/>
    <n v="2013"/>
    <s v="Y"/>
    <n v="3.4245272249914387"/>
    <n v="-2549.7600000000002"/>
    <n v="0.29165231880033327"/>
    <n v="2"/>
    <n v="162"/>
    <x v="1"/>
    <x v="1"/>
  </r>
  <r>
    <n v="154"/>
    <n v="36"/>
    <n v="979285"/>
    <d v="2003-12-17T00:00:00"/>
    <s v="IL"/>
    <s v="250/500"/>
    <n v="2000"/>
    <n v="1313.51"/>
    <n v="7000000"/>
    <n v="600904"/>
    <s v="FEMALE"/>
    <s v="Masters"/>
    <s v="exec-managerial"/>
    <s v="dancing"/>
    <s v="own-child"/>
    <n v="68500"/>
    <n v="0"/>
    <d v="2015-02-03T00:00:00"/>
    <s v="Vehicle Theft"/>
    <s v="?"/>
    <s v="Trivial Damage"/>
    <s v="None"/>
    <x v="0"/>
    <x v="6"/>
    <s v="8864 Tree Ridge"/>
    <n v="9"/>
    <n v="1"/>
    <s v="?"/>
    <n v="2"/>
    <n v="0"/>
    <s v="?"/>
    <n v="2800"/>
    <n v="280"/>
    <n v="280"/>
    <n v="2240"/>
    <s v="Volkswagen"/>
    <s v="Passat"/>
    <n v="2015"/>
    <s v="N"/>
    <n v="2.1300712813139495"/>
    <n v="-1486.49"/>
    <n v="0.46894323455908604"/>
    <n v="0"/>
    <n v="154"/>
    <x v="1"/>
    <x v="1"/>
  </r>
  <r>
    <n v="289"/>
    <n v="47"/>
    <n v="594722"/>
    <d v="1999-07-31T00:00:00"/>
    <s v="OH"/>
    <s v="500/1000"/>
    <n v="2000"/>
    <n v="1102.29"/>
    <n v="0"/>
    <n v="450889"/>
    <s v="FEMALE"/>
    <s v="Associate"/>
    <s v="adm-clerical"/>
    <s v="hiking"/>
    <s v="own-child"/>
    <n v="73000"/>
    <n v="-37900"/>
    <d v="2015-01-31T00:00:00"/>
    <s v="Single Vehicle Collision"/>
    <s v="Front Collision"/>
    <s v="Minor Damage"/>
    <s v="Ambulance"/>
    <x v="1"/>
    <x v="5"/>
    <s v="2777 Solo Drive"/>
    <n v="15"/>
    <n v="1"/>
    <s v="NO"/>
    <n v="1"/>
    <n v="0"/>
    <s v="YES"/>
    <n v="54000"/>
    <n v="6000"/>
    <n v="6000"/>
    <n v="42000"/>
    <s v="Toyota"/>
    <s v="Highlander"/>
    <n v="1996"/>
    <s v="N"/>
    <n v="48.944520479656305"/>
    <n v="-52897.71"/>
    <n v="2.0412399770374623E-2"/>
    <n v="19"/>
    <n v="289"/>
    <x v="0"/>
    <x v="0"/>
  </r>
  <r>
    <n v="10"/>
    <n v="19"/>
    <n v="216738"/>
    <d v="2014-08-05T00:00:00"/>
    <s v="IN"/>
    <s v="250/500"/>
    <n v="1000"/>
    <n v="1185.78"/>
    <n v="0"/>
    <n v="478837"/>
    <s v="FEMALE"/>
    <s v="JD"/>
    <s v="craft-repair"/>
    <s v="yachting"/>
    <s v="wife"/>
    <n v="0"/>
    <n v="-60700"/>
    <d v="2015-02-01T00:00:00"/>
    <s v="Single Vehicle Collision"/>
    <s v="Side Collision"/>
    <s v="Minor Damage"/>
    <s v="Police"/>
    <x v="5"/>
    <x v="5"/>
    <s v="9929 Rock Drive"/>
    <n v="5"/>
    <n v="1"/>
    <s v="?"/>
    <n v="0"/>
    <n v="2"/>
    <s v="?"/>
    <n v="48950"/>
    <n v="4450"/>
    <n v="8900"/>
    <n v="35600"/>
    <s v="Accura"/>
    <s v="TL"/>
    <n v="2011"/>
    <s v="Y"/>
    <n v="41.246060769477076"/>
    <n v="-47764.22"/>
    <n v="2.4223815652387081E-2"/>
    <n v="4"/>
    <n v="10"/>
    <x v="0"/>
    <x v="0"/>
  </r>
  <r>
    <n v="309"/>
    <n v="47"/>
    <n v="369048"/>
    <d v="2011-06-05T00:00:00"/>
    <s v="IL"/>
    <s v="500/1000"/>
    <n v="500"/>
    <n v="1527.95"/>
    <n v="0"/>
    <n v="611322"/>
    <s v="MALE"/>
    <s v="PhD"/>
    <s v="exec-managerial"/>
    <s v="hiking"/>
    <s v="other-relative"/>
    <n v="69400"/>
    <n v="0"/>
    <d v="2015-02-21T00:00:00"/>
    <s v="Multi-vehicle Collision"/>
    <s v="Rear Collision"/>
    <s v="Major Damage"/>
    <s v="Other"/>
    <x v="4"/>
    <x v="5"/>
    <s v="4143 Maple Ridge"/>
    <n v="15"/>
    <n v="4"/>
    <s v="YES"/>
    <n v="0"/>
    <n v="1"/>
    <s v="?"/>
    <n v="77800"/>
    <n v="15560"/>
    <n v="15560"/>
    <n v="46680"/>
    <s v="Dodge"/>
    <s v="RAM"/>
    <n v="2002"/>
    <s v="N"/>
    <n v="50.884594002419959"/>
    <n v="-76272.05"/>
    <n v="1.9639207722265781E-2"/>
    <n v="13"/>
    <n v="309"/>
    <x v="0"/>
    <x v="0"/>
  </r>
  <r>
    <n v="396"/>
    <n v="57"/>
    <n v="514424"/>
    <d v="1992-10-11T00:00:00"/>
    <s v="IN"/>
    <s v="100/300"/>
    <n v="1000"/>
    <n v="1366.39"/>
    <n v="0"/>
    <n v="438180"/>
    <s v="MALE"/>
    <s v="High School"/>
    <s v="protective-serv"/>
    <s v="exercise"/>
    <s v="other-relative"/>
    <n v="0"/>
    <n v="-22400"/>
    <d v="2015-01-30T00:00:00"/>
    <s v="Multi-vehicle Collision"/>
    <s v="Front Collision"/>
    <s v="Major Damage"/>
    <s v="Other"/>
    <x v="5"/>
    <x v="0"/>
    <s v="7121 Rock St"/>
    <n v="22"/>
    <n v="3"/>
    <s v="YES"/>
    <n v="2"/>
    <n v="1"/>
    <s v="NO"/>
    <n v="52560"/>
    <n v="11680"/>
    <n v="5840"/>
    <n v="35040"/>
    <s v="Saab"/>
    <n v="93"/>
    <n v="1995"/>
    <s v="N"/>
    <n v="38.438192468864038"/>
    <n v="-51193.61"/>
    <n v="2.5996270999410213E-2"/>
    <n v="20"/>
    <n v="396"/>
    <x v="0"/>
    <x v="0"/>
  </r>
  <r>
    <n v="273"/>
    <n v="41"/>
    <n v="954191"/>
    <d v="2010-02-17T00:00:00"/>
    <s v="OH"/>
    <s v="500/1000"/>
    <n v="1000"/>
    <n v="1403.9"/>
    <n v="0"/>
    <n v="449793"/>
    <s v="FEMALE"/>
    <s v="PhD"/>
    <s v="farming-fishing"/>
    <s v="dancing"/>
    <s v="own-child"/>
    <n v="0"/>
    <n v="0"/>
    <d v="2015-01-31T00:00:00"/>
    <s v="Multi-vehicle Collision"/>
    <s v="Side Collision"/>
    <s v="Total Loss"/>
    <s v="Police"/>
    <x v="1"/>
    <x v="1"/>
    <s v="9067 Texas Ave"/>
    <n v="16"/>
    <n v="2"/>
    <s v="?"/>
    <n v="1"/>
    <n v="2"/>
    <s v="YES"/>
    <n v="44110"/>
    <n v="4010"/>
    <n v="8020"/>
    <n v="32080"/>
    <s v="Honda"/>
    <s v="Accord"/>
    <n v="2015"/>
    <s v="N"/>
    <n v="31.397252473485654"/>
    <n v="-42706.1"/>
    <n v="3.1826528530298569E-2"/>
    <n v="0"/>
    <n v="273"/>
    <x v="0"/>
    <x v="0"/>
  </r>
  <r>
    <n v="129"/>
    <n v="30"/>
    <n v="150181"/>
    <d v="2007-05-06T00:00:00"/>
    <s v="IL"/>
    <s v="500/1000"/>
    <n v="2000"/>
    <n v="927.23"/>
    <n v="0"/>
    <n v="450730"/>
    <s v="FEMALE"/>
    <s v="PhD"/>
    <s v="sales"/>
    <s v="video-games"/>
    <s v="husband"/>
    <n v="51500"/>
    <n v="0"/>
    <d v="2015-01-13T00:00:00"/>
    <s v="Single Vehicle Collision"/>
    <s v="Front Collision"/>
    <s v="Total Loss"/>
    <s v="Other"/>
    <x v="0"/>
    <x v="4"/>
    <s v="9245 Weaver Ridge"/>
    <n v="7"/>
    <n v="1"/>
    <s v="NO"/>
    <n v="1"/>
    <n v="3"/>
    <s v="?"/>
    <n v="74360"/>
    <n v="13520"/>
    <n v="6760"/>
    <n v="54080"/>
    <s v="Suburu"/>
    <s v="Forrestor"/>
    <n v="2009"/>
    <s v="N"/>
    <n v="80.109455630608792"/>
    <n v="-73432.77"/>
    <n v="1.2469305146514974E-2"/>
    <n v="6"/>
    <n v="129"/>
    <x v="0"/>
    <x v="0"/>
  </r>
  <r>
    <n v="140"/>
    <n v="31"/>
    <n v="388671"/>
    <d v="1997-05-01T00:00:00"/>
    <s v="OH"/>
    <s v="250/500"/>
    <n v="2000"/>
    <n v="1554.86"/>
    <n v="6000000"/>
    <n v="608758"/>
    <s v="FEMALE"/>
    <s v="JD"/>
    <s v="armed-forces"/>
    <s v="base-jumping"/>
    <s v="wife"/>
    <n v="59000"/>
    <n v="0"/>
    <d v="2015-02-16T00:00:00"/>
    <s v="Parked Car"/>
    <s v="?"/>
    <s v="Minor Damage"/>
    <s v="None"/>
    <x v="4"/>
    <x v="2"/>
    <s v="4585 Francis Ave"/>
    <n v="2"/>
    <n v="1"/>
    <s v="YES"/>
    <n v="1"/>
    <n v="2"/>
    <s v="?"/>
    <n v="6120"/>
    <n v="680"/>
    <n v="680"/>
    <n v="4760"/>
    <s v="Honda"/>
    <s v="Civic"/>
    <n v="2002"/>
    <s v="Y"/>
    <n v="3.93351586903706"/>
    <n v="-4565.1400000000003"/>
    <n v="0.25402058487175294"/>
    <n v="13"/>
    <n v="140"/>
    <x v="1"/>
    <x v="1"/>
  </r>
  <r>
    <n v="419"/>
    <n v="53"/>
    <n v="457244"/>
    <d v="1998-01-28T00:00:00"/>
    <s v="IL"/>
    <s v="500/1000"/>
    <n v="2000"/>
    <n v="736.07"/>
    <n v="6000000"/>
    <n v="445339"/>
    <s v="MALE"/>
    <s v="College"/>
    <s v="transport-moving"/>
    <s v="chess"/>
    <s v="unmarried"/>
    <n v="45700"/>
    <n v="0"/>
    <d v="2015-02-04T00:00:00"/>
    <s v="Multi-vehicle Collision"/>
    <s v="Side Collision"/>
    <s v="Minor Damage"/>
    <s v="Police"/>
    <x v="0"/>
    <x v="5"/>
    <s v="6738 Francis Hwy"/>
    <n v="17"/>
    <n v="4"/>
    <s v="?"/>
    <n v="0"/>
    <n v="0"/>
    <s v="YES"/>
    <n v="62280"/>
    <n v="5190"/>
    <n v="10380"/>
    <n v="46710"/>
    <s v="Suburu"/>
    <s v="Forrestor"/>
    <n v="2012"/>
    <s v="N"/>
    <n v="84.496723513370497"/>
    <n v="-61543.93"/>
    <n v="1.181853213660667E-2"/>
    <n v="3"/>
    <n v="419"/>
    <x v="0"/>
    <x v="0"/>
  </r>
  <r>
    <n v="315"/>
    <n v="44"/>
    <n v="206667"/>
    <d v="1993-05-05T00:00:00"/>
    <s v="IL"/>
    <s v="250/500"/>
    <n v="1000"/>
    <n v="974.16"/>
    <n v="6000000"/>
    <n v="438328"/>
    <s v="FEMALE"/>
    <s v="Masters"/>
    <s v="sales"/>
    <s v="reading"/>
    <s v="other-relative"/>
    <n v="0"/>
    <n v="-56800"/>
    <d v="2015-02-07T00:00:00"/>
    <s v="Multi-vehicle Collision"/>
    <s v="Front Collision"/>
    <s v="Total Loss"/>
    <s v="Other"/>
    <x v="2"/>
    <x v="3"/>
    <s v="7576 Pine Ridge"/>
    <n v="12"/>
    <n v="3"/>
    <s v="?"/>
    <n v="1"/>
    <n v="0"/>
    <s v="YES"/>
    <n v="26730"/>
    <n v="4860"/>
    <n v="4860"/>
    <n v="17010"/>
    <s v="Volkswagen"/>
    <s v="Jetta"/>
    <n v="2006"/>
    <s v="N"/>
    <n v="27.410886418638995"/>
    <n v="-25755.84"/>
    <n v="3.6443081066926036E-2"/>
    <n v="9"/>
    <n v="315"/>
    <x v="0"/>
    <x v="0"/>
  </r>
  <r>
    <n v="72"/>
    <n v="29"/>
    <n v="745200"/>
    <d v="1994-08-06T00:00:00"/>
    <s v="OH"/>
    <s v="500/1000"/>
    <n v="500"/>
    <n v="973.8"/>
    <n v="0"/>
    <n v="479913"/>
    <s v="FEMALE"/>
    <s v="Associate"/>
    <s v="craft-repair"/>
    <s v="exercise"/>
    <s v="own-child"/>
    <n v="0"/>
    <n v="-85900"/>
    <d v="2015-01-16T00:00:00"/>
    <s v="Single Vehicle Collision"/>
    <s v="Rear Collision"/>
    <s v="Major Damage"/>
    <s v="Ambulance"/>
    <x v="4"/>
    <x v="2"/>
    <s v="9105 Tree Lane"/>
    <n v="9"/>
    <n v="1"/>
    <s v="?"/>
    <n v="1"/>
    <n v="0"/>
    <s v="NO"/>
    <n v="66200"/>
    <n v="6620"/>
    <n v="6620"/>
    <n v="52960"/>
    <s v="Dodge"/>
    <s v="Neon"/>
    <n v="2013"/>
    <s v="N"/>
    <n v="67.911366434140334"/>
    <n v="-65226.2"/>
    <n v="1.4709747586894457E-2"/>
    <n v="2"/>
    <n v="72"/>
    <x v="0"/>
    <x v="0"/>
  </r>
  <r>
    <n v="32"/>
    <n v="26"/>
    <n v="412703"/>
    <d v="2014-11-14T00:00:00"/>
    <s v="OH"/>
    <s v="100/300"/>
    <n v="2000"/>
    <n v="1260.32"/>
    <n v="6000000"/>
    <n v="460760"/>
    <s v="MALE"/>
    <s v="JD"/>
    <s v="other-service"/>
    <s v="polo"/>
    <s v="not-in-family"/>
    <n v="0"/>
    <n v="-79800"/>
    <d v="2015-02-28T00:00:00"/>
    <s v="Single Vehicle Collision"/>
    <s v="Side Collision"/>
    <s v="Total Loss"/>
    <s v="Fire"/>
    <x v="1"/>
    <x v="6"/>
    <s v="2299 Britain Drive"/>
    <n v="16"/>
    <n v="1"/>
    <s v="?"/>
    <n v="1"/>
    <n v="2"/>
    <s v="?"/>
    <n v="45500"/>
    <n v="9100"/>
    <n v="4550"/>
    <n v="31850"/>
    <s v="Toyota"/>
    <s v="Corolla"/>
    <n v="2009"/>
    <s v="N"/>
    <n v="36.073320013953641"/>
    <n v="-44239.68"/>
    <n v="2.7698731896002284E-2"/>
    <n v="6"/>
    <n v="32"/>
    <x v="0"/>
    <x v="0"/>
  </r>
  <r>
    <n v="230"/>
    <n v="41"/>
    <n v="736771"/>
    <d v="1991-12-14T00:00:00"/>
    <s v="IN"/>
    <s v="100/300"/>
    <n v="1000"/>
    <n v="1464.03"/>
    <n v="0"/>
    <n v="444797"/>
    <s v="MALE"/>
    <s v="JD"/>
    <s v="transport-moving"/>
    <s v="sleeping"/>
    <s v="own-child"/>
    <n v="0"/>
    <n v="0"/>
    <d v="2015-02-08T00:00:00"/>
    <s v="Multi-vehicle Collision"/>
    <s v="Side Collision"/>
    <s v="Minor Damage"/>
    <s v="Ambulance"/>
    <x v="2"/>
    <x v="3"/>
    <s v="1914 Francis St"/>
    <n v="19"/>
    <n v="3"/>
    <s v="?"/>
    <n v="2"/>
    <n v="0"/>
    <s v="?"/>
    <n v="53040"/>
    <n v="4420"/>
    <n v="4420"/>
    <n v="44200"/>
    <s v="Audi"/>
    <s v="A3"/>
    <n v="2006"/>
    <s v="N"/>
    <n v="36.204036777403878"/>
    <n v="-51575.97"/>
    <n v="2.7601855168643125E-2"/>
    <n v="9"/>
    <n v="230"/>
    <x v="0"/>
    <x v="0"/>
  </r>
  <r>
    <n v="157"/>
    <n v="32"/>
    <n v="347984"/>
    <d v="2009-10-21T00:00:00"/>
    <s v="OH"/>
    <s v="100/300"/>
    <n v="2000"/>
    <n v="617.11"/>
    <n v="0"/>
    <n v="436711"/>
    <s v="MALE"/>
    <s v="College"/>
    <s v="other-service"/>
    <s v="reading"/>
    <s v="other-relative"/>
    <n v="0"/>
    <n v="-54100"/>
    <d v="2015-01-02T00:00:00"/>
    <s v="Multi-vehicle Collision"/>
    <s v="Front Collision"/>
    <s v="Major Damage"/>
    <s v="Other"/>
    <x v="1"/>
    <x v="0"/>
    <s v="6658 Weaver St"/>
    <n v="14"/>
    <n v="3"/>
    <s v="?"/>
    <n v="1"/>
    <n v="2"/>
    <s v="NO"/>
    <n v="50800"/>
    <n v="10160"/>
    <n v="5080"/>
    <n v="35560"/>
    <s v="Mercedes"/>
    <s v="E400"/>
    <n v="2013"/>
    <s v="Y"/>
    <n v="82.18601866981605"/>
    <n v="-50182.89"/>
    <n v="1.2147595519773234E-2"/>
    <n v="2"/>
    <n v="157"/>
    <x v="0"/>
    <x v="0"/>
  </r>
  <r>
    <n v="265"/>
    <n v="41"/>
    <n v="626074"/>
    <d v="1997-09-29T00:00:00"/>
    <s v="IN"/>
    <s v="250/500"/>
    <n v="2000"/>
    <n v="1724.46"/>
    <n v="6000000"/>
    <n v="432491"/>
    <s v="FEMALE"/>
    <s v="Associate"/>
    <s v="craft-repair"/>
    <s v="sleeping"/>
    <s v="own-child"/>
    <n v="81800"/>
    <n v="0"/>
    <d v="2015-01-13T00:00:00"/>
    <s v="Multi-vehicle Collision"/>
    <s v="Side Collision"/>
    <s v="Total Loss"/>
    <s v="Police"/>
    <x v="0"/>
    <x v="5"/>
    <s v="1985 5th Ave"/>
    <n v="18"/>
    <n v="3"/>
    <s v="?"/>
    <n v="1"/>
    <n v="3"/>
    <s v="?"/>
    <n v="44200"/>
    <n v="4420"/>
    <n v="4420"/>
    <n v="35360"/>
    <s v="Audi"/>
    <s v="A5"/>
    <n v="2014"/>
    <s v="N"/>
    <n v="25.61635737716319"/>
    <n v="-42475.54"/>
    <n v="3.9014049455894664E-2"/>
    <n v="1"/>
    <n v="265"/>
    <x v="0"/>
    <x v="0"/>
  </r>
  <r>
    <n v="47"/>
    <n v="34"/>
    <n v="218109"/>
    <d v="2003-12-31T00:00:00"/>
    <s v="IL"/>
    <s v="500/1000"/>
    <n v="500"/>
    <n v="1161.31"/>
    <n v="0"/>
    <n v="617527"/>
    <s v="FEMALE"/>
    <s v="PhD"/>
    <s v="exec-managerial"/>
    <s v="base-jumping"/>
    <s v="other-relative"/>
    <n v="64800"/>
    <n v="-24300"/>
    <d v="2015-01-07T00:00:00"/>
    <s v="Single Vehicle Collision"/>
    <s v="Front Collision"/>
    <s v="Minor Damage"/>
    <s v="Police"/>
    <x v="0"/>
    <x v="3"/>
    <s v="1707 Sky Ave"/>
    <n v="23"/>
    <n v="1"/>
    <s v="YES"/>
    <n v="1"/>
    <n v="3"/>
    <s v="?"/>
    <n v="62920"/>
    <n v="11440"/>
    <n v="5720"/>
    <n v="45760"/>
    <s v="Chevrolet"/>
    <s v="Malibu"/>
    <n v="2012"/>
    <s v="N"/>
    <n v="54.133578821484804"/>
    <n v="-61758.69"/>
    <n v="1.8456636099235549E-2"/>
    <n v="3"/>
    <n v="47"/>
    <x v="0"/>
    <x v="0"/>
  </r>
  <r>
    <n v="113"/>
    <n v="29"/>
    <n v="999435"/>
    <d v="2008-01-01T00:00:00"/>
    <s v="OH"/>
    <s v="250/500"/>
    <n v="2000"/>
    <n v="1091.73"/>
    <n v="0"/>
    <n v="601213"/>
    <s v="MALE"/>
    <s v="PhD"/>
    <s v="exec-managerial"/>
    <s v="golf"/>
    <s v="not-in-family"/>
    <n v="36100"/>
    <n v="-42300"/>
    <d v="2015-01-05T00:00:00"/>
    <s v="Multi-vehicle Collision"/>
    <s v="Rear Collision"/>
    <s v="Minor Damage"/>
    <s v="Other"/>
    <x v="2"/>
    <x v="3"/>
    <s v="6456 Andromedia Drive"/>
    <n v="15"/>
    <n v="3"/>
    <s v="?"/>
    <n v="0"/>
    <n v="2"/>
    <s v="YES"/>
    <n v="49950"/>
    <n v="5550"/>
    <n v="5550"/>
    <n v="38850"/>
    <s v="Nissan"/>
    <s v="Ultima"/>
    <n v="2004"/>
    <s v="Y"/>
    <n v="45.711200388018995"/>
    <n v="-48858.27"/>
    <n v="2.1856018898520551E-2"/>
    <n v="11"/>
    <n v="113"/>
    <x v="0"/>
    <x v="0"/>
  </r>
  <r>
    <n v="289"/>
    <n v="46"/>
    <n v="858060"/>
    <d v="2004-05-31T00:00:00"/>
    <s v="IL"/>
    <s v="250/500"/>
    <n v="2000"/>
    <n v="1209.07"/>
    <n v="0"/>
    <n v="604138"/>
    <s v="MALE"/>
    <s v="JD"/>
    <s v="armed-forces"/>
    <s v="chess"/>
    <s v="unmarried"/>
    <n v="0"/>
    <n v="0"/>
    <d v="2015-02-28T00:00:00"/>
    <s v="Single Vehicle Collision"/>
    <s v="Rear Collision"/>
    <s v="Minor Damage"/>
    <s v="Ambulance"/>
    <x v="5"/>
    <x v="2"/>
    <s v="5649 Texas Ave"/>
    <n v="18"/>
    <n v="1"/>
    <s v="YES"/>
    <n v="0"/>
    <n v="1"/>
    <s v="YES"/>
    <n v="56430"/>
    <n v="6270"/>
    <n v="6270"/>
    <n v="43890"/>
    <s v="BMW"/>
    <s v="3 Series"/>
    <n v="1995"/>
    <s v="Y"/>
    <n v="46.633665820985563"/>
    <n v="-55220.93"/>
    <n v="2.1425634846095231E-2"/>
    <n v="20"/>
    <n v="289"/>
    <x v="0"/>
    <x v="0"/>
  </r>
  <r>
    <n v="254"/>
    <n v="41"/>
    <n v="500384"/>
    <d v="2013-12-18T00:00:00"/>
    <s v="IL"/>
    <s v="250/500"/>
    <n v="2000"/>
    <n v="1241.04"/>
    <n v="0"/>
    <n v="431361"/>
    <s v="FEMALE"/>
    <s v="Masters"/>
    <s v="protective-serv"/>
    <s v="board-games"/>
    <s v="own-child"/>
    <n v="0"/>
    <n v="0"/>
    <d v="2015-01-04T00:00:00"/>
    <s v="Single Vehicle Collision"/>
    <s v="Front Collision"/>
    <s v="Minor Damage"/>
    <s v="Police"/>
    <x v="2"/>
    <x v="1"/>
    <s v="1220 MLK Ave"/>
    <n v="16"/>
    <n v="1"/>
    <s v="NO"/>
    <n v="2"/>
    <n v="2"/>
    <s v="YES"/>
    <n v="100210"/>
    <n v="18220"/>
    <n v="18220"/>
    <n v="63770"/>
    <s v="Audi"/>
    <s v="A5"/>
    <n v="2014"/>
    <s v="N"/>
    <n v="80.681781585134132"/>
    <n v="-98968.960000000006"/>
    <n v="1.238426919200487E-2"/>
    <n v="1"/>
    <n v="254"/>
    <x v="0"/>
    <x v="0"/>
  </r>
  <r>
    <n v="115"/>
    <n v="30"/>
    <n v="903785"/>
    <d v="2000-08-24T00:00:00"/>
    <s v="OH"/>
    <s v="500/1000"/>
    <n v="500"/>
    <n v="1757.21"/>
    <n v="0"/>
    <n v="477695"/>
    <s v="MALE"/>
    <s v="High School"/>
    <s v="prof-specialty"/>
    <s v="base-jumping"/>
    <s v="wife"/>
    <n v="46400"/>
    <n v="0"/>
    <d v="2015-02-02T00:00:00"/>
    <s v="Multi-vehicle Collision"/>
    <s v="Front Collision"/>
    <s v="Minor Damage"/>
    <s v="Fire"/>
    <x v="2"/>
    <x v="5"/>
    <s v="1589 Pine St"/>
    <n v="12"/>
    <n v="3"/>
    <s v="NO"/>
    <n v="1"/>
    <n v="0"/>
    <s v="YES"/>
    <n v="49140"/>
    <n v="5460"/>
    <n v="5460"/>
    <n v="38220"/>
    <s v="Ford"/>
    <s v="F150"/>
    <n v="2007"/>
    <s v="N"/>
    <n v="27.948879826641868"/>
    <n v="-47382.79"/>
    <n v="3.5758531572414078E-2"/>
    <n v="8"/>
    <n v="115"/>
    <x v="0"/>
    <x v="0"/>
  </r>
  <r>
    <n v="236"/>
    <n v="38"/>
    <n v="873859"/>
    <d v="1992-10-14T00:00:00"/>
    <s v="OH"/>
    <s v="250/500"/>
    <n v="1000"/>
    <n v="802.24"/>
    <n v="0"/>
    <n v="612597"/>
    <s v="FEMALE"/>
    <s v="College"/>
    <s v="other-service"/>
    <s v="paintball"/>
    <s v="not-in-family"/>
    <n v="0"/>
    <n v="-62500"/>
    <d v="2015-02-23T00:00:00"/>
    <s v="Single Vehicle Collision"/>
    <s v="Side Collision"/>
    <s v="Major Damage"/>
    <s v="Ambulance"/>
    <x v="4"/>
    <x v="6"/>
    <s v="8906 Elm Lane"/>
    <n v="16"/>
    <n v="1"/>
    <s v="NO"/>
    <n v="0"/>
    <n v="1"/>
    <s v="?"/>
    <n v="66840"/>
    <n v="16710"/>
    <n v="5570"/>
    <n v="44560"/>
    <s v="Mercedes"/>
    <s v="E400"/>
    <n v="2014"/>
    <s v="N"/>
    <n v="83.212987401025842"/>
    <n v="-66037.759999999995"/>
    <n v="1.2002214209841265E-2"/>
    <n v="1"/>
    <n v="236"/>
    <x v="0"/>
    <x v="0"/>
  </r>
  <r>
    <n v="7"/>
    <n v="21"/>
    <n v="204294"/>
    <d v="1991-11-16T00:00:00"/>
    <s v="IN"/>
    <s v="500/1000"/>
    <n v="1000"/>
    <n v="1342.72"/>
    <n v="0"/>
    <n v="445638"/>
    <s v="MALE"/>
    <s v="Associate"/>
    <s v="machine-op-inspct"/>
    <s v="camping"/>
    <s v="wife"/>
    <n v="0"/>
    <n v="-45300"/>
    <d v="2015-02-10T00:00:00"/>
    <s v="Single Vehicle Collision"/>
    <s v="Front Collision"/>
    <s v="Total Loss"/>
    <s v="Other"/>
    <x v="2"/>
    <x v="4"/>
    <s v="2654 Elm Drive"/>
    <n v="21"/>
    <n v="1"/>
    <s v="?"/>
    <n v="1"/>
    <n v="2"/>
    <s v="?"/>
    <n v="62460"/>
    <n v="6940"/>
    <n v="6940"/>
    <n v="48580"/>
    <s v="Honda"/>
    <s v="Accord"/>
    <n v="2003"/>
    <s v="N"/>
    <n v="46.482898222844042"/>
    <n v="-61117.279999999999"/>
    <n v="2.1496934086870208E-2"/>
    <n v="12"/>
    <n v="7"/>
    <x v="0"/>
    <x v="0"/>
  </r>
  <r>
    <n v="208"/>
    <n v="36"/>
    <n v="467106"/>
    <d v="1995-10-08T00:00:00"/>
    <s v="OH"/>
    <s v="100/300"/>
    <n v="2000"/>
    <n v="1209.4100000000001"/>
    <n v="5000000"/>
    <n v="476185"/>
    <s v="MALE"/>
    <s v="JD"/>
    <s v="machine-op-inspct"/>
    <s v="base-jumping"/>
    <s v="wife"/>
    <n v="0"/>
    <n v="0"/>
    <d v="2015-02-16T00:00:00"/>
    <s v="Multi-vehicle Collision"/>
    <s v="Side Collision"/>
    <s v="Total Loss"/>
    <s v="Other"/>
    <x v="2"/>
    <x v="0"/>
    <s v="6681 Texas Ridge"/>
    <n v="15"/>
    <n v="3"/>
    <s v="YES"/>
    <n v="0"/>
    <n v="1"/>
    <s v="?"/>
    <n v="62810"/>
    <n v="11420"/>
    <n v="11420"/>
    <n v="39970"/>
    <s v="Nissan"/>
    <s v="Ultima"/>
    <n v="1999"/>
    <s v="N"/>
    <n v="51.891507836187735"/>
    <n v="-61600.59"/>
    <n v="1.9254748372100429E-2"/>
    <n v="16"/>
    <n v="208"/>
    <x v="0"/>
    <x v="0"/>
  </r>
  <r>
    <n v="126"/>
    <n v="33"/>
    <n v="357713"/>
    <d v="2007-10-28T00:00:00"/>
    <s v="OH"/>
    <s v="500/1000"/>
    <n v="1000"/>
    <n v="1141.71"/>
    <n v="2000000"/>
    <n v="435995"/>
    <s v="FEMALE"/>
    <s v="JD"/>
    <s v="priv-house-serv"/>
    <s v="sleeping"/>
    <s v="own-child"/>
    <n v="36700"/>
    <n v="-73400"/>
    <d v="2015-01-04T00:00:00"/>
    <s v="Single Vehicle Collision"/>
    <s v="Front Collision"/>
    <s v="Major Damage"/>
    <s v="Ambulance"/>
    <x v="4"/>
    <x v="6"/>
    <s v="7782 Rock St"/>
    <n v="21"/>
    <n v="1"/>
    <s v="YES"/>
    <n v="1"/>
    <n v="2"/>
    <s v="?"/>
    <n v="54160"/>
    <n v="6770"/>
    <n v="6770"/>
    <n v="40620"/>
    <s v="Suburu"/>
    <s v="Legacy"/>
    <n v="2009"/>
    <s v="N"/>
    <n v="47.396102248164446"/>
    <n v="-53018.29"/>
    <n v="2.1079928361736305E-2"/>
    <n v="6"/>
    <n v="126"/>
    <x v="0"/>
    <x v="0"/>
  </r>
  <r>
    <n v="48"/>
    <n v="35"/>
    <n v="890026"/>
    <d v="2008-05-16T00:00:00"/>
    <s v="IL"/>
    <s v="100/300"/>
    <n v="500"/>
    <n v="1090.03"/>
    <n v="0"/>
    <n v="430232"/>
    <s v="FEMALE"/>
    <s v="JD"/>
    <s v="exec-managerial"/>
    <s v="golf"/>
    <s v="unmarried"/>
    <n v="0"/>
    <n v="-51000"/>
    <d v="2015-01-30T00:00:00"/>
    <s v="Single Vehicle Collision"/>
    <s v="Rear Collision"/>
    <s v="Major Damage"/>
    <s v="Ambulance"/>
    <x v="4"/>
    <x v="2"/>
    <s v="9286 Oak Ave"/>
    <n v="1"/>
    <n v="1"/>
    <s v="YES"/>
    <n v="0"/>
    <n v="2"/>
    <s v="NO"/>
    <n v="48400"/>
    <n v="9680"/>
    <n v="4840"/>
    <n v="33880"/>
    <s v="Saab"/>
    <s v="92x"/>
    <n v="2005"/>
    <s v="N"/>
    <n v="44.361749906052083"/>
    <n v="-47309.97"/>
    <n v="2.252081568562633E-2"/>
    <n v="10"/>
    <n v="48"/>
    <x v="0"/>
    <x v="0"/>
  </r>
  <r>
    <n v="297"/>
    <n v="48"/>
    <n v="751612"/>
    <d v="2009-06-22T00:00:00"/>
    <s v="IN"/>
    <s v="250/500"/>
    <n v="1000"/>
    <n v="1464.73"/>
    <n v="3000000"/>
    <n v="443861"/>
    <s v="MALE"/>
    <s v="PhD"/>
    <s v="exec-managerial"/>
    <s v="golf"/>
    <s v="other-relative"/>
    <n v="54900"/>
    <n v="-36700"/>
    <d v="2015-01-25T00:00:00"/>
    <s v="Multi-vehicle Collision"/>
    <s v="Side Collision"/>
    <s v="Total Loss"/>
    <s v="Fire"/>
    <x v="2"/>
    <x v="2"/>
    <s v="8758 5th St"/>
    <n v="17"/>
    <n v="3"/>
    <s v="?"/>
    <n v="0"/>
    <n v="0"/>
    <s v="NO"/>
    <n v="51480"/>
    <n v="5720"/>
    <n v="5720"/>
    <n v="40040"/>
    <s v="Toyota"/>
    <s v="Highlander"/>
    <n v="2013"/>
    <s v="N"/>
    <n v="35.122430461271854"/>
    <n v="-50015.27"/>
    <n v="2.8451856024552746E-2"/>
    <n v="2"/>
    <n v="297"/>
    <x v="0"/>
    <x v="0"/>
  </r>
  <r>
    <n v="160"/>
    <n v="36"/>
    <n v="876680"/>
    <d v="2012-05-10T00:00:00"/>
    <s v="OH"/>
    <s v="100/300"/>
    <n v="1000"/>
    <n v="1118.58"/>
    <n v="0"/>
    <n v="460801"/>
    <s v="FEMALE"/>
    <s v="High School"/>
    <s v="prof-specialty"/>
    <s v="board-games"/>
    <s v="husband"/>
    <n v="0"/>
    <n v="-36600"/>
    <d v="2015-01-22T00:00:00"/>
    <s v="Multi-vehicle Collision"/>
    <s v="Rear Collision"/>
    <s v="Total Loss"/>
    <s v="Fire"/>
    <x v="2"/>
    <x v="0"/>
    <s v="7281 Maple Hwy"/>
    <n v="5"/>
    <n v="3"/>
    <s v="NO"/>
    <n v="2"/>
    <n v="1"/>
    <s v="NO"/>
    <n v="51700"/>
    <n v="5170"/>
    <n v="10340"/>
    <n v="36190"/>
    <s v="Saab"/>
    <n v="95"/>
    <n v="2003"/>
    <s v="N"/>
    <n v="46.178031047357045"/>
    <n v="-50581.42"/>
    <n v="2.1635558306415736E-2"/>
    <n v="12"/>
    <n v="160"/>
    <x v="0"/>
    <x v="0"/>
  </r>
  <r>
    <n v="406"/>
    <n v="58"/>
    <n v="756981"/>
    <d v="2003-10-02T00:00:00"/>
    <s v="OH"/>
    <s v="250/500"/>
    <n v="2000"/>
    <n v="1117.04"/>
    <n v="0"/>
    <n v="605121"/>
    <s v="MALE"/>
    <s v="MD"/>
    <s v="exec-managerial"/>
    <s v="video-games"/>
    <s v="own-child"/>
    <n v="0"/>
    <n v="-42700"/>
    <d v="2015-01-01T00:00:00"/>
    <s v="Multi-vehicle Collision"/>
    <s v="Front Collision"/>
    <s v="Total Loss"/>
    <s v="Other"/>
    <x v="4"/>
    <x v="5"/>
    <s v="7571 Elm Ridge"/>
    <n v="15"/>
    <n v="3"/>
    <s v="?"/>
    <n v="1"/>
    <n v="2"/>
    <s v="?"/>
    <n v="65520"/>
    <n v="10920"/>
    <n v="5460"/>
    <n v="49140"/>
    <s v="Volkswagen"/>
    <s v="Jetta"/>
    <n v="2009"/>
    <s v="N"/>
    <n v="58.602554470323071"/>
    <n v="-64402.96"/>
    <n v="1.7048579844629964E-2"/>
    <n v="6"/>
    <n v="406"/>
    <x v="0"/>
    <x v="0"/>
  </r>
  <r>
    <n v="157"/>
    <n v="31"/>
    <n v="121439"/>
    <d v="1990-08-02T00:00:00"/>
    <s v="IN"/>
    <s v="500/1000"/>
    <n v="500"/>
    <n v="1257.83"/>
    <n v="7000000"/>
    <n v="458622"/>
    <s v="MALE"/>
    <s v="High School"/>
    <s v="farming-fishing"/>
    <s v="reading"/>
    <s v="own-child"/>
    <n v="40700"/>
    <n v="-41600"/>
    <d v="2015-02-14T00:00:00"/>
    <s v="Multi-vehicle Collision"/>
    <s v="Rear Collision"/>
    <s v="Major Damage"/>
    <s v="Other"/>
    <x v="3"/>
    <x v="2"/>
    <s v="6738 Washington Hwy"/>
    <n v="2"/>
    <n v="4"/>
    <s v="NO"/>
    <n v="2"/>
    <n v="2"/>
    <s v="NO"/>
    <n v="47700"/>
    <n v="4770"/>
    <n v="9540"/>
    <n v="33390"/>
    <s v="Accura"/>
    <s v="TL"/>
    <n v="2011"/>
    <s v="Y"/>
    <n v="37.892328590834346"/>
    <n v="-46442.17"/>
    <n v="2.6369048866900065E-2"/>
    <n v="4"/>
    <n v="157"/>
    <x v="0"/>
    <x v="0"/>
  </r>
  <r>
    <n v="146"/>
    <n v="31"/>
    <n v="411289"/>
    <d v="1997-09-16T00:00:00"/>
    <s v="OH"/>
    <s v="250/500"/>
    <n v="2000"/>
    <n v="1082.72"/>
    <n v="0"/>
    <n v="478661"/>
    <s v="FEMALE"/>
    <s v="PhD"/>
    <s v="machine-op-inspct"/>
    <s v="video-games"/>
    <s v="not-in-family"/>
    <n v="61400"/>
    <n v="-57500"/>
    <d v="2015-01-15T00:00:00"/>
    <s v="Vehicle Theft"/>
    <s v="?"/>
    <s v="Minor Damage"/>
    <s v="None"/>
    <x v="0"/>
    <x v="5"/>
    <s v="4188 Britain Ave"/>
    <n v="3"/>
    <n v="1"/>
    <s v="YES"/>
    <n v="2"/>
    <n v="0"/>
    <s v="NO"/>
    <n v="5220"/>
    <n v="580"/>
    <n v="580"/>
    <n v="4060"/>
    <s v="Accura"/>
    <s v="MDX"/>
    <n v="2015"/>
    <s v="N"/>
    <n v="4.8167423319676672"/>
    <n v="-4137.28"/>
    <n v="0.2073778969546064"/>
    <n v="0"/>
    <n v="146"/>
    <x v="1"/>
    <x v="1"/>
  </r>
  <r>
    <n v="409"/>
    <n v="57"/>
    <n v="538466"/>
    <d v="1995-07-29T00:00:00"/>
    <s v="IN"/>
    <s v="100/300"/>
    <n v="1000"/>
    <n v="1191.8"/>
    <n v="6000000"/>
    <n v="435299"/>
    <s v="MALE"/>
    <s v="High School"/>
    <s v="protective-serv"/>
    <s v="exercise"/>
    <s v="unmarried"/>
    <n v="55600"/>
    <n v="0"/>
    <d v="2015-01-06T00:00:00"/>
    <s v="Single Vehicle Collision"/>
    <s v="Side Collision"/>
    <s v="Major Damage"/>
    <s v="Other"/>
    <x v="2"/>
    <x v="1"/>
    <s v="6934 Lincoln Ave"/>
    <n v="19"/>
    <n v="1"/>
    <s v="NO"/>
    <n v="1"/>
    <n v="0"/>
    <s v="?"/>
    <n v="73320"/>
    <n v="6110"/>
    <n v="12220"/>
    <n v="54990"/>
    <s v="Ford"/>
    <s v="Fusion"/>
    <n v="2012"/>
    <s v="N"/>
    <n v="61.468812877263581"/>
    <n v="-72128.2"/>
    <n v="1.6254551901910774E-2"/>
    <n v="3"/>
    <n v="409"/>
    <x v="0"/>
    <x v="0"/>
  </r>
  <r>
    <n v="252"/>
    <n v="46"/>
    <n v="932097"/>
    <d v="2005-09-06T00:00:00"/>
    <s v="IN"/>
    <s v="100/300"/>
    <n v="1000"/>
    <n v="1242.02"/>
    <n v="0"/>
    <n v="601961"/>
    <s v="MALE"/>
    <s v="Masters"/>
    <s v="adm-clerical"/>
    <s v="dancing"/>
    <s v="wife"/>
    <n v="0"/>
    <n v="-28800"/>
    <d v="2015-02-08T00:00:00"/>
    <s v="Single Vehicle Collision"/>
    <s v="Front Collision"/>
    <s v="Minor Damage"/>
    <s v="Fire"/>
    <x v="1"/>
    <x v="4"/>
    <s v="6390 Apache St"/>
    <n v="17"/>
    <n v="1"/>
    <s v="YES"/>
    <n v="0"/>
    <n v="2"/>
    <s v="YES"/>
    <n v="74900"/>
    <n v="14980"/>
    <n v="7490"/>
    <n v="52430"/>
    <s v="Jeep"/>
    <s v="Grand Cherokee"/>
    <n v="2003"/>
    <s v="N"/>
    <n v="60.256472140432173"/>
    <n v="-73657.98"/>
    <n v="1.6582155111413734E-2"/>
    <n v="12"/>
    <n v="252"/>
    <x v="0"/>
    <x v="0"/>
  </r>
  <r>
    <n v="6"/>
    <n v="27"/>
    <n v="463727"/>
    <d v="1992-08-05T00:00:00"/>
    <s v="OH"/>
    <s v="250/500"/>
    <n v="500"/>
    <n v="1075.71"/>
    <n v="0"/>
    <n v="604328"/>
    <s v="FEMALE"/>
    <s v="High School"/>
    <s v="prof-specialty"/>
    <s v="dancing"/>
    <s v="unmarried"/>
    <n v="0"/>
    <n v="-47400"/>
    <d v="2015-02-17T00:00:00"/>
    <s v="Vehicle Theft"/>
    <s v="?"/>
    <s v="Trivial Damage"/>
    <s v="Police"/>
    <x v="4"/>
    <x v="0"/>
    <s v="7615 Weaver Drive"/>
    <n v="7"/>
    <n v="1"/>
    <s v="?"/>
    <n v="0"/>
    <n v="1"/>
    <s v="YES"/>
    <n v="3190"/>
    <n v="580"/>
    <n v="290"/>
    <n v="2320"/>
    <s v="Saab"/>
    <n v="95"/>
    <n v="2015"/>
    <s v="N"/>
    <n v="2.9627290542485905"/>
    <n v="-2114.29"/>
    <n v="0.33710748981510502"/>
    <n v="0"/>
    <n v="6"/>
    <x v="1"/>
    <x v="1"/>
  </r>
  <r>
    <n v="103"/>
    <n v="33"/>
    <n v="552618"/>
    <d v="1993-01-22T00:00:00"/>
    <s v="IN"/>
    <s v="100/300"/>
    <n v="1000"/>
    <n v="969.88"/>
    <n v="6000000"/>
    <n v="614385"/>
    <s v="MALE"/>
    <s v="MD"/>
    <s v="armed-forces"/>
    <s v="exercise"/>
    <s v="own-child"/>
    <n v="0"/>
    <n v="0"/>
    <d v="2015-01-21T00:00:00"/>
    <s v="Single Vehicle Collision"/>
    <s v="Rear Collision"/>
    <s v="Minor Damage"/>
    <s v="Ambulance"/>
    <x v="2"/>
    <x v="0"/>
    <s v="6409 Cherokee Drive"/>
    <n v="21"/>
    <n v="1"/>
    <s v="NO"/>
    <n v="1"/>
    <n v="0"/>
    <s v="YES"/>
    <n v="76920"/>
    <n v="12820"/>
    <n v="6410"/>
    <n v="57690"/>
    <s v="Chevrolet"/>
    <s v="Malibu"/>
    <n v="2002"/>
    <s v="N"/>
    <n v="79.22709294660514"/>
    <n v="-75950.12"/>
    <n v="1.2608780437071801E-2"/>
    <n v="13"/>
    <n v="103"/>
    <x v="0"/>
    <x v="0"/>
  </r>
  <r>
    <n v="369"/>
    <n v="53"/>
    <n v="936638"/>
    <d v="1995-05-20T00:00:00"/>
    <s v="OH"/>
    <s v="250/500"/>
    <n v="2000"/>
    <n v="1459.93"/>
    <n v="0"/>
    <n v="438584"/>
    <s v="FEMALE"/>
    <s v="Masters"/>
    <s v="priv-house-serv"/>
    <s v="video-games"/>
    <s v="not-in-family"/>
    <n v="0"/>
    <n v="0"/>
    <d v="2015-02-09T00:00:00"/>
    <s v="Multi-vehicle Collision"/>
    <s v="Front Collision"/>
    <s v="Total Loss"/>
    <s v="Police"/>
    <x v="4"/>
    <x v="3"/>
    <s v="1123 5th Lane"/>
    <n v="10"/>
    <n v="2"/>
    <s v="YES"/>
    <n v="1"/>
    <n v="3"/>
    <s v="NO"/>
    <n v="77990"/>
    <n v="7090"/>
    <n v="14180"/>
    <n v="56720"/>
    <s v="Jeep"/>
    <s v="Wrangler"/>
    <n v="2012"/>
    <s v="N"/>
    <n v="53.383803467654161"/>
    <n v="-76530.070000000007"/>
    <n v="1.8719211191034864E-2"/>
    <n v="3"/>
    <n v="369"/>
    <x v="0"/>
    <x v="0"/>
  </r>
  <r>
    <n v="261"/>
    <n v="46"/>
    <n v="348814"/>
    <d v="1992-09-24T00:00:00"/>
    <s v="IL"/>
    <s v="500/1000"/>
    <n v="1000"/>
    <n v="1245.6099999999999"/>
    <n v="0"/>
    <n v="478703"/>
    <s v="MALE"/>
    <s v="MD"/>
    <s v="transport-moving"/>
    <s v="base-jumping"/>
    <s v="own-child"/>
    <n v="0"/>
    <n v="0"/>
    <d v="2015-02-12T00:00:00"/>
    <s v="Single Vehicle Collision"/>
    <s v="Front Collision"/>
    <s v="Total Loss"/>
    <s v="Fire"/>
    <x v="2"/>
    <x v="0"/>
    <s v="5168 5th Ave"/>
    <n v="11"/>
    <n v="1"/>
    <s v="YES"/>
    <n v="1"/>
    <n v="0"/>
    <s v="?"/>
    <n v="59670"/>
    <n v="9180"/>
    <n v="9180"/>
    <n v="41310"/>
    <s v="Ford"/>
    <s v="Escape"/>
    <n v="2008"/>
    <s v="N"/>
    <n v="47.865812082367384"/>
    <n v="-58424.39"/>
    <n v="2.0874629216872515E-2"/>
    <n v="7"/>
    <n v="261"/>
    <x v="0"/>
    <x v="0"/>
  </r>
  <r>
    <n v="159"/>
    <n v="33"/>
    <n v="944102"/>
    <d v="2007-07-20T00:00:00"/>
    <s v="IN"/>
    <s v="100/300"/>
    <n v="2000"/>
    <n v="1462.76"/>
    <n v="0"/>
    <n v="615683"/>
    <s v="FEMALE"/>
    <s v="College"/>
    <s v="craft-repair"/>
    <s v="skydiving"/>
    <s v="husband"/>
    <n v="69200"/>
    <n v="-36900"/>
    <d v="2015-02-24T00:00:00"/>
    <s v="Multi-vehicle Collision"/>
    <s v="Rear Collision"/>
    <s v="Major Damage"/>
    <s v="Ambulance"/>
    <x v="2"/>
    <x v="0"/>
    <s v="3697 Apache Drive"/>
    <n v="23"/>
    <n v="3"/>
    <s v="YES"/>
    <n v="2"/>
    <n v="0"/>
    <s v="NO"/>
    <n v="44880"/>
    <n v="8160"/>
    <n v="4080"/>
    <n v="32640"/>
    <s v="Mercedes"/>
    <s v="C300"/>
    <n v="2004"/>
    <s v="Y"/>
    <n v="30.660764059681917"/>
    <n v="-43417.24"/>
    <n v="3.2591965419665338E-2"/>
    <n v="11"/>
    <n v="159"/>
    <x v="0"/>
    <x v="0"/>
  </r>
  <r>
    <n v="344"/>
    <n v="51"/>
    <n v="689901"/>
    <d v="1992-04-28T00:00:00"/>
    <s v="IN"/>
    <s v="100/300"/>
    <n v="2000"/>
    <n v="1398.46"/>
    <n v="0"/>
    <n v="455672"/>
    <s v="MALE"/>
    <s v="Associate"/>
    <s v="sales"/>
    <s v="skydiving"/>
    <s v="other-relative"/>
    <n v="0"/>
    <n v="0"/>
    <d v="2015-02-02T00:00:00"/>
    <s v="Single Vehicle Collision"/>
    <s v="Side Collision"/>
    <s v="Minor Damage"/>
    <s v="Ambulance"/>
    <x v="5"/>
    <x v="5"/>
    <s v="1910 Sky Ave"/>
    <n v="14"/>
    <n v="1"/>
    <s v="?"/>
    <n v="0"/>
    <n v="2"/>
    <s v="NO"/>
    <n v="82830"/>
    <n v="7530"/>
    <n v="15060"/>
    <n v="60240"/>
    <s v="Audi"/>
    <s v="A5"/>
    <n v="2004"/>
    <s v="N"/>
    <n v="59.187115030083028"/>
    <n v="-81431.539999999994"/>
    <n v="1.6883292487112313E-2"/>
    <n v="11"/>
    <n v="344"/>
    <x v="0"/>
    <x v="0"/>
  </r>
  <r>
    <n v="437"/>
    <n v="60"/>
    <n v="901083"/>
    <d v="1998-01-19T00:00:00"/>
    <s v="OH"/>
    <s v="500/1000"/>
    <n v="1000"/>
    <n v="1269.6400000000001"/>
    <n v="0"/>
    <n v="602942"/>
    <s v="FEMALE"/>
    <s v="College"/>
    <s v="armed-forces"/>
    <s v="cross-fit"/>
    <s v="unmarried"/>
    <n v="48800"/>
    <n v="0"/>
    <d v="2015-02-14T00:00:00"/>
    <s v="Single Vehicle Collision"/>
    <s v="Front Collision"/>
    <s v="Minor Damage"/>
    <s v="Other"/>
    <x v="0"/>
    <x v="1"/>
    <s v="8954 Apache Lane"/>
    <n v="10"/>
    <n v="1"/>
    <s v="NO"/>
    <n v="1"/>
    <n v="3"/>
    <s v="NO"/>
    <n v="84480"/>
    <n v="7680"/>
    <n v="15360"/>
    <n v="61440"/>
    <s v="Chevrolet"/>
    <s v="Silverado"/>
    <n v="2012"/>
    <s v="Y"/>
    <n v="66.486180192658807"/>
    <n v="-83210.36"/>
    <n v="1.5028704679158629E-2"/>
    <n v="3"/>
    <n v="437"/>
    <x v="0"/>
    <x v="0"/>
  </r>
  <r>
    <n v="65"/>
    <n v="30"/>
    <n v="396224"/>
    <d v="2009-09-08T00:00:00"/>
    <s v="IN"/>
    <s v="100/300"/>
    <n v="500"/>
    <n v="1455.65"/>
    <n v="4000000"/>
    <n v="616706"/>
    <s v="FEMALE"/>
    <s v="College"/>
    <s v="transport-moving"/>
    <s v="skydiving"/>
    <s v="wife"/>
    <n v="0"/>
    <n v="-66300"/>
    <d v="2015-02-15T00:00:00"/>
    <s v="Multi-vehicle Collision"/>
    <s v="Side Collision"/>
    <s v="Total Loss"/>
    <s v="Fire"/>
    <x v="4"/>
    <x v="4"/>
    <s v="3110 Lincoln Lane"/>
    <n v="6"/>
    <n v="3"/>
    <s v="?"/>
    <n v="2"/>
    <n v="3"/>
    <s v="NO"/>
    <n v="79800"/>
    <n v="15960"/>
    <n v="7980"/>
    <n v="55860"/>
    <s v="Honda"/>
    <s v="Civic"/>
    <n v="1999"/>
    <s v="N"/>
    <n v="54.78323550612707"/>
    <n v="-78344.350000000006"/>
    <n v="1.8240999486221977E-2"/>
    <n v="16"/>
    <n v="65"/>
    <x v="0"/>
    <x v="0"/>
  </r>
  <r>
    <n v="280"/>
    <n v="41"/>
    <n v="682178"/>
    <d v="1994-12-18T00:00:00"/>
    <s v="OH"/>
    <s v="500/1000"/>
    <n v="2000"/>
    <n v="1140.31"/>
    <n v="0"/>
    <n v="473243"/>
    <s v="MALE"/>
    <s v="MD"/>
    <s v="adm-clerical"/>
    <s v="exercise"/>
    <s v="husband"/>
    <n v="29300"/>
    <n v="-64700"/>
    <d v="2015-02-28T00:00:00"/>
    <s v="Multi-vehicle Collision"/>
    <s v="Rear Collision"/>
    <s v="Minor Damage"/>
    <s v="Police"/>
    <x v="4"/>
    <x v="2"/>
    <s v="6035 Rock Ave"/>
    <n v="10"/>
    <n v="3"/>
    <s v="?"/>
    <n v="0"/>
    <n v="3"/>
    <s v="YES"/>
    <n v="53020"/>
    <n v="9640"/>
    <n v="9640"/>
    <n v="33740"/>
    <s v="Toyota"/>
    <s v="Corolla"/>
    <n v="1999"/>
    <s v="N"/>
    <n v="46.455388982835515"/>
    <n v="-51879.69"/>
    <n v="2.1506761471869636E-2"/>
    <n v="16"/>
    <n v="280"/>
    <x v="0"/>
    <x v="0"/>
  </r>
  <r>
    <n v="269"/>
    <n v="45"/>
    <n v="596298"/>
    <d v="1996-08-23T00:00:00"/>
    <s v="IN"/>
    <s v="500/1000"/>
    <n v="500"/>
    <n v="1330.46"/>
    <n v="0"/>
    <n v="435552"/>
    <s v="FEMALE"/>
    <s v="High School"/>
    <s v="machine-op-inspct"/>
    <s v="sleeping"/>
    <s v="wife"/>
    <n v="54800"/>
    <n v="-64100"/>
    <d v="2015-01-18T00:00:00"/>
    <s v="Multi-vehicle Collision"/>
    <s v="Side Collision"/>
    <s v="Total Loss"/>
    <s v="Police"/>
    <x v="1"/>
    <x v="4"/>
    <s v="2220 1st Lane"/>
    <n v="5"/>
    <n v="3"/>
    <s v="?"/>
    <n v="0"/>
    <n v="0"/>
    <s v="NO"/>
    <n v="24200"/>
    <n v="2200"/>
    <n v="4400"/>
    <n v="17600"/>
    <s v="Suburu"/>
    <s v="Forrestor"/>
    <n v="2008"/>
    <s v="N"/>
    <n v="18.175536628963695"/>
    <n v="-22869.54"/>
    <n v="5.4975414239081033E-2"/>
    <n v="7"/>
    <n v="269"/>
    <x v="2"/>
    <x v="0"/>
  </r>
  <r>
    <n v="275"/>
    <n v="40"/>
    <n v="253005"/>
    <d v="1991-11-20T00:00:00"/>
    <s v="OH"/>
    <s v="250/500"/>
    <n v="2000"/>
    <n v="1190.5999999999999"/>
    <n v="0"/>
    <n v="434206"/>
    <s v="MALE"/>
    <s v="Masters"/>
    <s v="exec-managerial"/>
    <s v="camping"/>
    <s v="unmarried"/>
    <n v="0"/>
    <n v="-45300"/>
    <d v="2015-01-06T00:00:00"/>
    <s v="Single Vehicle Collision"/>
    <s v="Rear Collision"/>
    <s v="Minor Damage"/>
    <s v="Fire"/>
    <x v="3"/>
    <x v="1"/>
    <s v="4972 Francis Lane"/>
    <n v="17"/>
    <n v="1"/>
    <s v="?"/>
    <n v="1"/>
    <n v="3"/>
    <s v="YES"/>
    <n v="43230"/>
    <n v="7860"/>
    <n v="7860"/>
    <n v="27510"/>
    <s v="Chevrolet"/>
    <s v="Silverado"/>
    <n v="2001"/>
    <s v="N"/>
    <n v="36.278952668680766"/>
    <n v="-42039.4"/>
    <n v="2.7540422382086927E-2"/>
    <n v="14"/>
    <n v="275"/>
    <x v="0"/>
    <x v="0"/>
  </r>
  <r>
    <n v="265"/>
    <n v="45"/>
    <n v="985924"/>
    <d v="1998-10-28T00:00:00"/>
    <s v="OH"/>
    <s v="250/500"/>
    <n v="500"/>
    <n v="972.5"/>
    <n v="0"/>
    <n v="469895"/>
    <s v="FEMALE"/>
    <s v="College"/>
    <s v="exec-managerial"/>
    <s v="cross-fit"/>
    <s v="unmarried"/>
    <n v="0"/>
    <n v="0"/>
    <d v="2015-01-19T00:00:00"/>
    <s v="Vehicle Theft"/>
    <s v="?"/>
    <s v="Trivial Damage"/>
    <s v="None"/>
    <x v="5"/>
    <x v="3"/>
    <s v="6957 Weaver Drive"/>
    <n v="3"/>
    <n v="1"/>
    <s v="NO"/>
    <n v="2"/>
    <n v="3"/>
    <s v="NO"/>
    <n v="3190"/>
    <n v="290"/>
    <n v="580"/>
    <n v="2320"/>
    <s v="Ford"/>
    <s v="Escape"/>
    <n v="1995"/>
    <s v="N"/>
    <n v="3.2768361581920904"/>
    <n v="-2217.5"/>
    <n v="0.30476339705421496"/>
    <n v="20"/>
    <n v="265"/>
    <x v="1"/>
    <x v="1"/>
  </r>
  <r>
    <n v="283"/>
    <n v="43"/>
    <n v="631565"/>
    <d v="1997-07-14T00:00:00"/>
    <s v="IN"/>
    <s v="100/300"/>
    <n v="2000"/>
    <n v="1161.9100000000001"/>
    <n v="0"/>
    <n v="457722"/>
    <s v="FEMALE"/>
    <s v="Associate"/>
    <s v="adm-clerical"/>
    <s v="polo"/>
    <s v="not-in-family"/>
    <n v="0"/>
    <n v="-50400"/>
    <d v="2015-01-17T00:00:00"/>
    <s v="Parked Car"/>
    <s v="?"/>
    <s v="Minor Damage"/>
    <s v="None"/>
    <x v="4"/>
    <x v="6"/>
    <s v="1512 Rock Lane"/>
    <n v="9"/>
    <n v="1"/>
    <s v="?"/>
    <n v="0"/>
    <n v="3"/>
    <s v="NO"/>
    <n v="5850"/>
    <n v="1300"/>
    <n v="650"/>
    <n v="3900"/>
    <s v="BMW"/>
    <s v="M5"/>
    <n v="2006"/>
    <s v="N"/>
    <n v="5.0304838723546963"/>
    <n v="-4688.09"/>
    <n v="0.19858314817979833"/>
    <n v="9"/>
    <n v="283"/>
    <x v="2"/>
    <x v="1"/>
  </r>
  <r>
    <n v="84"/>
    <n v="29"/>
    <n v="630998"/>
    <d v="2003-04-09T00:00:00"/>
    <s v="OH"/>
    <s v="250/500"/>
    <n v="1000"/>
    <n v="1117.17"/>
    <n v="0"/>
    <n v="473645"/>
    <s v="FEMALE"/>
    <s v="High School"/>
    <s v="machine-op-inspct"/>
    <s v="video-games"/>
    <s v="not-in-family"/>
    <n v="0"/>
    <n v="-29900"/>
    <d v="2015-02-12T00:00:00"/>
    <s v="Parked Car"/>
    <s v="?"/>
    <s v="Trivial Damage"/>
    <s v="Police"/>
    <x v="0"/>
    <x v="2"/>
    <s v="3693 Pine Ave"/>
    <n v="6"/>
    <n v="1"/>
    <s v="YES"/>
    <n v="2"/>
    <n v="0"/>
    <s v="YES"/>
    <n v="6820"/>
    <n v="620"/>
    <n v="1240"/>
    <n v="4960"/>
    <s v="BMW"/>
    <s v="3 Series"/>
    <n v="2005"/>
    <s v="N"/>
    <n v="6.0992514555031878"/>
    <n v="-5702.83"/>
    <n v="0.16378390265356987"/>
    <n v="10"/>
    <n v="84"/>
    <x v="2"/>
    <x v="0"/>
  </r>
  <r>
    <n v="247"/>
    <n v="44"/>
    <n v="926665"/>
    <d v="1992-02-04T00:00:00"/>
    <s v="OH"/>
    <s v="250/500"/>
    <n v="2000"/>
    <n v="1101.51"/>
    <n v="0"/>
    <n v="619108"/>
    <s v="FEMALE"/>
    <s v="College"/>
    <s v="farming-fishing"/>
    <s v="camping"/>
    <s v="not-in-family"/>
    <n v="64000"/>
    <n v="0"/>
    <d v="2015-02-11T00:00:00"/>
    <s v="Multi-vehicle Collision"/>
    <s v="Front Collision"/>
    <s v="Minor Damage"/>
    <s v="Fire"/>
    <x v="2"/>
    <x v="1"/>
    <s v="9879 Apache Drive"/>
    <n v="22"/>
    <n v="3"/>
    <s v="NO"/>
    <n v="2"/>
    <n v="2"/>
    <s v="NO"/>
    <n v="69480"/>
    <n v="11580"/>
    <n v="11580"/>
    <n v="46320"/>
    <s v="Chevrolet"/>
    <s v="Tahoe"/>
    <n v="2008"/>
    <s v="N"/>
    <n v="63.019836554770478"/>
    <n v="-68378.490000000005"/>
    <n v="1.5853398770887005E-2"/>
    <n v="7"/>
    <n v="247"/>
    <x v="0"/>
    <x v="0"/>
  </r>
  <r>
    <n v="56"/>
    <n v="29"/>
    <n v="302669"/>
    <d v="2006-06-29T00:00:00"/>
    <s v="IL"/>
    <s v="100/300"/>
    <n v="1000"/>
    <n v="1523.17"/>
    <n v="0"/>
    <n v="610479"/>
    <s v="MALE"/>
    <s v="Masters"/>
    <s v="prof-specialty"/>
    <s v="movies"/>
    <s v="own-child"/>
    <n v="0"/>
    <n v="0"/>
    <d v="2015-02-21T00:00:00"/>
    <s v="Multi-vehicle Collision"/>
    <s v="Front Collision"/>
    <s v="Major Damage"/>
    <s v="Fire"/>
    <x v="6"/>
    <x v="5"/>
    <s v="2494 Andromedia Drive"/>
    <n v="10"/>
    <n v="3"/>
    <s v="?"/>
    <n v="1"/>
    <n v="2"/>
    <s v="YES"/>
    <n v="94560"/>
    <n v="7880"/>
    <n v="15760"/>
    <n v="70920"/>
    <s v="Jeep"/>
    <s v="Grand Cherokee"/>
    <n v="1995"/>
    <s v="N"/>
    <n v="62.040323585951697"/>
    <n v="-93036.83"/>
    <n v="1.6107803428474742E-2"/>
    <n v="20"/>
    <n v="56"/>
    <x v="0"/>
    <x v="0"/>
  </r>
  <r>
    <n v="210"/>
    <n v="39"/>
    <n v="620020"/>
    <d v="1997-06-21T00:00:00"/>
    <s v="OH"/>
    <s v="500/1000"/>
    <n v="1000"/>
    <n v="984.45"/>
    <n v="0"/>
    <n v="474998"/>
    <s v="MALE"/>
    <s v="Associate"/>
    <s v="armed-forces"/>
    <s v="paintball"/>
    <s v="unmarried"/>
    <n v="0"/>
    <n v="0"/>
    <d v="2015-01-02T00:00:00"/>
    <s v="Vehicle Theft"/>
    <s v="?"/>
    <s v="Minor Damage"/>
    <s v="None"/>
    <x v="5"/>
    <x v="1"/>
    <s v="4615 Embaracadero Ave"/>
    <n v="4"/>
    <n v="1"/>
    <s v="YES"/>
    <n v="1"/>
    <n v="2"/>
    <s v="?"/>
    <n v="7800"/>
    <n v="780"/>
    <n v="780"/>
    <n v="6240"/>
    <s v="Dodge"/>
    <s v="RAM"/>
    <n v="1997"/>
    <s v="N"/>
    <n v="7.9151656603582117"/>
    <n v="-6815.55"/>
    <n v="0.12619535956928599"/>
    <n v="18"/>
    <n v="210"/>
    <x v="2"/>
    <x v="0"/>
  </r>
  <r>
    <n v="108"/>
    <n v="32"/>
    <n v="439828"/>
    <d v="2006-09-07T00:00:00"/>
    <s v="OH"/>
    <s v="500/1000"/>
    <n v="2000"/>
    <n v="1257"/>
    <n v="4000000"/>
    <n v="616341"/>
    <s v="FEMALE"/>
    <s v="High School"/>
    <s v="machine-op-inspct"/>
    <s v="basketball"/>
    <s v="unmarried"/>
    <n v="63900"/>
    <n v="-43700"/>
    <d v="2015-01-11T00:00:00"/>
    <s v="Single Vehicle Collision"/>
    <s v="Front Collision"/>
    <s v="Total Loss"/>
    <s v="Other"/>
    <x v="4"/>
    <x v="6"/>
    <s v="1929 Britain Drive"/>
    <n v="23"/>
    <n v="1"/>
    <s v="NO"/>
    <n v="1"/>
    <n v="3"/>
    <s v="NO"/>
    <n v="61270"/>
    <n v="5570"/>
    <n v="11140"/>
    <n v="44560"/>
    <s v="Suburu"/>
    <s v="Legacy"/>
    <n v="1999"/>
    <s v="N"/>
    <n v="48.704292527821941"/>
    <n v="-60013"/>
    <n v="2.0515415122978244E-2"/>
    <n v="16"/>
    <n v="108"/>
    <x v="0"/>
    <x v="0"/>
  </r>
  <r>
    <n v="328"/>
    <n v="49"/>
    <n v="971295"/>
    <d v="2001-10-01T00:00:00"/>
    <s v="OH"/>
    <s v="500/1000"/>
    <n v="500"/>
    <n v="1434.51"/>
    <n v="0"/>
    <n v="460535"/>
    <s v="FEMALE"/>
    <s v="Masters"/>
    <s v="transport-moving"/>
    <s v="bungie-jumping"/>
    <s v="wife"/>
    <n v="0"/>
    <n v="0"/>
    <d v="2015-02-23T00:00:00"/>
    <s v="Single Vehicle Collision"/>
    <s v="Rear Collision"/>
    <s v="Total Loss"/>
    <s v="Police"/>
    <x v="2"/>
    <x v="1"/>
    <s v="5051 Elm St"/>
    <n v="19"/>
    <n v="1"/>
    <s v="?"/>
    <n v="0"/>
    <n v="2"/>
    <s v="YES"/>
    <n v="71440"/>
    <n v="8930"/>
    <n v="8930"/>
    <n v="53580"/>
    <s v="Mercedes"/>
    <s v="ML350"/>
    <n v="2005"/>
    <s v="N"/>
    <n v="49.766285153011822"/>
    <n v="-70005.490000000005"/>
    <n v="2.0079646141571365E-2"/>
    <n v="10"/>
    <n v="328"/>
    <x v="0"/>
    <x v="0"/>
  </r>
  <r>
    <n v="186"/>
    <n v="37"/>
    <n v="165565"/>
    <d v="2009-02-20T00:00:00"/>
    <s v="OH"/>
    <s v="250/500"/>
    <n v="2000"/>
    <n v="1628"/>
    <n v="0"/>
    <n v="606487"/>
    <s v="FEMALE"/>
    <s v="JD"/>
    <s v="priv-house-serv"/>
    <s v="exercise"/>
    <s v="unmarried"/>
    <n v="0"/>
    <n v="0"/>
    <d v="2015-01-28T00:00:00"/>
    <s v="Single Vehicle Collision"/>
    <s v="Rear Collision"/>
    <s v="Total Loss"/>
    <s v="Ambulance"/>
    <x v="2"/>
    <x v="4"/>
    <s v="9910 Maple Ave"/>
    <n v="22"/>
    <n v="1"/>
    <s v="YES"/>
    <n v="1"/>
    <n v="2"/>
    <s v="YES"/>
    <n v="55600"/>
    <n v="11120"/>
    <n v="5560"/>
    <n v="38920"/>
    <s v="Jeep"/>
    <s v="Grand Cherokee"/>
    <n v="2009"/>
    <s v="N"/>
    <n v="34.131368937998772"/>
    <n v="-53972"/>
    <n v="2.9280048919983453E-2"/>
    <n v="6"/>
    <n v="186"/>
    <x v="0"/>
    <x v="0"/>
  </r>
  <r>
    <n v="277"/>
    <n v="44"/>
    <n v="936543"/>
    <d v="2001-06-26T00:00:00"/>
    <s v="IN"/>
    <s v="500/1000"/>
    <n v="500"/>
    <n v="1412.31"/>
    <n v="0"/>
    <n v="620737"/>
    <s v="MALE"/>
    <s v="High School"/>
    <s v="priv-house-serv"/>
    <s v="board-games"/>
    <s v="unmarried"/>
    <n v="0"/>
    <n v="0"/>
    <d v="2015-02-01T00:00:00"/>
    <s v="Vehicle Theft"/>
    <s v="?"/>
    <s v="Trivial Damage"/>
    <s v="Police"/>
    <x v="5"/>
    <x v="1"/>
    <s v="5602 Britain St"/>
    <n v="6"/>
    <n v="1"/>
    <s v="NO"/>
    <n v="1"/>
    <n v="3"/>
    <s v="NO"/>
    <n v="5000"/>
    <n v="1000"/>
    <n v="500"/>
    <n v="3500"/>
    <s v="Jeep"/>
    <s v="Wrangler"/>
    <n v="2005"/>
    <s v="N"/>
    <n v="3.537794256037246"/>
    <n v="-3587.69"/>
    <n v="0.28240551889622073"/>
    <n v="10"/>
    <n v="277"/>
    <x v="1"/>
    <x v="1"/>
  </r>
  <r>
    <n v="138"/>
    <n v="33"/>
    <n v="296960"/>
    <d v="1997-01-18T00:00:00"/>
    <s v="IL"/>
    <s v="250/500"/>
    <n v="500"/>
    <n v="1362.87"/>
    <n v="5000000"/>
    <n v="445904"/>
    <s v="FEMALE"/>
    <s v="JD"/>
    <s v="exec-managerial"/>
    <s v="paintball"/>
    <s v="own-child"/>
    <n v="56900"/>
    <n v="-56900"/>
    <d v="2015-02-24T00:00:00"/>
    <s v="Single Vehicle Collision"/>
    <s v="Side Collision"/>
    <s v="Minor Damage"/>
    <s v="Other"/>
    <x v="2"/>
    <x v="3"/>
    <s v="6889 Cherokee St"/>
    <n v="6"/>
    <n v="1"/>
    <s v="NO"/>
    <n v="2"/>
    <n v="0"/>
    <s v="?"/>
    <n v="95810"/>
    <n v="14740"/>
    <n v="14740"/>
    <n v="66330"/>
    <s v="BMW"/>
    <s v="X5"/>
    <n v="2007"/>
    <s v="N"/>
    <n v="70.248630734600809"/>
    <n v="-94447.13"/>
    <n v="1.422456711651063E-2"/>
    <n v="8"/>
    <n v="138"/>
    <x v="0"/>
    <x v="0"/>
  </r>
  <r>
    <n v="208"/>
    <n v="41"/>
    <n v="501692"/>
    <d v="2014-06-24T00:00:00"/>
    <s v="IN"/>
    <s v="100/300"/>
    <n v="1000"/>
    <n v="1134.68"/>
    <n v="0"/>
    <n v="464145"/>
    <s v="FEMALE"/>
    <s v="College"/>
    <s v="tech-support"/>
    <s v="chess"/>
    <s v="husband"/>
    <n v="0"/>
    <n v="0"/>
    <d v="2015-01-20T00:00:00"/>
    <s v="Single Vehicle Collision"/>
    <s v="Rear Collision"/>
    <s v="Major Damage"/>
    <s v="Ambulance"/>
    <x v="0"/>
    <x v="5"/>
    <s v="3926 Rock Lane"/>
    <n v="18"/>
    <n v="1"/>
    <s v="NO"/>
    <n v="2"/>
    <n v="2"/>
    <s v="?"/>
    <n v="69300"/>
    <n v="6930"/>
    <n v="13860"/>
    <n v="48510"/>
    <s v="Volkswagen"/>
    <s v="Jetta"/>
    <n v="1996"/>
    <s v="N"/>
    <n v="61.020710059171591"/>
    <n v="-68165.320000000007"/>
    <n v="1.6373212507756023E-2"/>
    <n v="19"/>
    <n v="208"/>
    <x v="0"/>
    <x v="0"/>
  </r>
  <r>
    <n v="147"/>
    <n v="37"/>
    <n v="525224"/>
    <d v="1992-10-02T00:00:00"/>
    <s v="IN"/>
    <s v="250/500"/>
    <n v="1000"/>
    <n v="1306.78"/>
    <n v="0"/>
    <n v="466818"/>
    <s v="MALE"/>
    <s v="MD"/>
    <s v="prof-specialty"/>
    <s v="video-games"/>
    <s v="other-relative"/>
    <n v="0"/>
    <n v="0"/>
    <d v="2015-01-14T00:00:00"/>
    <s v="Single Vehicle Collision"/>
    <s v="Front Collision"/>
    <s v="Total Loss"/>
    <s v="Ambulance"/>
    <x v="0"/>
    <x v="5"/>
    <s v="6717 Best Drive"/>
    <n v="22"/>
    <n v="1"/>
    <s v="?"/>
    <n v="1"/>
    <n v="0"/>
    <s v="NO"/>
    <n v="81120"/>
    <n v="13520"/>
    <n v="20280"/>
    <n v="47320"/>
    <s v="Toyota"/>
    <s v="Camry"/>
    <n v="1995"/>
    <s v="N"/>
    <n v="62.028781599351575"/>
    <n v="-79813.22"/>
    <n v="1.6109022324675485E-2"/>
    <n v="20"/>
    <n v="147"/>
    <x v="0"/>
    <x v="0"/>
  </r>
  <r>
    <n v="8"/>
    <n v="21"/>
    <n v="355085"/>
    <d v="2012-10-09T00:00:00"/>
    <s v="IN"/>
    <s v="500/1000"/>
    <n v="500"/>
    <n v="1021.9"/>
    <n v="0"/>
    <n v="464237"/>
    <s v="MALE"/>
    <s v="High School"/>
    <s v="handlers-cleaners"/>
    <s v="hiking"/>
    <s v="husband"/>
    <n v="0"/>
    <n v="0"/>
    <d v="2015-02-05T00:00:00"/>
    <s v="Single Vehicle Collision"/>
    <s v="Front Collision"/>
    <s v="Major Damage"/>
    <s v="Other"/>
    <x v="4"/>
    <x v="0"/>
    <s v="6117 4th Ave"/>
    <n v="21"/>
    <n v="1"/>
    <s v="?"/>
    <n v="0"/>
    <n v="0"/>
    <s v="?"/>
    <n v="91260"/>
    <n v="14040"/>
    <n v="14040"/>
    <n v="63180"/>
    <s v="Toyota"/>
    <s v="Corolla"/>
    <n v="2012"/>
    <s v="N"/>
    <n v="89.216932251441975"/>
    <n v="-90238.1"/>
    <n v="1.1197554267430776E-2"/>
    <n v="3"/>
    <n v="8"/>
    <x v="0"/>
    <x v="0"/>
  </r>
  <r>
    <n v="297"/>
    <n v="48"/>
    <n v="830729"/>
    <d v="1993-02-10T00:00:00"/>
    <s v="IN"/>
    <s v="100/300"/>
    <n v="1000"/>
    <n v="1538.6"/>
    <n v="0"/>
    <n v="618455"/>
    <s v="FEMALE"/>
    <s v="MD"/>
    <s v="other-service"/>
    <s v="kayaking"/>
    <s v="wife"/>
    <n v="0"/>
    <n v="-54700"/>
    <d v="2015-01-11T00:00:00"/>
    <s v="Single Vehicle Collision"/>
    <s v="Side Collision"/>
    <s v="Minor Damage"/>
    <s v="Fire"/>
    <x v="0"/>
    <x v="5"/>
    <s v="2668 Cherokee St"/>
    <n v="12"/>
    <n v="1"/>
    <s v="?"/>
    <n v="0"/>
    <n v="0"/>
    <s v="?"/>
    <n v="60600"/>
    <n v="6060"/>
    <n v="12120"/>
    <n v="42420"/>
    <s v="Ford"/>
    <s v="Fusion"/>
    <n v="2004"/>
    <s v="N"/>
    <n v="39.360872954014035"/>
    <n v="-59061.4"/>
    <n v="2.5389019983168594E-2"/>
    <n v="11"/>
    <n v="297"/>
    <x v="0"/>
    <x v="0"/>
  </r>
  <r>
    <n v="150"/>
    <n v="31"/>
    <n v="651948"/>
    <d v="1994-09-28T00:00:00"/>
    <s v="IN"/>
    <s v="500/1000"/>
    <n v="1000"/>
    <n v="1354.5"/>
    <n v="0"/>
    <n v="456602"/>
    <s v="MALE"/>
    <s v="Masters"/>
    <s v="machine-op-inspct"/>
    <s v="base-jumping"/>
    <s v="husband"/>
    <n v="52800"/>
    <n v="0"/>
    <d v="2015-01-02T00:00:00"/>
    <s v="Multi-vehicle Collision"/>
    <s v="Front Collision"/>
    <s v="Major Damage"/>
    <s v="Ambulance"/>
    <x v="2"/>
    <x v="2"/>
    <s v="6838 Flute Lane"/>
    <n v="6"/>
    <n v="3"/>
    <s v="?"/>
    <n v="0"/>
    <n v="3"/>
    <s v="YES"/>
    <n v="64800"/>
    <n v="6480"/>
    <n v="12960"/>
    <n v="45360"/>
    <s v="Suburu"/>
    <s v="Forrestor"/>
    <n v="2000"/>
    <s v="Y"/>
    <n v="47.805237919586865"/>
    <n v="-63445.5"/>
    <n v="2.0902455209024551E-2"/>
    <n v="15"/>
    <n v="150"/>
    <x v="0"/>
    <x v="0"/>
  </r>
  <r>
    <n v="4"/>
    <n v="34"/>
    <n v="424358"/>
    <d v="2003-05-24T00:00:00"/>
    <s v="OH"/>
    <s v="500/1000"/>
    <n v="500"/>
    <n v="1282.93"/>
    <n v="0"/>
    <n v="616126"/>
    <s v="FEMALE"/>
    <s v="College"/>
    <s v="exec-managerial"/>
    <s v="basketball"/>
    <s v="other-relative"/>
    <n v="0"/>
    <n v="0"/>
    <d v="2015-02-12T00:00:00"/>
    <s v="Multi-vehicle Collision"/>
    <s v="Side Collision"/>
    <s v="Major Damage"/>
    <s v="Police"/>
    <x v="4"/>
    <x v="6"/>
    <s v="6583 MLK Ridge"/>
    <n v="0"/>
    <n v="4"/>
    <s v="?"/>
    <n v="0"/>
    <n v="0"/>
    <s v="?"/>
    <n v="66880"/>
    <n v="6080"/>
    <n v="12160"/>
    <n v="48640"/>
    <s v="Chevrolet"/>
    <s v="Silverado"/>
    <n v="1996"/>
    <s v="Y"/>
    <n v="52.090067215502401"/>
    <n v="-65597.070000000007"/>
    <n v="1.9182278973101478E-2"/>
    <n v="19"/>
    <n v="4"/>
    <x v="0"/>
    <x v="0"/>
  </r>
  <r>
    <n v="210"/>
    <n v="35"/>
    <n v="131478"/>
    <d v="1991-12-25T00:00:00"/>
    <s v="IL"/>
    <s v="500/1000"/>
    <n v="1000"/>
    <n v="1346.27"/>
    <n v="0"/>
    <n v="468508"/>
    <s v="MALE"/>
    <s v="Masters"/>
    <s v="farming-fishing"/>
    <s v="cross-fit"/>
    <s v="not-in-family"/>
    <n v="44900"/>
    <n v="-91400"/>
    <d v="2015-01-03T00:00:00"/>
    <s v="Single Vehicle Collision"/>
    <s v="Front Collision"/>
    <s v="Total Loss"/>
    <s v="Ambulance"/>
    <x v="4"/>
    <x v="2"/>
    <s v="6492 4th Lane"/>
    <n v="11"/>
    <n v="1"/>
    <s v="NO"/>
    <n v="0"/>
    <n v="2"/>
    <s v="?"/>
    <n v="58200"/>
    <n v="5820"/>
    <n v="5820"/>
    <n v="46560"/>
    <s v="BMW"/>
    <s v="X5"/>
    <n v="2013"/>
    <s v="N"/>
    <n v="43.198468013093148"/>
    <n v="-56853.73"/>
    <n v="2.3131389495025859E-2"/>
    <n v="2"/>
    <n v="210"/>
    <x v="0"/>
    <x v="0"/>
  </r>
  <r>
    <n v="91"/>
    <n v="31"/>
    <n v="268833"/>
    <d v="1999-09-18T00:00:00"/>
    <s v="IN"/>
    <s v="100/300"/>
    <n v="1000"/>
    <n v="1338.4"/>
    <n v="4000000"/>
    <n v="431937"/>
    <s v="FEMALE"/>
    <s v="High School"/>
    <s v="priv-house-serv"/>
    <s v="polo"/>
    <s v="own-child"/>
    <n v="63600"/>
    <n v="0"/>
    <d v="2015-02-25T00:00:00"/>
    <s v="Single Vehicle Collision"/>
    <s v="Side Collision"/>
    <s v="Minor Damage"/>
    <s v="Police"/>
    <x v="5"/>
    <x v="4"/>
    <s v="7299 Apache St"/>
    <n v="19"/>
    <n v="1"/>
    <s v="?"/>
    <n v="1"/>
    <n v="0"/>
    <s v="NO"/>
    <n v="60570"/>
    <n v="6730"/>
    <n v="6730"/>
    <n v="47110"/>
    <s v="Nissan"/>
    <s v="Maxima"/>
    <n v="2011"/>
    <s v="N"/>
    <n v="45.221741078094666"/>
    <n v="-59231.6"/>
    <n v="2.2096382757425172E-2"/>
    <n v="4"/>
    <n v="91"/>
    <x v="0"/>
    <x v="0"/>
  </r>
  <r>
    <n v="167"/>
    <n v="36"/>
    <n v="287489"/>
    <d v="1994-02-03T00:00:00"/>
    <s v="IL"/>
    <s v="100/300"/>
    <n v="1000"/>
    <n v="949.44"/>
    <n v="0"/>
    <n v="448603"/>
    <s v="FEMALE"/>
    <s v="Masters"/>
    <s v="exec-managerial"/>
    <s v="camping"/>
    <s v="other-relative"/>
    <n v="0"/>
    <n v="-38400"/>
    <d v="2015-01-19T00:00:00"/>
    <s v="Multi-vehicle Collision"/>
    <s v="Rear Collision"/>
    <s v="Major Damage"/>
    <s v="Ambulance"/>
    <x v="5"/>
    <x v="3"/>
    <s v="2756 Britain Hwy"/>
    <n v="22"/>
    <n v="3"/>
    <s v="?"/>
    <n v="0"/>
    <n v="0"/>
    <s v="NO"/>
    <n v="69680"/>
    <n v="8710"/>
    <n v="8710"/>
    <n v="52260"/>
    <s v="Mercedes"/>
    <s v="ML350"/>
    <n v="2008"/>
    <s v="Y"/>
    <n v="73.313412735154245"/>
    <n v="-68730.559999999998"/>
    <n v="1.3625522021784993E-2"/>
    <n v="7"/>
    <n v="167"/>
    <x v="0"/>
    <x v="0"/>
  </r>
  <r>
    <n v="467"/>
    <n v="58"/>
    <n v="808153"/>
    <d v="2003-01-18T00:00:00"/>
    <s v="IN"/>
    <s v="500/1000"/>
    <n v="2000"/>
    <n v="977.4"/>
    <n v="0"/>
    <n v="444500"/>
    <s v="MALE"/>
    <s v="Masters"/>
    <s v="transport-moving"/>
    <s v="bungie-jumping"/>
    <s v="own-child"/>
    <n v="82200"/>
    <n v="0"/>
    <d v="2015-01-03T00:00:00"/>
    <s v="Single Vehicle Collision"/>
    <s v="Front Collision"/>
    <s v="Total Loss"/>
    <s v="Fire"/>
    <x v="2"/>
    <x v="0"/>
    <s v="9360 3rd Drive"/>
    <n v="2"/>
    <n v="1"/>
    <s v="YES"/>
    <n v="2"/>
    <n v="3"/>
    <s v="NO"/>
    <n v="55700"/>
    <n v="5570"/>
    <n v="11140"/>
    <n v="38990"/>
    <s v="Nissan"/>
    <s v="Maxima"/>
    <n v="2014"/>
    <s v="N"/>
    <n v="56.929681112019622"/>
    <n v="-54722.6"/>
    <n v="1.7547261269995153E-2"/>
    <n v="1"/>
    <n v="467"/>
    <x v="0"/>
    <x v="0"/>
  </r>
  <r>
    <n v="264"/>
    <n v="47"/>
    <n v="687639"/>
    <d v="2005-03-07T00:00:00"/>
    <s v="IN"/>
    <s v="250/500"/>
    <n v="2000"/>
    <n v="1181.46"/>
    <n v="10000000"/>
    <n v="601117"/>
    <s v="FEMALE"/>
    <s v="JD"/>
    <s v="transport-moving"/>
    <s v="sleeping"/>
    <s v="other-relative"/>
    <n v="0"/>
    <n v="-67400"/>
    <d v="2015-02-12T00:00:00"/>
    <s v="Multi-vehicle Collision"/>
    <s v="Front Collision"/>
    <s v="Total Loss"/>
    <s v="Ambulance"/>
    <x v="3"/>
    <x v="2"/>
    <s v="1655 Francis Hwy"/>
    <n v="16"/>
    <n v="4"/>
    <s v="YES"/>
    <n v="1"/>
    <n v="2"/>
    <s v="YES"/>
    <n v="62370"/>
    <n v="5670"/>
    <n v="5670"/>
    <n v="51030"/>
    <s v="Dodge"/>
    <s v="Neon"/>
    <n v="2001"/>
    <s v="N"/>
    <n v="52.745970265378951"/>
    <n v="-61188.54"/>
    <n v="1.8942457231726283E-2"/>
    <n v="14"/>
    <n v="264"/>
    <x v="0"/>
    <x v="0"/>
  </r>
  <r>
    <n v="270"/>
    <n v="45"/>
    <n v="497347"/>
    <d v="2003-08-23T00:00:00"/>
    <s v="OH"/>
    <s v="500/1000"/>
    <n v="500"/>
    <n v="1187.53"/>
    <n v="0"/>
    <n v="615383"/>
    <s v="FEMALE"/>
    <s v="PhD"/>
    <s v="priv-house-serv"/>
    <s v="yachting"/>
    <s v="not-in-family"/>
    <n v="83200"/>
    <n v="-53300"/>
    <d v="2015-02-24T00:00:00"/>
    <s v="Multi-vehicle Collision"/>
    <s v="Side Collision"/>
    <s v="Total Loss"/>
    <s v="Other"/>
    <x v="1"/>
    <x v="0"/>
    <s v="9720 Lincoln Hwy"/>
    <n v="23"/>
    <n v="3"/>
    <s v="?"/>
    <n v="0"/>
    <n v="0"/>
    <s v="YES"/>
    <n v="54340"/>
    <n v="9880"/>
    <n v="0"/>
    <n v="44460"/>
    <s v="Saab"/>
    <s v="92x"/>
    <n v="2005"/>
    <s v="N"/>
    <n v="45.720343617746295"/>
    <n v="-53152.47"/>
    <n v="2.1853296774074823E-2"/>
    <n v="10"/>
    <n v="270"/>
    <x v="0"/>
    <x v="0"/>
  </r>
  <r>
    <n v="310"/>
    <n v="48"/>
    <n v="439660"/>
    <d v="2002-07-11T00:00:00"/>
    <s v="OH"/>
    <s v="100/300"/>
    <n v="1000"/>
    <n v="845.16"/>
    <n v="0"/>
    <n v="434342"/>
    <s v="FEMALE"/>
    <s v="Masters"/>
    <s v="priv-house-serv"/>
    <s v="base-jumping"/>
    <s v="other-relative"/>
    <n v="0"/>
    <n v="0"/>
    <d v="2015-02-25T00:00:00"/>
    <s v="Single Vehicle Collision"/>
    <s v="Front Collision"/>
    <s v="Major Damage"/>
    <s v="Police"/>
    <x v="5"/>
    <x v="5"/>
    <s v="7066 Texas Ave"/>
    <n v="21"/>
    <n v="1"/>
    <s v="YES"/>
    <n v="1"/>
    <n v="0"/>
    <s v="NO"/>
    <n v="55170"/>
    <n v="6130"/>
    <n v="6130"/>
    <n v="42910"/>
    <s v="Audi"/>
    <s v="A5"/>
    <n v="2005"/>
    <s v="Y"/>
    <n v="65.200434905927963"/>
    <n v="-54324.84"/>
    <n v="1.5318917547262148E-2"/>
    <n v="10"/>
    <n v="310"/>
    <x v="0"/>
    <x v="0"/>
  </r>
  <r>
    <n v="143"/>
    <n v="34"/>
    <n v="847123"/>
    <d v="2014-03-19T00:00:00"/>
    <s v="IL"/>
    <s v="100/300"/>
    <n v="500"/>
    <n v="1442.27"/>
    <n v="0"/>
    <n v="435100"/>
    <s v="MALE"/>
    <s v="College"/>
    <s v="priv-house-serv"/>
    <s v="exercise"/>
    <s v="wife"/>
    <n v="67900"/>
    <n v="0"/>
    <d v="2015-02-17T00:00:00"/>
    <s v="Single Vehicle Collision"/>
    <s v="Front Collision"/>
    <s v="Minor Damage"/>
    <s v="Other"/>
    <x v="2"/>
    <x v="0"/>
    <s v="9728 Britain Hwy"/>
    <n v="10"/>
    <n v="1"/>
    <s v="?"/>
    <n v="2"/>
    <n v="3"/>
    <s v="YES"/>
    <n v="58500"/>
    <n v="11700"/>
    <n v="5850"/>
    <n v="40950"/>
    <s v="Dodge"/>
    <s v="RAM"/>
    <n v="1999"/>
    <s v="N"/>
    <n v="40.53295641148226"/>
    <n v="-57057.73"/>
    <n v="2.4653766602280303E-2"/>
    <n v="16"/>
    <n v="143"/>
    <x v="0"/>
    <x v="0"/>
  </r>
  <r>
    <n v="146"/>
    <n v="32"/>
    <n v="172307"/>
    <d v="1993-12-06T00:00:00"/>
    <s v="OH"/>
    <s v="100/300"/>
    <n v="2000"/>
    <n v="1276.43"/>
    <n v="0"/>
    <n v="431278"/>
    <s v="MALE"/>
    <s v="Associate"/>
    <s v="priv-house-serv"/>
    <s v="skydiving"/>
    <s v="own-child"/>
    <n v="0"/>
    <n v="0"/>
    <d v="2015-02-09T00:00:00"/>
    <s v="Single Vehicle Collision"/>
    <s v="Rear Collision"/>
    <s v="Major Damage"/>
    <s v="Fire"/>
    <x v="5"/>
    <x v="1"/>
    <s v="4486 Cherokee Ridge"/>
    <n v="12"/>
    <n v="1"/>
    <s v="?"/>
    <n v="0"/>
    <n v="3"/>
    <s v="?"/>
    <n v="59940"/>
    <n v="6660"/>
    <n v="6660"/>
    <n v="46620"/>
    <s v="Honda"/>
    <s v="CRV"/>
    <n v="1995"/>
    <s v="N"/>
    <n v="46.922336253258493"/>
    <n v="-58663.57"/>
    <n v="2.1294773193640416E-2"/>
    <n v="20"/>
    <n v="146"/>
    <x v="0"/>
    <x v="0"/>
  </r>
  <r>
    <n v="102"/>
    <n v="28"/>
    <n v="810189"/>
    <d v="1999-08-29T00:00:00"/>
    <s v="OH"/>
    <s v="250/500"/>
    <n v="500"/>
    <n v="1075.4100000000001"/>
    <n v="0"/>
    <n v="445648"/>
    <s v="MALE"/>
    <s v="MD"/>
    <s v="machine-op-inspct"/>
    <s v="reading"/>
    <s v="wife"/>
    <n v="55200"/>
    <n v="0"/>
    <d v="2015-02-15T00:00:00"/>
    <s v="Single Vehicle Collision"/>
    <s v="Side Collision"/>
    <s v="Total Loss"/>
    <s v="Police"/>
    <x v="6"/>
    <x v="5"/>
    <s v="8021 Flute Ave"/>
    <n v="6"/>
    <n v="1"/>
    <s v="NO"/>
    <n v="1"/>
    <n v="0"/>
    <s v="NO"/>
    <n v="73400"/>
    <n v="7340"/>
    <n v="7340"/>
    <n v="58720"/>
    <s v="Dodge"/>
    <s v="Neon"/>
    <n v="1996"/>
    <s v="N"/>
    <n v="68.189630345314512"/>
    <n v="-72324.59"/>
    <n v="1.4651162790697676E-2"/>
    <n v="19"/>
    <n v="102"/>
    <x v="0"/>
    <x v="0"/>
  </r>
  <r>
    <n v="61"/>
    <n v="23"/>
    <n v="432068"/>
    <d v="2007-03-09T00:00:00"/>
    <s v="IL"/>
    <s v="100/300"/>
    <n v="500"/>
    <n v="1111.72"/>
    <n v="0"/>
    <n v="448857"/>
    <s v="MALE"/>
    <s v="JD"/>
    <s v="exec-managerial"/>
    <s v="bungie-jumping"/>
    <s v="other-relative"/>
    <n v="54600"/>
    <n v="0"/>
    <d v="2015-02-25T00:00:00"/>
    <s v="Single Vehicle Collision"/>
    <s v="Side Collision"/>
    <s v="Major Damage"/>
    <s v="Fire"/>
    <x v="6"/>
    <x v="1"/>
    <s v="2774 Apache Drive"/>
    <n v="6"/>
    <n v="1"/>
    <s v="?"/>
    <n v="1"/>
    <n v="2"/>
    <s v="?"/>
    <n v="41850"/>
    <n v="4650"/>
    <n v="4650"/>
    <n v="32550"/>
    <s v="Suburu"/>
    <s v="Legacy"/>
    <n v="1997"/>
    <s v="N"/>
    <n v="37.610539938169531"/>
    <n v="-40738.28"/>
    <n v="2.6563761917277964E-2"/>
    <n v="18"/>
    <n v="61"/>
    <x v="0"/>
    <x v="0"/>
  </r>
  <r>
    <n v="255"/>
    <n v="44"/>
    <n v="903203"/>
    <d v="2004-01-03T00:00:00"/>
    <s v="OH"/>
    <s v="500/1000"/>
    <n v="2000"/>
    <n v="814.96"/>
    <n v="6000000"/>
    <n v="435267"/>
    <s v="FEMALE"/>
    <s v="PhD"/>
    <s v="priv-house-serv"/>
    <s v="chess"/>
    <s v="not-in-family"/>
    <n v="68500"/>
    <n v="0"/>
    <d v="2015-02-05T00:00:00"/>
    <s v="Parked Car"/>
    <s v="?"/>
    <s v="Trivial Damage"/>
    <s v="Police"/>
    <x v="5"/>
    <x v="4"/>
    <s v="2787 MLK St"/>
    <n v="7"/>
    <n v="1"/>
    <s v="?"/>
    <n v="2"/>
    <n v="2"/>
    <s v="NO"/>
    <n v="6400"/>
    <n v="640"/>
    <n v="1280"/>
    <n v="4480"/>
    <s v="Mercedes"/>
    <s v="ML350"/>
    <n v="2005"/>
    <s v="Y"/>
    <n v="7.8435217412618261"/>
    <n v="-5585.04"/>
    <n v="0.12731760662396502"/>
    <n v="10"/>
    <n v="255"/>
    <x v="2"/>
    <x v="0"/>
  </r>
  <r>
    <n v="211"/>
    <n v="40"/>
    <n v="253085"/>
    <d v="1991-04-25T00:00:00"/>
    <s v="IL"/>
    <s v="500/1000"/>
    <n v="1000"/>
    <n v="1575.86"/>
    <n v="0"/>
    <n v="461275"/>
    <s v="FEMALE"/>
    <s v="PhD"/>
    <s v="other-service"/>
    <s v="sleeping"/>
    <s v="own-child"/>
    <n v="0"/>
    <n v="0"/>
    <d v="2015-01-12T00:00:00"/>
    <s v="Vehicle Theft"/>
    <s v="?"/>
    <s v="Trivial Damage"/>
    <s v="Police"/>
    <x v="4"/>
    <x v="6"/>
    <s v="9847 Elm St"/>
    <n v="3"/>
    <n v="1"/>
    <s v="NO"/>
    <n v="1"/>
    <n v="1"/>
    <s v="NO"/>
    <n v="3190"/>
    <n v="580"/>
    <n v="290"/>
    <n v="2320"/>
    <s v="Audi"/>
    <s v="A5"/>
    <n v="2004"/>
    <s v="N"/>
    <n v="2.0230077495782761"/>
    <n v="-1614.14"/>
    <n v="0.49384518959573798"/>
    <n v="11"/>
    <n v="211"/>
    <x v="1"/>
    <x v="1"/>
  </r>
  <r>
    <n v="61"/>
    <n v="29"/>
    <n v="180720"/>
    <d v="1995-03-14T00:00:00"/>
    <s v="IN"/>
    <s v="250/500"/>
    <n v="1000"/>
    <n v="1115.27"/>
    <n v="0"/>
    <n v="613816"/>
    <s v="MALE"/>
    <s v="JD"/>
    <s v="handlers-cleaners"/>
    <s v="polo"/>
    <s v="unmarried"/>
    <n v="0"/>
    <n v="-66000"/>
    <d v="2015-01-01T00:00:00"/>
    <s v="Parked Car"/>
    <s v="?"/>
    <s v="Trivial Damage"/>
    <s v="None"/>
    <x v="1"/>
    <x v="4"/>
    <s v="4629 Elm Ridge"/>
    <n v="10"/>
    <n v="1"/>
    <s v="YES"/>
    <n v="2"/>
    <n v="1"/>
    <s v="YES"/>
    <n v="5900"/>
    <n v="590"/>
    <n v="590"/>
    <n v="4720"/>
    <s v="Nissan"/>
    <s v="Pathfinder"/>
    <n v="2010"/>
    <s v="N"/>
    <n v="5.2854596110260061"/>
    <n v="-4784.7299999999996"/>
    <n v="0.18899678020674462"/>
    <n v="5"/>
    <n v="61"/>
    <x v="2"/>
    <x v="1"/>
  </r>
  <r>
    <n v="108"/>
    <n v="31"/>
    <n v="492224"/>
    <d v="2005-12-09T00:00:00"/>
    <s v="IN"/>
    <s v="500/1000"/>
    <n v="2000"/>
    <n v="1175.7"/>
    <n v="0"/>
    <n v="608767"/>
    <s v="MALE"/>
    <s v="Masters"/>
    <s v="protective-serv"/>
    <s v="yachting"/>
    <s v="not-in-family"/>
    <n v="0"/>
    <n v="0"/>
    <d v="2015-02-19T00:00:00"/>
    <s v="Single Vehicle Collision"/>
    <s v="Rear Collision"/>
    <s v="Total Loss"/>
    <s v="Fire"/>
    <x v="2"/>
    <x v="0"/>
    <s v="5585 Washington Drive"/>
    <n v="14"/>
    <n v="1"/>
    <s v="NO"/>
    <n v="0"/>
    <n v="2"/>
    <s v="NO"/>
    <n v="57330"/>
    <n v="6370"/>
    <n v="6370"/>
    <n v="44590"/>
    <s v="Dodge"/>
    <s v="Neon"/>
    <n v="2006"/>
    <s v="N"/>
    <n v="48.720999405116004"/>
    <n v="-56154.3"/>
    <n v="2.0507229945404756E-2"/>
    <n v="9"/>
    <n v="108"/>
    <x v="0"/>
    <x v="0"/>
  </r>
  <r>
    <n v="303"/>
    <n v="50"/>
    <n v="411477"/>
    <d v="2001-12-25T00:00:00"/>
    <s v="OH"/>
    <s v="100/300"/>
    <n v="500"/>
    <n v="793.15"/>
    <n v="0"/>
    <n v="620869"/>
    <s v="MALE"/>
    <s v="MD"/>
    <s v="tech-support"/>
    <s v="board-games"/>
    <s v="own-child"/>
    <n v="54600"/>
    <n v="-45500"/>
    <d v="2015-01-14T00:00:00"/>
    <s v="Multi-vehicle Collision"/>
    <s v="Front Collision"/>
    <s v="Total Loss"/>
    <s v="Other"/>
    <x v="4"/>
    <x v="4"/>
    <s v="3925 Sky St"/>
    <n v="17"/>
    <n v="3"/>
    <s v="NO"/>
    <n v="0"/>
    <n v="3"/>
    <s v="NO"/>
    <n v="81960"/>
    <n v="13660"/>
    <n v="13660"/>
    <n v="54640"/>
    <s v="Dodge"/>
    <s v="Neon"/>
    <n v="2008"/>
    <s v="N"/>
    <n v="103.20468425360448"/>
    <n v="-81166.850000000006"/>
    <n v="9.6771635289954975E-3"/>
    <n v="7"/>
    <n v="303"/>
    <x v="0"/>
    <x v="0"/>
  </r>
  <r>
    <n v="152"/>
    <n v="33"/>
    <n v="107181"/>
    <d v="1999-11-14T00:00:00"/>
    <s v="IN"/>
    <s v="250/500"/>
    <n v="500"/>
    <n v="942.51"/>
    <n v="0"/>
    <n v="478981"/>
    <s v="FEMALE"/>
    <s v="PhD"/>
    <s v="transport-moving"/>
    <s v="exercise"/>
    <s v="wife"/>
    <n v="0"/>
    <n v="0"/>
    <d v="2015-01-30T00:00:00"/>
    <s v="Single Vehicle Collision"/>
    <s v="Side Collision"/>
    <s v="Major Damage"/>
    <s v="Fire"/>
    <x v="0"/>
    <x v="4"/>
    <s v="3903 Oak Ave"/>
    <n v="16"/>
    <n v="1"/>
    <s v="YES"/>
    <n v="0"/>
    <n v="0"/>
    <s v="?"/>
    <n v="70400"/>
    <n v="6400"/>
    <n v="19200"/>
    <n v="44800"/>
    <s v="Suburu"/>
    <s v="Legacy"/>
    <n v="2001"/>
    <s v="Y"/>
    <n v="74.615001430827448"/>
    <n v="-69457.490000000005"/>
    <n v="1.3387735969659522E-2"/>
    <n v="14"/>
    <n v="152"/>
    <x v="0"/>
    <x v="0"/>
  </r>
  <r>
    <n v="120"/>
    <n v="34"/>
    <n v="312940"/>
    <d v="2001-10-27T00:00:00"/>
    <s v="IN"/>
    <s v="500/1000"/>
    <n v="1000"/>
    <n v="1056.71"/>
    <n v="0"/>
    <n v="464630"/>
    <s v="FEMALE"/>
    <s v="JD"/>
    <s v="protective-serv"/>
    <s v="paintball"/>
    <s v="not-in-family"/>
    <n v="77900"/>
    <n v="0"/>
    <d v="2015-01-20T00:00:00"/>
    <s v="Parked Car"/>
    <s v="?"/>
    <s v="Minor Damage"/>
    <s v="None"/>
    <x v="1"/>
    <x v="0"/>
    <s v="3805 Lincoln Hwy"/>
    <n v="3"/>
    <n v="1"/>
    <s v="NO"/>
    <n v="2"/>
    <n v="1"/>
    <s v="?"/>
    <n v="3770"/>
    <n v="580"/>
    <n v="580"/>
    <n v="2610"/>
    <s v="Jeep"/>
    <s v="Grand Cherokee"/>
    <n v="2002"/>
    <s v="N"/>
    <n v="3.5643040152782897"/>
    <n v="-2713.29"/>
    <n v="0.28022010076902681"/>
    <n v="13"/>
    <n v="120"/>
    <x v="1"/>
    <x v="1"/>
  </r>
  <r>
    <n v="144"/>
    <n v="36"/>
    <n v="855186"/>
    <d v="1993-10-31T00:00:00"/>
    <s v="IN"/>
    <s v="500/1000"/>
    <n v="2000"/>
    <n v="1255.68"/>
    <n v="6000000"/>
    <n v="466303"/>
    <s v="FEMALE"/>
    <s v="Associate"/>
    <s v="sales"/>
    <s v="reading"/>
    <s v="other-relative"/>
    <n v="23600"/>
    <n v="-15600"/>
    <d v="2015-02-18T00:00:00"/>
    <s v="Parked Car"/>
    <s v="?"/>
    <s v="Minor Damage"/>
    <s v="None"/>
    <x v="5"/>
    <x v="2"/>
    <s v="4055 2nd Drive"/>
    <n v="7"/>
    <n v="1"/>
    <s v="NO"/>
    <n v="0"/>
    <n v="0"/>
    <s v="?"/>
    <n v="7400"/>
    <n v="740"/>
    <n v="1480"/>
    <n v="5180"/>
    <s v="Dodge"/>
    <s v="Neon"/>
    <n v="2014"/>
    <s v="N"/>
    <n v="5.8885316866664539"/>
    <n v="-6144.32"/>
    <n v="0.16966355897851643"/>
    <n v="1"/>
    <n v="144"/>
    <x v="2"/>
    <x v="0"/>
  </r>
  <r>
    <n v="414"/>
    <n v="52"/>
    <n v="373935"/>
    <d v="2003-02-13T00:00:00"/>
    <s v="IN"/>
    <s v="500/1000"/>
    <n v="500"/>
    <n v="1335.13"/>
    <n v="0"/>
    <n v="452647"/>
    <s v="FEMALE"/>
    <s v="High School"/>
    <s v="farming-fishing"/>
    <s v="chess"/>
    <s v="unmarried"/>
    <n v="44000"/>
    <n v="-71000"/>
    <d v="2015-01-07T00:00:00"/>
    <s v="Single Vehicle Collision"/>
    <s v="Rear Collision"/>
    <s v="Total Loss"/>
    <s v="Police"/>
    <x v="0"/>
    <x v="5"/>
    <s v="3707 Oak Ridge"/>
    <n v="13"/>
    <n v="1"/>
    <s v="YES"/>
    <n v="1"/>
    <n v="1"/>
    <s v="?"/>
    <n v="54810"/>
    <n v="6090"/>
    <n v="6090"/>
    <n v="42630"/>
    <s v="Chevrolet"/>
    <s v="Silverado"/>
    <n v="1999"/>
    <s v="Y"/>
    <n v="41.021457492908624"/>
    <n v="-53474.87"/>
    <n v="2.435879659192498E-2"/>
    <n v="16"/>
    <n v="414"/>
    <x v="0"/>
    <x v="0"/>
  </r>
  <r>
    <n v="163"/>
    <n v="37"/>
    <n v="812989"/>
    <d v="2004-03-06T00:00:00"/>
    <s v="IN"/>
    <s v="250/500"/>
    <n v="500"/>
    <n v="1178.95"/>
    <n v="6000000"/>
    <n v="441370"/>
    <s v="FEMALE"/>
    <s v="JD"/>
    <s v="priv-house-serv"/>
    <s v="dancing"/>
    <s v="own-child"/>
    <n v="0"/>
    <n v="-67300"/>
    <d v="2015-01-16T00:00:00"/>
    <s v="Single Vehicle Collision"/>
    <s v="Rear Collision"/>
    <s v="Total Loss"/>
    <s v="Fire"/>
    <x v="2"/>
    <x v="3"/>
    <s v="7327 Lincoln Drive"/>
    <n v="20"/>
    <n v="1"/>
    <s v="YES"/>
    <n v="2"/>
    <n v="3"/>
    <s v="YES"/>
    <n v="49400"/>
    <n v="4940"/>
    <n v="9880"/>
    <n v="34580"/>
    <s v="Jeep"/>
    <s v="Wrangler"/>
    <n v="2005"/>
    <s v="N"/>
    <n v="41.866180770371628"/>
    <n v="-48221.05"/>
    <n v="2.3864901520212142E-2"/>
    <n v="10"/>
    <n v="163"/>
    <x v="0"/>
    <x v="0"/>
  </r>
  <r>
    <n v="352"/>
    <n v="53"/>
    <n v="993840"/>
    <d v="2013-07-12T00:00:00"/>
    <s v="IL"/>
    <s v="250/500"/>
    <n v="500"/>
    <n v="1793.16"/>
    <n v="0"/>
    <n v="619166"/>
    <s v="MALE"/>
    <s v="Associate"/>
    <s v="tech-support"/>
    <s v="exercise"/>
    <s v="wife"/>
    <n v="0"/>
    <n v="0"/>
    <d v="2015-01-15T00:00:00"/>
    <s v="Single Vehicle Collision"/>
    <s v="Front Collision"/>
    <s v="Minor Damage"/>
    <s v="Fire"/>
    <x v="5"/>
    <x v="1"/>
    <s v="9369 Flute Hwy"/>
    <n v="23"/>
    <n v="1"/>
    <s v="YES"/>
    <n v="2"/>
    <n v="2"/>
    <s v="NO"/>
    <n v="68750"/>
    <n v="12500"/>
    <n v="6250"/>
    <n v="50000"/>
    <s v="Chevrolet"/>
    <s v="Malibu"/>
    <n v="2009"/>
    <s v="N"/>
    <n v="38.318767556962591"/>
    <n v="-66956.84"/>
    <n v="2.6081947898939653E-2"/>
    <n v="6"/>
    <n v="352"/>
    <x v="0"/>
    <x v="0"/>
  </r>
  <r>
    <n v="27"/>
    <n v="32"/>
    <n v="327856"/>
    <d v="2014-08-27T00:00:00"/>
    <s v="OH"/>
    <s v="100/300"/>
    <n v="500"/>
    <n v="1008.38"/>
    <n v="0"/>
    <n v="472803"/>
    <s v="FEMALE"/>
    <s v="PhD"/>
    <s v="adm-clerical"/>
    <s v="yachting"/>
    <s v="other-relative"/>
    <n v="37900"/>
    <n v="0"/>
    <d v="2015-02-01T00:00:00"/>
    <s v="Single Vehicle Collision"/>
    <s v="Front Collision"/>
    <s v="Total Loss"/>
    <s v="Ambulance"/>
    <x v="0"/>
    <x v="2"/>
    <s v="4239 Weaver Ave"/>
    <n v="11"/>
    <n v="1"/>
    <s v="NO"/>
    <n v="1"/>
    <n v="0"/>
    <s v="?"/>
    <n v="61500"/>
    <n v="12300"/>
    <n v="6150"/>
    <n v="43050"/>
    <s v="Dodge"/>
    <s v="Neon"/>
    <n v="2013"/>
    <s v="N"/>
    <n v="60.928490756702132"/>
    <n v="-60491.62"/>
    <n v="1.6396156160062438E-2"/>
    <n v="2"/>
    <n v="27"/>
    <x v="0"/>
    <x v="0"/>
  </r>
  <r>
    <n v="239"/>
    <n v="39"/>
    <n v="506333"/>
    <d v="1990-06-22T00:00:00"/>
    <s v="IL"/>
    <s v="100/300"/>
    <n v="500"/>
    <n v="1396.83"/>
    <n v="0"/>
    <n v="442308"/>
    <s v="FEMALE"/>
    <s v="Masters"/>
    <s v="other-service"/>
    <s v="reading"/>
    <s v="husband"/>
    <n v="0"/>
    <n v="0"/>
    <d v="2015-01-06T00:00:00"/>
    <s v="Multi-vehicle Collision"/>
    <s v="Rear Collision"/>
    <s v="Major Damage"/>
    <s v="Ambulance"/>
    <x v="4"/>
    <x v="5"/>
    <s v="6044 Weaver Drive"/>
    <n v="0"/>
    <n v="4"/>
    <s v="?"/>
    <n v="0"/>
    <n v="3"/>
    <s v="NO"/>
    <n v="76890"/>
    <n v="6990"/>
    <n v="13980"/>
    <n v="55920"/>
    <s v="BMW"/>
    <s v="X6"/>
    <n v="2007"/>
    <s v="N"/>
    <n v="55.006688939284466"/>
    <n v="-75493.17"/>
    <n v="1.8166365374361108E-2"/>
    <n v="8"/>
    <n v="239"/>
    <x v="0"/>
    <x v="0"/>
  </r>
  <r>
    <n v="33"/>
    <n v="32"/>
    <n v="263159"/>
    <d v="2008-03-07T00:00:00"/>
    <s v="OH"/>
    <s v="100/300"/>
    <n v="500"/>
    <n v="1402.78"/>
    <n v="5000000"/>
    <n v="469383"/>
    <s v="FEMALE"/>
    <s v="PhD"/>
    <s v="other-service"/>
    <s v="base-jumping"/>
    <s v="husband"/>
    <n v="70300"/>
    <n v="-50300"/>
    <d v="2015-02-02T00:00:00"/>
    <s v="Single Vehicle Collision"/>
    <s v="Rear Collision"/>
    <s v="Minor Damage"/>
    <s v="Ambulance"/>
    <x v="2"/>
    <x v="6"/>
    <s v="8879 1st Drive"/>
    <n v="2"/>
    <n v="1"/>
    <s v="YES"/>
    <n v="0"/>
    <n v="1"/>
    <s v="?"/>
    <n v="56070"/>
    <n v="6230"/>
    <n v="12460"/>
    <n v="37380"/>
    <s v="Toyota"/>
    <s v="Camry"/>
    <n v="2012"/>
    <s v="N"/>
    <n v="39.942156178318541"/>
    <n v="-54667.22"/>
    <n v="2.5017923703875442E-2"/>
    <n v="3"/>
    <n v="33"/>
    <x v="0"/>
    <x v="0"/>
  </r>
  <r>
    <n v="88"/>
    <n v="30"/>
    <n v="372912"/>
    <d v="1992-08-05T00:00:00"/>
    <s v="IN"/>
    <s v="100/300"/>
    <n v="1000"/>
    <n v="1437.88"/>
    <n v="0"/>
    <n v="614383"/>
    <s v="FEMALE"/>
    <s v="College"/>
    <s v="transport-moving"/>
    <s v="reading"/>
    <s v="husband"/>
    <n v="42800"/>
    <n v="-51200"/>
    <d v="2015-02-25T00:00:00"/>
    <s v="Single Vehicle Collision"/>
    <s v="Side Collision"/>
    <s v="Total Loss"/>
    <s v="Fire"/>
    <x v="0"/>
    <x v="6"/>
    <s v="9488 Best Drive"/>
    <n v="3"/>
    <n v="1"/>
    <s v="NO"/>
    <n v="2"/>
    <n v="0"/>
    <s v="YES"/>
    <n v="56000"/>
    <n v="14000"/>
    <n v="0"/>
    <n v="42000"/>
    <s v="Chevrolet"/>
    <s v="Malibu"/>
    <n v="2003"/>
    <s v="N"/>
    <n v="38.919159346158118"/>
    <n v="-54562.12"/>
    <n v="2.5675970071963001E-2"/>
    <n v="12"/>
    <n v="88"/>
    <x v="0"/>
    <x v="0"/>
  </r>
  <r>
    <n v="101"/>
    <n v="33"/>
    <n v="552788"/>
    <d v="1991-09-03T00:00:00"/>
    <s v="IL"/>
    <s v="500/1000"/>
    <n v="1000"/>
    <n v="1313.64"/>
    <n v="0"/>
    <n v="438617"/>
    <s v="FEMALE"/>
    <s v="College"/>
    <s v="priv-house-serv"/>
    <s v="board-games"/>
    <s v="unmarried"/>
    <n v="12100"/>
    <n v="0"/>
    <d v="2015-02-10T00:00:00"/>
    <s v="Parked Car"/>
    <s v="?"/>
    <s v="Trivial Damage"/>
    <s v="None"/>
    <x v="2"/>
    <x v="4"/>
    <s v="7500 Texas Ridge"/>
    <n v="3"/>
    <n v="1"/>
    <s v="YES"/>
    <n v="1"/>
    <n v="0"/>
    <s v="NO"/>
    <n v="4290"/>
    <n v="780"/>
    <n v="390"/>
    <n v="3120"/>
    <s v="Audi"/>
    <s v="A3"/>
    <n v="1997"/>
    <s v="N"/>
    <n v="3.2632507758778067"/>
    <n v="-2976.3599999999997"/>
    <n v="0.30613842927056634"/>
    <n v="18"/>
    <n v="101"/>
    <x v="1"/>
    <x v="1"/>
  </r>
  <r>
    <n v="20"/>
    <n v="37"/>
    <n v="722747"/>
    <d v="2011-09-02T00:00:00"/>
    <s v="IL"/>
    <s v="250/500"/>
    <n v="500"/>
    <n v="1482.14"/>
    <n v="0"/>
    <n v="613936"/>
    <s v="FEMALE"/>
    <s v="Associate"/>
    <s v="transport-moving"/>
    <s v="reading"/>
    <s v="husband"/>
    <n v="33000"/>
    <n v="-43600"/>
    <d v="2015-02-22T00:00:00"/>
    <s v="Multi-vehicle Collision"/>
    <s v="Rear Collision"/>
    <s v="Total Loss"/>
    <s v="Other"/>
    <x v="2"/>
    <x v="2"/>
    <s v="2048 3rd Ridge"/>
    <n v="15"/>
    <n v="3"/>
    <s v="?"/>
    <n v="2"/>
    <n v="1"/>
    <s v="NO"/>
    <n v="60750"/>
    <n v="6750"/>
    <n v="6750"/>
    <n v="47250"/>
    <s v="Suburu"/>
    <s v="Forrestor"/>
    <n v="2003"/>
    <s v="N"/>
    <n v="40.960394837978882"/>
    <n v="-59267.86"/>
    <n v="2.4396964659017962E-2"/>
    <n v="12"/>
    <n v="20"/>
    <x v="0"/>
    <x v="0"/>
  </r>
  <r>
    <n v="126"/>
    <n v="30"/>
    <n v="248467"/>
    <d v="2012-10-06T00:00:00"/>
    <s v="IL"/>
    <s v="250/500"/>
    <n v="2000"/>
    <n v="1171.75"/>
    <n v="0"/>
    <n v="472163"/>
    <s v="FEMALE"/>
    <s v="Associate"/>
    <s v="machine-op-inspct"/>
    <s v="board-games"/>
    <s v="not-in-family"/>
    <n v="46500"/>
    <n v="-42700"/>
    <d v="2015-01-31T00:00:00"/>
    <s v="Single Vehicle Collision"/>
    <s v="Side Collision"/>
    <s v="Minor Damage"/>
    <s v="Other"/>
    <x v="2"/>
    <x v="5"/>
    <s v="3419 Apache St"/>
    <n v="23"/>
    <n v="1"/>
    <s v="?"/>
    <n v="2"/>
    <n v="3"/>
    <s v="NO"/>
    <n v="48730"/>
    <n v="4430"/>
    <n v="4430"/>
    <n v="39870"/>
    <s v="Chevrolet"/>
    <s v="Malibu"/>
    <n v="2011"/>
    <s v="N"/>
    <n v="41.551907908761457"/>
    <n v="-47558.25"/>
    <n v="2.4045268925324742E-2"/>
    <n v="4"/>
    <n v="126"/>
    <x v="0"/>
    <x v="0"/>
  </r>
  <r>
    <n v="264"/>
    <n v="43"/>
    <n v="955953"/>
    <d v="2014-01-18T00:00:00"/>
    <s v="IL"/>
    <s v="500/1000"/>
    <n v="2000"/>
    <n v="1353.33"/>
    <n v="0"/>
    <n v="447458"/>
    <s v="MALE"/>
    <s v="Associate"/>
    <s v="adm-clerical"/>
    <s v="video-games"/>
    <s v="not-in-family"/>
    <n v="0"/>
    <n v="-8500"/>
    <d v="2015-02-12T00:00:00"/>
    <s v="Multi-vehicle Collision"/>
    <s v="Front Collision"/>
    <s v="Minor Damage"/>
    <s v="Police"/>
    <x v="4"/>
    <x v="3"/>
    <s v="9875 MLK Ave"/>
    <n v="9"/>
    <n v="3"/>
    <s v="YES"/>
    <n v="2"/>
    <n v="0"/>
    <s v="NO"/>
    <n v="95150"/>
    <n v="17300"/>
    <n v="17300"/>
    <n v="60550"/>
    <s v="Ford"/>
    <s v="Escape"/>
    <n v="2007"/>
    <s v="N"/>
    <n v="70.256141413097254"/>
    <n v="-93796.67"/>
    <n v="1.4222971907809691E-2"/>
    <n v="8"/>
    <n v="264"/>
    <x v="0"/>
    <x v="0"/>
  </r>
  <r>
    <n v="78"/>
    <n v="24"/>
    <n v="910622"/>
    <d v="1992-03-22T00:00:00"/>
    <s v="IN"/>
    <s v="100/300"/>
    <n v="500"/>
    <n v="1175.51"/>
    <n v="0"/>
    <n v="474792"/>
    <s v="MALE"/>
    <s v="Masters"/>
    <s v="craft-repair"/>
    <s v="yachting"/>
    <s v="husband"/>
    <n v="0"/>
    <n v="0"/>
    <d v="2015-01-06T00:00:00"/>
    <s v="Vehicle Theft"/>
    <s v="?"/>
    <s v="Minor Damage"/>
    <s v="Police"/>
    <x v="2"/>
    <x v="0"/>
    <s v="3553 Texas Ave"/>
    <n v="20"/>
    <n v="1"/>
    <s v="?"/>
    <n v="0"/>
    <n v="1"/>
    <s v="YES"/>
    <n v="7480"/>
    <n v="680"/>
    <n v="680"/>
    <n v="6120"/>
    <s v="Dodge"/>
    <s v="Neon"/>
    <n v="2003"/>
    <s v="N"/>
    <n v="6.3577870141350266"/>
    <n v="-6304.49"/>
    <n v="0.15713273626520519"/>
    <n v="12"/>
    <n v="78"/>
    <x v="2"/>
    <x v="0"/>
  </r>
  <r>
    <n v="123"/>
    <n v="28"/>
    <n v="137675"/>
    <d v="2012-12-03T00:00:00"/>
    <s v="IL"/>
    <s v="100/300"/>
    <n v="2000"/>
    <n v="1836.02"/>
    <n v="0"/>
    <n v="470559"/>
    <s v="MALE"/>
    <s v="Masters"/>
    <s v="transport-moving"/>
    <s v="movies"/>
    <s v="own-child"/>
    <n v="38000"/>
    <n v="-41200"/>
    <d v="2015-01-01T00:00:00"/>
    <s v="Single Vehicle Collision"/>
    <s v="Side Collision"/>
    <s v="Major Damage"/>
    <s v="Ambulance"/>
    <x v="5"/>
    <x v="1"/>
    <s v="4335 1st St"/>
    <n v="5"/>
    <n v="1"/>
    <s v="?"/>
    <n v="2"/>
    <n v="1"/>
    <s v="YES"/>
    <n v="79800"/>
    <n v="13300"/>
    <n v="6650"/>
    <n v="59850"/>
    <s v="Volkswagen"/>
    <s v="Passat"/>
    <n v="2011"/>
    <s v="Y"/>
    <n v="43.439918999248782"/>
    <n v="-77963.98"/>
    <n v="2.3007481109259282E-2"/>
    <n v="4"/>
    <n v="123"/>
    <x v="0"/>
    <x v="0"/>
  </r>
  <r>
    <n v="347"/>
    <n v="51"/>
    <n v="343421"/>
    <d v="1996-10-18T00:00:00"/>
    <s v="OH"/>
    <s v="500/1000"/>
    <n v="500"/>
    <n v="1480.79"/>
    <n v="9000000"/>
    <n v="432399"/>
    <s v="FEMALE"/>
    <s v="MD"/>
    <s v="priv-house-serv"/>
    <s v="board-games"/>
    <s v="unmarried"/>
    <n v="0"/>
    <n v="-12100"/>
    <d v="2015-01-07T00:00:00"/>
    <s v="Single Vehicle Collision"/>
    <s v="Side Collision"/>
    <s v="Total Loss"/>
    <s v="Other"/>
    <x v="5"/>
    <x v="4"/>
    <s v="9070 Tree Ave"/>
    <n v="15"/>
    <n v="1"/>
    <s v="YES"/>
    <n v="0"/>
    <n v="2"/>
    <s v="?"/>
    <n v="103560"/>
    <n v="8630"/>
    <n v="17260"/>
    <n v="77670"/>
    <s v="Jeep"/>
    <s v="Wrangler"/>
    <n v="1997"/>
    <s v="N"/>
    <n v="69.888445731176489"/>
    <n v="-102079.21"/>
    <n v="1.4298722492057821E-2"/>
    <n v="18"/>
    <n v="347"/>
    <x v="0"/>
    <x v="0"/>
  </r>
  <r>
    <n v="163"/>
    <n v="38"/>
    <n v="413192"/>
    <d v="1997-10-02T00:00:00"/>
    <s v="IN"/>
    <s v="500/1000"/>
    <n v="2000"/>
    <n v="1453.92"/>
    <n v="0"/>
    <n v="607605"/>
    <s v="FEMALE"/>
    <s v="PhD"/>
    <s v="other-service"/>
    <s v="yachting"/>
    <s v="other-relative"/>
    <n v="51700"/>
    <n v="0"/>
    <d v="2015-02-21T00:00:00"/>
    <s v="Single Vehicle Collision"/>
    <s v="Side Collision"/>
    <s v="Minor Damage"/>
    <s v="Ambulance"/>
    <x v="2"/>
    <x v="4"/>
    <s v="3900 Texas St"/>
    <n v="13"/>
    <n v="1"/>
    <s v="YES"/>
    <n v="2"/>
    <n v="3"/>
    <s v="?"/>
    <n v="79500"/>
    <n v="15900"/>
    <n v="7950"/>
    <n v="55650"/>
    <s v="Accura"/>
    <s v="MDX"/>
    <n v="1995"/>
    <s v="N"/>
    <n v="54.642179638743023"/>
    <n v="-78046.080000000002"/>
    <n v="1.8288071848152853E-2"/>
    <n v="20"/>
    <n v="163"/>
    <x v="0"/>
    <x v="0"/>
  </r>
  <r>
    <n v="271"/>
    <n v="44"/>
    <n v="247801"/>
    <d v="2008-03-18T00:00:00"/>
    <s v="OH"/>
    <s v="250/500"/>
    <n v="500"/>
    <n v="1340.71"/>
    <n v="0"/>
    <n v="600153"/>
    <s v="FEMALE"/>
    <s v="High School"/>
    <s v="tech-support"/>
    <s v="base-jumping"/>
    <s v="other-relative"/>
    <n v="0"/>
    <n v="0"/>
    <d v="2015-02-14T00:00:00"/>
    <s v="Single Vehicle Collision"/>
    <s v="Rear Collision"/>
    <s v="Minor Damage"/>
    <s v="Other"/>
    <x v="0"/>
    <x v="1"/>
    <s v="9657 5th Ave"/>
    <n v="16"/>
    <n v="1"/>
    <s v="NO"/>
    <n v="2"/>
    <n v="2"/>
    <s v="NO"/>
    <n v="76230"/>
    <n v="6930"/>
    <n v="13860"/>
    <n v="55440"/>
    <s v="Volkswagen"/>
    <s v="Passat"/>
    <n v="1997"/>
    <s v="Y"/>
    <n v="56.815556267747873"/>
    <n v="-74889.289999999994"/>
    <n v="1.7587464417363016E-2"/>
    <n v="18"/>
    <n v="271"/>
    <x v="0"/>
    <x v="0"/>
  </r>
  <r>
    <n v="410"/>
    <n v="54"/>
    <n v="171147"/>
    <d v="2010-08-29T00:00:00"/>
    <s v="IL"/>
    <s v="100/300"/>
    <n v="2000"/>
    <n v="714.03"/>
    <n v="0"/>
    <n v="465979"/>
    <s v="MALE"/>
    <s v="MD"/>
    <s v="protective-serv"/>
    <s v="board-games"/>
    <s v="own-child"/>
    <n v="0"/>
    <n v="-17000"/>
    <d v="2015-02-16T00:00:00"/>
    <s v="Single Vehicle Collision"/>
    <s v="Side Collision"/>
    <s v="Minor Damage"/>
    <s v="Ambulance"/>
    <x v="4"/>
    <x v="5"/>
    <s v="5765 Washington St"/>
    <n v="0"/>
    <n v="1"/>
    <s v="YES"/>
    <n v="0"/>
    <n v="2"/>
    <s v="NO"/>
    <n v="59520"/>
    <n v="9920"/>
    <n v="9920"/>
    <n v="39680"/>
    <s v="Honda"/>
    <s v="Accord"/>
    <n v="2001"/>
    <s v="N"/>
    <n v="83.241262604366256"/>
    <n v="-58805.97"/>
    <n v="1.199627022395457E-2"/>
    <n v="14"/>
    <n v="410"/>
    <x v="0"/>
    <x v="0"/>
  </r>
  <r>
    <n v="448"/>
    <n v="57"/>
    <n v="431283"/>
    <d v="2005-03-31T00:00:00"/>
    <s v="IL"/>
    <s v="100/300"/>
    <n v="2000"/>
    <n v="1376.16"/>
    <n v="0"/>
    <n v="466555"/>
    <s v="FEMALE"/>
    <s v="PhD"/>
    <s v="tech-support"/>
    <s v="hiking"/>
    <s v="own-child"/>
    <n v="38600"/>
    <n v="-50300"/>
    <d v="2015-02-04T00:00:00"/>
    <s v="Multi-vehicle Collision"/>
    <s v="Front Collision"/>
    <s v="Major Damage"/>
    <s v="Police"/>
    <x v="0"/>
    <x v="2"/>
    <s v="5997 Embaracadero Drive"/>
    <n v="10"/>
    <n v="3"/>
    <s v="NO"/>
    <n v="2"/>
    <n v="1"/>
    <s v="?"/>
    <n v="47760"/>
    <n v="5970"/>
    <n v="5970"/>
    <n v="35820"/>
    <s v="Suburu"/>
    <s v="Impreza"/>
    <n v="2013"/>
    <s v="Y"/>
    <n v="34.680066223242029"/>
    <n v="-46383.839999999997"/>
    <n v="2.8813467054709913E-2"/>
    <n v="2"/>
    <n v="448"/>
    <x v="0"/>
    <x v="0"/>
  </r>
  <r>
    <n v="218"/>
    <n v="41"/>
    <n v="461962"/>
    <d v="2013-12-25T00:00:00"/>
    <s v="IL"/>
    <s v="100/300"/>
    <n v="500"/>
    <n v="914.22"/>
    <n v="0"/>
    <n v="444155"/>
    <s v="MALE"/>
    <s v="JD"/>
    <s v="prof-specialty"/>
    <s v="golf"/>
    <s v="wife"/>
    <n v="37900"/>
    <n v="-72900"/>
    <d v="2015-01-22T00:00:00"/>
    <s v="Multi-vehicle Collision"/>
    <s v="Side Collision"/>
    <s v="Total Loss"/>
    <s v="Police"/>
    <x v="2"/>
    <x v="3"/>
    <s v="1738 Solo Lane"/>
    <n v="14"/>
    <n v="3"/>
    <s v="NO"/>
    <n v="2"/>
    <n v="0"/>
    <s v="NO"/>
    <n v="84590"/>
    <n v="15380"/>
    <n v="7690"/>
    <n v="61520"/>
    <s v="Saab"/>
    <n v="93"/>
    <n v="2013"/>
    <s v="N"/>
    <n v="92.425864819387684"/>
    <n v="-83675.78"/>
    <n v="1.0807532716246409E-2"/>
    <n v="2"/>
    <n v="218"/>
    <x v="0"/>
    <x v="0"/>
  </r>
  <r>
    <n v="43"/>
    <n v="38"/>
    <n v="149467"/>
    <d v="2014-03-11T00:00:00"/>
    <s v="OH"/>
    <s v="500/1000"/>
    <n v="1000"/>
    <n v="1601.47"/>
    <n v="0"/>
    <n v="465764"/>
    <s v="MALE"/>
    <s v="PhD"/>
    <s v="handlers-cleaners"/>
    <s v="skydiving"/>
    <s v="other-relative"/>
    <n v="64400"/>
    <n v="0"/>
    <d v="2015-02-15T00:00:00"/>
    <s v="Multi-vehicle Collision"/>
    <s v="Front Collision"/>
    <s v="Total Loss"/>
    <s v="Other"/>
    <x v="0"/>
    <x v="0"/>
    <s v="2903 Weaver Drive"/>
    <n v="1"/>
    <n v="3"/>
    <s v="YES"/>
    <n v="2"/>
    <n v="2"/>
    <s v="?"/>
    <n v="61650"/>
    <n v="6850"/>
    <n v="6850"/>
    <n v="47950"/>
    <s v="Nissan"/>
    <s v="Ultima"/>
    <n v="2006"/>
    <s v="N"/>
    <n v="38.471859067564445"/>
    <n v="-60048.53"/>
    <n v="2.5976383189242672E-2"/>
    <n v="9"/>
    <n v="43"/>
    <x v="0"/>
    <x v="0"/>
  </r>
  <r>
    <n v="33"/>
    <n v="33"/>
    <n v="758740"/>
    <d v="1997-08-04T00:00:00"/>
    <s v="IL"/>
    <s v="500/1000"/>
    <n v="1000"/>
    <n v="1096.79"/>
    <n v="6000000"/>
    <n v="446898"/>
    <s v="FEMALE"/>
    <s v="Associate"/>
    <s v="handlers-cleaners"/>
    <s v="dancing"/>
    <s v="unmarried"/>
    <n v="45500"/>
    <n v="-60600"/>
    <d v="2015-01-07T00:00:00"/>
    <s v="Single Vehicle Collision"/>
    <s v="Rear Collision"/>
    <s v="Major Damage"/>
    <s v="Police"/>
    <x v="1"/>
    <x v="3"/>
    <s v="8926 Texas Ridge"/>
    <n v="16"/>
    <n v="1"/>
    <s v="?"/>
    <n v="2"/>
    <n v="1"/>
    <s v="?"/>
    <n v="81400"/>
    <n v="8140"/>
    <n v="8140"/>
    <n v="65120"/>
    <s v="BMW"/>
    <s v="M5"/>
    <n v="1998"/>
    <s v="N"/>
    <n v="74.148972025615109"/>
    <n v="-80303.210000000006"/>
    <n v="1.3473913096890701E-2"/>
    <n v="17"/>
    <n v="33"/>
    <x v="0"/>
    <x v="0"/>
  </r>
  <r>
    <n v="126"/>
    <n v="34"/>
    <n v="628337"/>
    <d v="2007-11-14T00:00:00"/>
    <s v="IN"/>
    <s v="100/300"/>
    <n v="2000"/>
    <n v="1078.22"/>
    <n v="0"/>
    <n v="453274"/>
    <s v="FEMALE"/>
    <s v="Masters"/>
    <s v="transport-moving"/>
    <s v="camping"/>
    <s v="wife"/>
    <n v="54500"/>
    <n v="0"/>
    <d v="2015-02-23T00:00:00"/>
    <s v="Multi-vehicle Collision"/>
    <s v="Side Collision"/>
    <s v="Major Damage"/>
    <s v="Fire"/>
    <x v="0"/>
    <x v="5"/>
    <s v="4231 3rd Ave"/>
    <n v="2"/>
    <n v="3"/>
    <s v="NO"/>
    <n v="0"/>
    <n v="1"/>
    <s v="YES"/>
    <n v="58410"/>
    <n v="10620"/>
    <n v="5310"/>
    <n v="42480"/>
    <s v="Chevrolet"/>
    <s v="Tahoe"/>
    <n v="2007"/>
    <s v="N"/>
    <n v="54.122421749040974"/>
    <n v="-57331.78"/>
    <n v="1.8459194329835133E-2"/>
    <n v="8"/>
    <n v="126"/>
    <x v="0"/>
    <x v="0"/>
  </r>
  <r>
    <n v="411"/>
    <n v="56"/>
    <n v="574637"/>
    <d v="1992-07-30T00:00:00"/>
    <s v="IL"/>
    <s v="250/500"/>
    <n v="1000"/>
    <n v="1595.28"/>
    <n v="0"/>
    <n v="479320"/>
    <s v="FEMALE"/>
    <s v="College"/>
    <s v="protective-serv"/>
    <s v="exercise"/>
    <s v="other-relative"/>
    <n v="0"/>
    <n v="0"/>
    <d v="2015-01-06T00:00:00"/>
    <s v="Multi-vehicle Collision"/>
    <s v="Side Collision"/>
    <s v="Major Damage"/>
    <s v="Ambulance"/>
    <x v="1"/>
    <x v="3"/>
    <s v="8049 4th St"/>
    <n v="23"/>
    <n v="3"/>
    <s v="?"/>
    <n v="0"/>
    <n v="0"/>
    <s v="?"/>
    <n v="38610"/>
    <n v="3510"/>
    <n v="3510"/>
    <n v="31590"/>
    <s v="Volkswagen"/>
    <s v="Passat"/>
    <n v="2007"/>
    <s v="N"/>
    <n v="24.187485904728494"/>
    <n v="-37014.720000000001"/>
    <n v="4.1316723213591984E-2"/>
    <n v="8"/>
    <n v="411"/>
    <x v="0"/>
    <x v="0"/>
  </r>
  <r>
    <n v="225"/>
    <n v="37"/>
    <n v="373600"/>
    <d v="2000-12-01T00:00:00"/>
    <s v="OH"/>
    <s v="100/300"/>
    <n v="1000"/>
    <n v="1217.8399999999999"/>
    <n v="5000000"/>
    <n v="443462"/>
    <s v="FEMALE"/>
    <s v="High School"/>
    <s v="farming-fishing"/>
    <s v="yachting"/>
    <s v="not-in-family"/>
    <n v="49600"/>
    <n v="0"/>
    <d v="2015-02-07T00:00:00"/>
    <s v="Multi-vehicle Collision"/>
    <s v="Front Collision"/>
    <s v="Minor Damage"/>
    <s v="Fire"/>
    <x v="4"/>
    <x v="6"/>
    <s v="6501 5th Drive"/>
    <n v="19"/>
    <n v="3"/>
    <s v="?"/>
    <n v="2"/>
    <n v="2"/>
    <s v="NO"/>
    <n v="57600"/>
    <n v="9600"/>
    <n v="9600"/>
    <n v="38400"/>
    <s v="Volkswagen"/>
    <s v="Passat"/>
    <n v="2015"/>
    <s v="N"/>
    <n v="47.25804863640839"/>
    <n v="-56382.16"/>
    <n v="2.1142688494991405E-2"/>
    <n v="0"/>
    <n v="225"/>
    <x v="0"/>
    <x v="0"/>
  </r>
  <r>
    <n v="35"/>
    <n v="35"/>
    <n v="930032"/>
    <d v="2002-09-10T00:00:00"/>
    <s v="IL"/>
    <s v="100/300"/>
    <n v="2000"/>
    <n v="1117.42"/>
    <n v="0"/>
    <n v="446158"/>
    <s v="FEMALE"/>
    <s v="PhD"/>
    <s v="protective-serv"/>
    <s v="kayaking"/>
    <s v="not-in-family"/>
    <n v="0"/>
    <n v="-51900"/>
    <d v="2015-02-14T00:00:00"/>
    <s v="Multi-vehicle Collision"/>
    <s v="Side Collision"/>
    <s v="Minor Damage"/>
    <s v="Fire"/>
    <x v="5"/>
    <x v="4"/>
    <s v="7909 Andromedia Hwy"/>
    <n v="23"/>
    <n v="3"/>
    <s v="NO"/>
    <n v="2"/>
    <n v="2"/>
    <s v="NO"/>
    <n v="53190"/>
    <n v="5910"/>
    <n v="11820"/>
    <n v="35460"/>
    <s v="Volkswagen"/>
    <s v="Jetta"/>
    <n v="1996"/>
    <s v="N"/>
    <n v="47.558162407682261"/>
    <n v="-52072.58"/>
    <n v="2.1007689270741293E-2"/>
    <n v="19"/>
    <n v="35"/>
    <x v="0"/>
    <x v="0"/>
  </r>
  <r>
    <n v="460"/>
    <n v="57"/>
    <n v="396590"/>
    <d v="1997-11-07T00:00:00"/>
    <s v="OH"/>
    <s v="100/300"/>
    <n v="2000"/>
    <n v="1567.37"/>
    <n v="0"/>
    <n v="602514"/>
    <s v="FEMALE"/>
    <s v="JD"/>
    <s v="craft-repair"/>
    <s v="skydiving"/>
    <s v="husband"/>
    <n v="62500"/>
    <n v="0"/>
    <d v="2015-02-15T00:00:00"/>
    <s v="Single Vehicle Collision"/>
    <s v="Front Collision"/>
    <s v="Major Damage"/>
    <s v="Other"/>
    <x v="2"/>
    <x v="1"/>
    <s v="5865 Sky Lane"/>
    <n v="10"/>
    <n v="1"/>
    <s v="?"/>
    <n v="2"/>
    <n v="3"/>
    <s v="NO"/>
    <n v="58300"/>
    <n v="5830"/>
    <n v="11660"/>
    <n v="40810"/>
    <s v="Nissan"/>
    <s v="Maxima"/>
    <n v="2014"/>
    <s v="Y"/>
    <n v="37.172350912093449"/>
    <n v="-56732.63"/>
    <n v="2.6884101473388104E-2"/>
    <n v="1"/>
    <n v="460"/>
    <x v="0"/>
    <x v="0"/>
  </r>
  <r>
    <n v="195"/>
    <n v="38"/>
    <n v="238412"/>
    <d v="1993-05-18T00:00:00"/>
    <s v="IL"/>
    <s v="500/1000"/>
    <n v="2000"/>
    <n v="1294.93"/>
    <n v="6000000"/>
    <n v="477356"/>
    <s v="MALE"/>
    <s v="MD"/>
    <s v="tech-support"/>
    <s v="video-games"/>
    <s v="unmarried"/>
    <n v="38000"/>
    <n v="-50300"/>
    <d v="2015-02-14T00:00:00"/>
    <s v="Multi-vehicle Collision"/>
    <s v="Front Collision"/>
    <s v="Minor Damage"/>
    <s v="Ambulance"/>
    <x v="4"/>
    <x v="3"/>
    <s v="1957 Washington Ave"/>
    <n v="12"/>
    <n v="3"/>
    <s v="YES"/>
    <n v="1"/>
    <n v="2"/>
    <s v="NO"/>
    <n v="64620"/>
    <n v="7180"/>
    <n v="0"/>
    <n v="57440"/>
    <s v="Dodge"/>
    <s v="Neon"/>
    <n v="2003"/>
    <s v="N"/>
    <n v="49.86380437214973"/>
    <n v="-63325.07"/>
    <n v="2.0038841862552424E-2"/>
    <n v="12"/>
    <n v="195"/>
    <x v="0"/>
    <x v="0"/>
  </r>
  <r>
    <n v="360"/>
    <n v="51"/>
    <n v="484321"/>
    <d v="1996-07-11T00:00:00"/>
    <s v="IL"/>
    <s v="250/500"/>
    <n v="1000"/>
    <n v="1152.1199999999999"/>
    <n v="0"/>
    <n v="434669"/>
    <s v="MALE"/>
    <s v="PhD"/>
    <s v="armed-forces"/>
    <s v="hiking"/>
    <s v="not-in-family"/>
    <n v="0"/>
    <n v="-62400"/>
    <d v="2015-02-05T00:00:00"/>
    <s v="Multi-vehicle Collision"/>
    <s v="Side Collision"/>
    <s v="Total Loss"/>
    <s v="Ambulance"/>
    <x v="4"/>
    <x v="1"/>
    <s v="7649 Texas St"/>
    <n v="15"/>
    <n v="3"/>
    <s v="NO"/>
    <n v="2"/>
    <n v="0"/>
    <s v="YES"/>
    <n v="90480"/>
    <n v="15080"/>
    <n v="15080"/>
    <n v="60320"/>
    <s v="BMW"/>
    <s v="X6"/>
    <n v="2000"/>
    <s v="N"/>
    <n v="78.465380879700305"/>
    <n v="-89327.88"/>
    <n v="1.2733281020324708E-2"/>
    <n v="15"/>
    <n v="360"/>
    <x v="0"/>
    <x v="0"/>
  </r>
  <r>
    <n v="300"/>
    <n v="49"/>
    <n v="795847"/>
    <d v="1995-12-17T00:00:00"/>
    <s v="IL"/>
    <s v="100/300"/>
    <n v="1000"/>
    <n v="1441.21"/>
    <n v="0"/>
    <n v="609322"/>
    <s v="FEMALE"/>
    <s v="PhD"/>
    <s v="farming-fishing"/>
    <s v="kayaking"/>
    <s v="wife"/>
    <n v="0"/>
    <n v="0"/>
    <d v="2015-01-04T00:00:00"/>
    <s v="Vehicle Theft"/>
    <s v="?"/>
    <s v="Trivial Damage"/>
    <s v="None"/>
    <x v="0"/>
    <x v="0"/>
    <s v="1992 Britain Drive"/>
    <n v="3"/>
    <n v="1"/>
    <s v="NO"/>
    <n v="1"/>
    <n v="0"/>
    <s v="NO"/>
    <n v="7080"/>
    <n v="1180"/>
    <n v="1180"/>
    <n v="4720"/>
    <s v="Nissan"/>
    <s v="Maxima"/>
    <n v="2001"/>
    <s v="N"/>
    <n v="4.9091325119088065"/>
    <n v="-5638.79"/>
    <n v="0.20353198700748482"/>
    <n v="14"/>
    <n v="300"/>
    <x v="1"/>
    <x v="0"/>
  </r>
  <r>
    <n v="245"/>
    <n v="42"/>
    <n v="218456"/>
    <d v="2002-07-16T00:00:00"/>
    <s v="IL"/>
    <s v="500/1000"/>
    <n v="1000"/>
    <n v="1575.74"/>
    <n v="7000000"/>
    <n v="614265"/>
    <s v="MALE"/>
    <s v="JD"/>
    <s v="exec-managerial"/>
    <s v="chess"/>
    <s v="other-relative"/>
    <n v="0"/>
    <n v="-68900"/>
    <d v="2015-02-20T00:00:00"/>
    <s v="Parked Car"/>
    <s v="?"/>
    <s v="Minor Damage"/>
    <s v="Police"/>
    <x v="6"/>
    <x v="3"/>
    <s v="9685 Sky Ridge"/>
    <n v="19"/>
    <n v="1"/>
    <s v="?"/>
    <n v="2"/>
    <n v="2"/>
    <s v="?"/>
    <n v="6490"/>
    <n v="590"/>
    <n v="1180"/>
    <n v="4720"/>
    <s v="Toyota"/>
    <s v="Camry"/>
    <n v="2011"/>
    <s v="Y"/>
    <n v="4.1160876238314499"/>
    <n v="-4914.26"/>
    <n v="0.24275766445848099"/>
    <n v="4"/>
    <n v="245"/>
    <x v="1"/>
    <x v="1"/>
  </r>
  <r>
    <n v="146"/>
    <n v="36"/>
    <n v="792673"/>
    <d v="2013-04-12T00:00:00"/>
    <s v="OH"/>
    <s v="500/1000"/>
    <n v="2000"/>
    <n v="1233.96"/>
    <n v="0"/>
    <n v="606177"/>
    <s v="FEMALE"/>
    <s v="Masters"/>
    <s v="other-service"/>
    <s v="golf"/>
    <s v="other-relative"/>
    <n v="34500"/>
    <n v="-60600"/>
    <d v="2015-02-05T00:00:00"/>
    <s v="Multi-vehicle Collision"/>
    <s v="Side Collision"/>
    <s v="Total Loss"/>
    <s v="Police"/>
    <x v="5"/>
    <x v="4"/>
    <s v="3457 Texas Lane"/>
    <n v="16"/>
    <n v="3"/>
    <s v="NO"/>
    <n v="1"/>
    <n v="1"/>
    <s v="NO"/>
    <n v="55900"/>
    <n v="5590"/>
    <n v="5590"/>
    <n v="44720"/>
    <s v="Nissan"/>
    <s v="Ultima"/>
    <n v="2015"/>
    <s v="N"/>
    <n v="45.264623955431752"/>
    <n v="-54666.04"/>
    <n v="2.2074023720505896E-2"/>
    <n v="0"/>
    <n v="146"/>
    <x v="0"/>
    <x v="0"/>
  </r>
  <r>
    <n v="67"/>
    <n v="29"/>
    <n v="662256"/>
    <d v="1995-11-13T00:00:00"/>
    <s v="IL"/>
    <s v="250/500"/>
    <n v="1000"/>
    <n v="1861.43"/>
    <n v="0"/>
    <n v="461514"/>
    <s v="MALE"/>
    <s v="High School"/>
    <s v="adm-clerical"/>
    <s v="polo"/>
    <s v="husband"/>
    <n v="60400"/>
    <n v="-67800"/>
    <d v="2015-01-15T00:00:00"/>
    <s v="Single Vehicle Collision"/>
    <s v="Rear Collision"/>
    <s v="Major Damage"/>
    <s v="Other"/>
    <x v="0"/>
    <x v="0"/>
    <s v="7693 Cherokee Lane"/>
    <n v="16"/>
    <n v="1"/>
    <s v="NO"/>
    <n v="0"/>
    <n v="3"/>
    <s v="YES"/>
    <n v="63800"/>
    <n v="6380"/>
    <n v="6380"/>
    <n v="51040"/>
    <s v="Saab"/>
    <s v="92x"/>
    <n v="1998"/>
    <s v="Y"/>
    <n v="34.256321042938524"/>
    <n v="-61938.57"/>
    <n v="2.9175561511575056E-2"/>
    <n v="17"/>
    <n v="67"/>
    <x v="0"/>
    <x v="0"/>
  </r>
  <r>
    <n v="380"/>
    <n v="56"/>
    <n v="971338"/>
    <d v="2004-11-04T00:00:00"/>
    <s v="OH"/>
    <s v="100/300"/>
    <n v="1000"/>
    <n v="1570.86"/>
    <n v="0"/>
    <n v="454685"/>
    <s v="MALE"/>
    <s v="MD"/>
    <s v="farming-fishing"/>
    <s v="cross-fit"/>
    <s v="other-relative"/>
    <n v="66000"/>
    <n v="0"/>
    <d v="2015-01-05T00:00:00"/>
    <s v="Single Vehicle Collision"/>
    <s v="Side Collision"/>
    <s v="Total Loss"/>
    <s v="Police"/>
    <x v="1"/>
    <x v="5"/>
    <s v="3167 4th Ridge"/>
    <n v="10"/>
    <n v="1"/>
    <s v="?"/>
    <n v="0"/>
    <n v="1"/>
    <s v="YES"/>
    <n v="58160"/>
    <n v="7270"/>
    <n v="7270"/>
    <n v="43620"/>
    <s v="Saab"/>
    <n v="95"/>
    <n v="1996"/>
    <s v="Y"/>
    <n v="37.000750702988817"/>
    <n v="-56589.14"/>
    <n v="2.7008820343529166E-2"/>
    <n v="19"/>
    <n v="380"/>
    <x v="0"/>
    <x v="0"/>
  </r>
  <r>
    <n v="389"/>
    <n v="53"/>
    <n v="714738"/>
    <d v="1998-03-21T00:00:00"/>
    <s v="IL"/>
    <s v="500/1000"/>
    <n v="2000"/>
    <n v="791.47"/>
    <n v="0"/>
    <n v="477260"/>
    <s v="MALE"/>
    <s v="Masters"/>
    <s v="armed-forces"/>
    <s v="chess"/>
    <s v="unmarried"/>
    <n v="0"/>
    <n v="0"/>
    <d v="2015-01-01T00:00:00"/>
    <s v="Vehicle Theft"/>
    <s v="?"/>
    <s v="Minor Damage"/>
    <s v="Police"/>
    <x v="5"/>
    <x v="1"/>
    <s v="1617 Rock Drive"/>
    <n v="6"/>
    <n v="1"/>
    <s v="NO"/>
    <n v="1"/>
    <n v="2"/>
    <s v="NO"/>
    <n v="6300"/>
    <n v="630"/>
    <n v="1260"/>
    <n v="4410"/>
    <s v="Mercedes"/>
    <s v="C300"/>
    <n v="2001"/>
    <s v="Y"/>
    <n v="7.9498277537320021"/>
    <n v="-5508.53"/>
    <n v="0.12561022059990479"/>
    <n v="14"/>
    <n v="389"/>
    <x v="2"/>
    <x v="0"/>
  </r>
  <r>
    <n v="317"/>
    <n v="46"/>
    <n v="753844"/>
    <d v="1999-07-22T00:00:00"/>
    <s v="IN"/>
    <s v="250/500"/>
    <n v="1000"/>
    <n v="1012.78"/>
    <n v="0"/>
    <n v="469126"/>
    <s v="MALE"/>
    <s v="MD"/>
    <s v="sales"/>
    <s v="yachting"/>
    <s v="other-relative"/>
    <n v="43700"/>
    <n v="0"/>
    <d v="2015-01-26T00:00:00"/>
    <s v="Single Vehicle Collision"/>
    <s v="Front Collision"/>
    <s v="Major Damage"/>
    <s v="Fire"/>
    <x v="4"/>
    <x v="2"/>
    <s v="7877 3rd Ridge"/>
    <n v="18"/>
    <n v="1"/>
    <s v="NO"/>
    <n v="2"/>
    <n v="1"/>
    <s v="NO"/>
    <n v="104610"/>
    <n v="19020"/>
    <n v="19020"/>
    <n v="66570"/>
    <s v="Mercedes"/>
    <s v="ML350"/>
    <n v="1999"/>
    <s v="Y"/>
    <n v="103.18806841721084"/>
    <n v="-103597.22"/>
    <n v="9.6813910583017082E-3"/>
    <n v="16"/>
    <n v="317"/>
    <x v="0"/>
    <x v="0"/>
  </r>
  <r>
    <n v="264"/>
    <n v="44"/>
    <n v="976645"/>
    <d v="2010-02-28T00:00:00"/>
    <s v="IL"/>
    <s v="100/300"/>
    <n v="500"/>
    <n v="1047.06"/>
    <n v="6000000"/>
    <n v="443402"/>
    <s v="MALE"/>
    <s v="College"/>
    <s v="exec-managerial"/>
    <s v="sleeping"/>
    <s v="wife"/>
    <n v="0"/>
    <n v="0"/>
    <d v="2015-02-13T00:00:00"/>
    <s v="Multi-vehicle Collision"/>
    <s v="Rear Collision"/>
    <s v="Major Damage"/>
    <s v="Fire"/>
    <x v="0"/>
    <x v="3"/>
    <s v="9325 Lincoln Drive"/>
    <n v="20"/>
    <n v="3"/>
    <s v="NO"/>
    <n v="0"/>
    <n v="2"/>
    <s v="NO"/>
    <n v="69850"/>
    <n v="12700"/>
    <n v="6350"/>
    <n v="50800"/>
    <s v="Ford"/>
    <s v="Fusion"/>
    <n v="1999"/>
    <s v="N"/>
    <n v="66.646947693834321"/>
    <n v="-68802.94"/>
    <n v="1.4989907087944338E-2"/>
    <n v="16"/>
    <n v="264"/>
    <x v="0"/>
    <x v="0"/>
  </r>
  <r>
    <n v="20"/>
    <n v="21"/>
    <n v="918037"/>
    <d v="2005-01-30T00:00:00"/>
    <s v="OH"/>
    <s v="250/500"/>
    <n v="1000"/>
    <n v="1390.29"/>
    <n v="0"/>
    <n v="479408"/>
    <s v="FEMALE"/>
    <s v="Masters"/>
    <s v="priv-house-serv"/>
    <s v="polo"/>
    <s v="other-relative"/>
    <n v="0"/>
    <n v="-41200"/>
    <d v="2015-01-14T00:00:00"/>
    <s v="Single Vehicle Collision"/>
    <s v="Rear Collision"/>
    <s v="Minor Damage"/>
    <s v="Fire"/>
    <x v="6"/>
    <x v="6"/>
    <s v="5855 Apache St"/>
    <n v="14"/>
    <n v="1"/>
    <s v="NO"/>
    <n v="0"/>
    <n v="0"/>
    <s v="?"/>
    <n v="62900"/>
    <n v="12580"/>
    <n v="6290"/>
    <n v="44030"/>
    <s v="Accura"/>
    <s v="MDX"/>
    <n v="2006"/>
    <s v="N"/>
    <n v="45.209841226487647"/>
    <n v="-61509.71"/>
    <n v="2.2102828253922832E-2"/>
    <n v="9"/>
    <n v="20"/>
    <x v="0"/>
    <x v="0"/>
  </r>
  <r>
    <n v="116"/>
    <n v="30"/>
    <n v="996253"/>
    <d v="2001-11-29T00:00:00"/>
    <s v="IN"/>
    <s v="500/1000"/>
    <n v="500"/>
    <n v="951.46"/>
    <n v="0"/>
    <n v="467227"/>
    <s v="MALE"/>
    <s v="JD"/>
    <s v="handlers-cleaners"/>
    <s v="golf"/>
    <s v="not-in-family"/>
    <n v="0"/>
    <n v="-35500"/>
    <d v="2015-01-31T00:00:00"/>
    <s v="Multi-vehicle Collision"/>
    <s v="Front Collision"/>
    <s v="Major Damage"/>
    <s v="Other"/>
    <x v="4"/>
    <x v="1"/>
    <s v="1328 Texas Lane"/>
    <n v="8"/>
    <n v="3"/>
    <s v="NO"/>
    <n v="0"/>
    <n v="3"/>
    <s v="?"/>
    <n v="59670"/>
    <n v="6630"/>
    <n v="6630"/>
    <n v="46410"/>
    <s v="Volkswagen"/>
    <s v="Passat"/>
    <n v="2004"/>
    <s v="Y"/>
    <n v="62.648300191084139"/>
    <n v="-58718.54"/>
    <n v="1.5945098959293458E-2"/>
    <n v="11"/>
    <n v="116"/>
    <x v="0"/>
    <x v="0"/>
  </r>
  <r>
    <n v="222"/>
    <n v="40"/>
    <n v="373731"/>
    <d v="2012-12-24T00:00:00"/>
    <s v="IL"/>
    <s v="100/300"/>
    <n v="1000"/>
    <n v="1226.78"/>
    <n v="0"/>
    <n v="468433"/>
    <s v="MALE"/>
    <s v="JD"/>
    <s v="armed-forces"/>
    <s v="camping"/>
    <s v="unmarried"/>
    <n v="49600"/>
    <n v="-49200"/>
    <d v="2015-01-22T00:00:00"/>
    <s v="Multi-vehicle Collision"/>
    <s v="Rear Collision"/>
    <s v="Minor Damage"/>
    <s v="Other"/>
    <x v="2"/>
    <x v="3"/>
    <s v="4567 Pine Ave"/>
    <n v="17"/>
    <n v="2"/>
    <s v="YES"/>
    <n v="2"/>
    <n v="0"/>
    <s v="?"/>
    <n v="81500"/>
    <n v="16300"/>
    <n v="8150"/>
    <n v="57050"/>
    <s v="BMW"/>
    <s v="3 Series"/>
    <n v="2013"/>
    <s v="N"/>
    <n v="66.379970352994832"/>
    <n v="-80273.22"/>
    <n v="1.5052330646249739E-2"/>
    <n v="2"/>
    <n v="222"/>
    <x v="0"/>
    <x v="0"/>
  </r>
  <r>
    <n v="439"/>
    <n v="56"/>
    <n v="836272"/>
    <d v="1997-05-11T00:00:00"/>
    <s v="OH"/>
    <s v="100/300"/>
    <n v="500"/>
    <n v="1280.9000000000001"/>
    <n v="0"/>
    <n v="604289"/>
    <s v="MALE"/>
    <s v="High School"/>
    <s v="armed-forces"/>
    <s v="video-games"/>
    <s v="own-child"/>
    <n v="48900"/>
    <n v="-40900"/>
    <d v="2015-01-30T00:00:00"/>
    <s v="Single Vehicle Collision"/>
    <s v="Rear Collision"/>
    <s v="Minor Damage"/>
    <s v="Ambulance"/>
    <x v="5"/>
    <x v="3"/>
    <s v="7575 Pine St"/>
    <n v="9"/>
    <n v="1"/>
    <s v="NO"/>
    <n v="2"/>
    <n v="0"/>
    <s v="?"/>
    <n v="50000"/>
    <n v="15000"/>
    <n v="5000"/>
    <n v="30000"/>
    <s v="Jeep"/>
    <s v="Wrangler"/>
    <n v="2009"/>
    <s v="N"/>
    <n v="39.004602543100084"/>
    <n v="-48719.1"/>
    <n v="2.5617487650246996E-2"/>
    <n v="6"/>
    <n v="439"/>
    <x v="0"/>
    <x v="0"/>
  </r>
  <r>
    <n v="66"/>
    <n v="28"/>
    <n v="167231"/>
    <d v="1994-01-26T00:00:00"/>
    <s v="IN"/>
    <s v="100/300"/>
    <n v="2000"/>
    <n v="1472.77"/>
    <n v="0"/>
    <n v="471366"/>
    <s v="MALE"/>
    <s v="Associate"/>
    <s v="adm-clerical"/>
    <s v="exercise"/>
    <s v="husband"/>
    <n v="0"/>
    <n v="-31700"/>
    <d v="2015-02-17T00:00:00"/>
    <s v="Single Vehicle Collision"/>
    <s v="Front Collision"/>
    <s v="Total Loss"/>
    <s v="Other"/>
    <x v="2"/>
    <x v="3"/>
    <s v="2850 Washington St"/>
    <n v="0"/>
    <n v="1"/>
    <s v="?"/>
    <n v="2"/>
    <n v="1"/>
    <s v="?"/>
    <n v="48290"/>
    <n v="8780"/>
    <n v="8780"/>
    <n v="30730"/>
    <s v="Nissan"/>
    <s v="Maxima"/>
    <n v="1995"/>
    <s v="N"/>
    <n v="32.766306818567351"/>
    <n v="-46817.23"/>
    <n v="3.0497815327907893E-2"/>
    <n v="20"/>
    <n v="66"/>
    <x v="0"/>
    <x v="0"/>
  </r>
  <r>
    <n v="128"/>
    <n v="29"/>
    <n v="743330"/>
    <d v="2010-11-04T00:00:00"/>
    <s v="OH"/>
    <s v="500/1000"/>
    <n v="1000"/>
    <n v="1878.44"/>
    <n v="0"/>
    <n v="450746"/>
    <s v="MALE"/>
    <s v="High School"/>
    <s v="other-service"/>
    <s v="golf"/>
    <s v="husband"/>
    <n v="0"/>
    <n v="-76000"/>
    <d v="2015-02-20T00:00:00"/>
    <s v="Single Vehicle Collision"/>
    <s v="Rear Collision"/>
    <s v="Total Loss"/>
    <s v="Fire"/>
    <x v="1"/>
    <x v="1"/>
    <s v="9169 Cherokee Hwy"/>
    <n v="2"/>
    <n v="1"/>
    <s v="NO"/>
    <n v="0"/>
    <n v="0"/>
    <s v="?"/>
    <n v="59070"/>
    <n v="5370"/>
    <n v="5370"/>
    <n v="48330"/>
    <s v="Chevrolet"/>
    <s v="Malibu"/>
    <n v="2003"/>
    <s v="N"/>
    <n v="31.429574766951855"/>
    <n v="-57191.56"/>
    <n v="3.1799698667704969E-2"/>
    <n v="12"/>
    <n v="128"/>
    <x v="0"/>
    <x v="0"/>
  </r>
  <r>
    <n v="69"/>
    <n v="24"/>
    <n v="807369"/>
    <d v="1992-06-19T00:00:00"/>
    <s v="IN"/>
    <s v="500/1000"/>
    <n v="500"/>
    <n v="1418.5"/>
    <n v="0"/>
    <n v="614948"/>
    <s v="FEMALE"/>
    <s v="High School"/>
    <s v="armed-forces"/>
    <s v="yachting"/>
    <s v="other-relative"/>
    <n v="0"/>
    <n v="0"/>
    <d v="2015-02-04T00:00:00"/>
    <s v="Multi-vehicle Collision"/>
    <s v="Rear Collision"/>
    <s v="Minor Damage"/>
    <s v="Police"/>
    <x v="2"/>
    <x v="3"/>
    <s v="6443 Washington Ridge"/>
    <n v="23"/>
    <n v="3"/>
    <s v="?"/>
    <n v="0"/>
    <n v="0"/>
    <s v="NO"/>
    <n v="63300"/>
    <n v="12660"/>
    <n v="6330"/>
    <n v="44310"/>
    <s v="Dodge"/>
    <s v="RAM"/>
    <n v="2012"/>
    <s v="N"/>
    <n v="44.593166607960548"/>
    <n v="-61881.5"/>
    <n v="2.2408808707603357E-2"/>
    <n v="3"/>
    <n v="69"/>
    <x v="0"/>
    <x v="0"/>
  </r>
  <r>
    <n v="294"/>
    <n v="46"/>
    <n v="735307"/>
    <d v="2010-06-02T00:00:00"/>
    <s v="IL"/>
    <s v="100/300"/>
    <n v="500"/>
    <n v="1532.8"/>
    <n v="0"/>
    <n v="473935"/>
    <s v="MALE"/>
    <s v="College"/>
    <s v="prof-specialty"/>
    <s v="exercise"/>
    <s v="own-child"/>
    <n v="0"/>
    <n v="0"/>
    <d v="2015-02-23T00:00:00"/>
    <s v="Single Vehicle Collision"/>
    <s v="Side Collision"/>
    <s v="Total Loss"/>
    <s v="Other"/>
    <x v="0"/>
    <x v="5"/>
    <s v="6751 5th Hwy"/>
    <n v="8"/>
    <n v="1"/>
    <s v="NO"/>
    <n v="0"/>
    <n v="3"/>
    <s v="YES"/>
    <n v="65780"/>
    <n v="11960"/>
    <n v="11960"/>
    <n v="41860"/>
    <s v="Mercedes"/>
    <s v="ML350"/>
    <n v="2013"/>
    <s v="N"/>
    <n v="42.88694745077585"/>
    <n v="-64247.199999999997"/>
    <n v="2.3301561241087853E-2"/>
    <n v="2"/>
    <n v="294"/>
    <x v="0"/>
    <x v="0"/>
  </r>
  <r>
    <n v="19"/>
    <n v="29"/>
    <n v="789208"/>
    <d v="2002-10-12T00:00:00"/>
    <s v="OH"/>
    <s v="250/500"/>
    <n v="500"/>
    <n v="1304.3499999999999"/>
    <n v="0"/>
    <n v="617267"/>
    <s v="MALE"/>
    <s v="JD"/>
    <s v="transport-moving"/>
    <s v="cross-fit"/>
    <s v="not-in-family"/>
    <n v="0"/>
    <n v="0"/>
    <d v="2015-02-08T00:00:00"/>
    <s v="Multi-vehicle Collision"/>
    <s v="Front Collision"/>
    <s v="Total Loss"/>
    <s v="Ambulance"/>
    <x v="2"/>
    <x v="0"/>
    <s v="2289 Weaver Ridge"/>
    <n v="6"/>
    <n v="3"/>
    <s v="NO"/>
    <n v="0"/>
    <n v="2"/>
    <s v="?"/>
    <n v="75400"/>
    <n v="11600"/>
    <n v="11600"/>
    <n v="52200"/>
    <s v="Dodge"/>
    <s v="Neon"/>
    <n v="2005"/>
    <s v="Y"/>
    <n v="57.762285976941051"/>
    <n v="-74095.649999999994"/>
    <n v="1.7298842190421878E-2"/>
    <n v="10"/>
    <n v="19"/>
    <x v="0"/>
    <x v="0"/>
  </r>
  <r>
    <n v="191"/>
    <n v="33"/>
    <n v="585324"/>
    <d v="2008-02-25T00:00:00"/>
    <s v="OH"/>
    <s v="500/1000"/>
    <n v="2000"/>
    <n v="1551.61"/>
    <n v="0"/>
    <n v="470670"/>
    <s v="MALE"/>
    <s v="High School"/>
    <s v="armed-forces"/>
    <s v="movies"/>
    <s v="unmarried"/>
    <n v="45000"/>
    <n v="-30400"/>
    <d v="2015-02-21T00:00:00"/>
    <s v="Vehicle Theft"/>
    <s v="?"/>
    <s v="Minor Damage"/>
    <s v="None"/>
    <x v="4"/>
    <x v="2"/>
    <s v="8306 1st Drive"/>
    <n v="3"/>
    <n v="1"/>
    <s v="YES"/>
    <n v="1"/>
    <n v="1"/>
    <s v="NO"/>
    <n v="2250"/>
    <n v="250"/>
    <n v="250"/>
    <n v="1750"/>
    <s v="Toyota"/>
    <s v="Corolla"/>
    <n v="2005"/>
    <s v="N"/>
    <n v="1.449172683416956"/>
    <n v="-698.3900000000001"/>
    <n v="0.68929808973789419"/>
    <n v="10"/>
    <n v="191"/>
    <x v="1"/>
    <x v="1"/>
  </r>
  <r>
    <n v="4"/>
    <n v="39"/>
    <n v="498759"/>
    <d v="1996-09-05T00:00:00"/>
    <s v="IL"/>
    <s v="100/300"/>
    <n v="1000"/>
    <n v="1326.98"/>
    <n v="6000000"/>
    <n v="450368"/>
    <s v="FEMALE"/>
    <s v="High School"/>
    <s v="machine-op-inspct"/>
    <s v="reading"/>
    <s v="unmarried"/>
    <n v="64200"/>
    <n v="0"/>
    <d v="2015-01-13T00:00:00"/>
    <s v="Multi-vehicle Collision"/>
    <s v="Front Collision"/>
    <s v="Minor Damage"/>
    <s v="Ambulance"/>
    <x v="1"/>
    <x v="5"/>
    <s v="2603 Andromedia Hwy"/>
    <n v="14"/>
    <n v="3"/>
    <s v="YES"/>
    <n v="1"/>
    <n v="3"/>
    <s v="?"/>
    <n v="54120"/>
    <n v="4510"/>
    <n v="9020"/>
    <n v="40590"/>
    <s v="Jeep"/>
    <s v="Grand Cherokee"/>
    <n v="2007"/>
    <s v="N"/>
    <n v="40.753625807617581"/>
    <n v="-52793.02"/>
    <n v="2.4518763511391144E-2"/>
    <n v="8"/>
    <n v="4"/>
    <x v="0"/>
    <x v="0"/>
  </r>
  <r>
    <n v="298"/>
    <n v="49"/>
    <n v="795004"/>
    <d v="1998-03-16T00:00:00"/>
    <s v="OH"/>
    <s v="250/500"/>
    <n v="500"/>
    <n v="862.92"/>
    <n v="0"/>
    <n v="448809"/>
    <s v="MALE"/>
    <s v="MD"/>
    <s v="machine-op-inspct"/>
    <s v="camping"/>
    <s v="wife"/>
    <n v="0"/>
    <n v="-71700"/>
    <d v="2015-01-17T00:00:00"/>
    <s v="Multi-vehicle Collision"/>
    <s v="Side Collision"/>
    <s v="Major Damage"/>
    <s v="Other"/>
    <x v="2"/>
    <x v="6"/>
    <s v="6479 Francis Ave"/>
    <n v="16"/>
    <n v="3"/>
    <s v="NO"/>
    <n v="0"/>
    <n v="2"/>
    <s v="NO"/>
    <n v="69480"/>
    <n v="11580"/>
    <n v="11580"/>
    <n v="46320"/>
    <s v="Saab"/>
    <n v="95"/>
    <n v="2007"/>
    <s v="N"/>
    <n v="80.424113343828139"/>
    <n v="-68617.08"/>
    <n v="1.2419510369741368E-2"/>
    <n v="8"/>
    <n v="298"/>
    <x v="0"/>
    <x v="0"/>
  </r>
  <r>
    <n v="231"/>
    <n v="43"/>
    <n v="203250"/>
    <d v="2010-04-22T00:00:00"/>
    <s v="IN"/>
    <s v="100/300"/>
    <n v="2000"/>
    <n v="1331.69"/>
    <n v="0"/>
    <n v="469653"/>
    <s v="FEMALE"/>
    <s v="Masters"/>
    <s v="adm-clerical"/>
    <s v="reading"/>
    <s v="not-in-family"/>
    <n v="0"/>
    <n v="0"/>
    <d v="2015-02-18T00:00:00"/>
    <s v="Single Vehicle Collision"/>
    <s v="Rear Collision"/>
    <s v="Minor Damage"/>
    <s v="Police"/>
    <x v="2"/>
    <x v="5"/>
    <s v="6428 Andromedia Lane"/>
    <n v="12"/>
    <n v="1"/>
    <s v="?"/>
    <n v="1"/>
    <n v="2"/>
    <s v="NO"/>
    <n v="66950"/>
    <n v="10300"/>
    <n v="10300"/>
    <n v="46350"/>
    <s v="Chevrolet"/>
    <s v="Malibu"/>
    <n v="2015"/>
    <s v="N"/>
    <n v="50.236739226676868"/>
    <n v="-65618.31"/>
    <n v="1.9890516945228601E-2"/>
    <n v="0"/>
    <n v="231"/>
    <x v="0"/>
    <x v="0"/>
  </r>
  <r>
    <n v="338"/>
    <n v="47"/>
    <n v="430794"/>
    <d v="2008-01-25T00:00:00"/>
    <s v="OH"/>
    <s v="250/500"/>
    <n v="2000"/>
    <n v="1486.04"/>
    <n v="0"/>
    <n v="615688"/>
    <s v="FEMALE"/>
    <s v="Associate"/>
    <s v="armed-forces"/>
    <s v="board-games"/>
    <s v="own-child"/>
    <n v="0"/>
    <n v="-56200"/>
    <d v="2015-01-14T00:00:00"/>
    <s v="Multi-vehicle Collision"/>
    <s v="Rear Collision"/>
    <s v="Major Damage"/>
    <s v="Other"/>
    <x v="3"/>
    <x v="6"/>
    <s v="9081 Cherokee Hwy"/>
    <n v="1"/>
    <n v="3"/>
    <s v="NO"/>
    <n v="2"/>
    <n v="3"/>
    <s v="?"/>
    <n v="64100"/>
    <n v="12820"/>
    <n v="6410"/>
    <n v="44870"/>
    <s v="Dodge"/>
    <s v="RAM"/>
    <n v="2014"/>
    <s v="Y"/>
    <n v="43.105767161609641"/>
    <n v="-62613.96"/>
    <n v="2.3182789660067704E-2"/>
    <n v="1"/>
    <n v="338"/>
    <x v="0"/>
    <x v="0"/>
  </r>
  <r>
    <n v="261"/>
    <n v="46"/>
    <n v="156636"/>
    <d v="2000-09-10T00:00:00"/>
    <s v="IN"/>
    <s v="100/300"/>
    <n v="1000"/>
    <n v="870.55"/>
    <n v="0"/>
    <n v="465631"/>
    <s v="MALE"/>
    <s v="PhD"/>
    <s v="prof-specialty"/>
    <s v="camping"/>
    <s v="unmarried"/>
    <n v="0"/>
    <n v="-49400"/>
    <d v="2015-01-27T00:00:00"/>
    <s v="Single Vehicle Collision"/>
    <s v="Rear Collision"/>
    <s v="Minor Damage"/>
    <s v="Other"/>
    <x v="0"/>
    <x v="3"/>
    <s v="1532 Washington St"/>
    <n v="19"/>
    <n v="1"/>
    <s v="?"/>
    <n v="0"/>
    <n v="3"/>
    <s v="?"/>
    <n v="80280"/>
    <n v="13380"/>
    <n v="13380"/>
    <n v="53520"/>
    <s v="Chevrolet"/>
    <s v="Tahoe"/>
    <n v="2013"/>
    <s v="N"/>
    <n v="92.111754919396489"/>
    <n v="-79409.45"/>
    <n v="1.0843786200969095E-2"/>
    <n v="2"/>
    <n v="261"/>
    <x v="0"/>
    <x v="0"/>
  </r>
  <r>
    <n v="321"/>
    <n v="44"/>
    <n v="284143"/>
    <d v="2008-04-23T00:00:00"/>
    <s v="IL"/>
    <s v="500/1000"/>
    <n v="2000"/>
    <n v="1344.56"/>
    <n v="6000000"/>
    <n v="443344"/>
    <s v="MALE"/>
    <s v="Associate"/>
    <s v="machine-op-inspct"/>
    <s v="hiking"/>
    <s v="husband"/>
    <n v="0"/>
    <n v="-39100"/>
    <d v="2015-02-12T00:00:00"/>
    <s v="Vehicle Theft"/>
    <s v="?"/>
    <s v="Trivial Damage"/>
    <s v="Police"/>
    <x v="2"/>
    <x v="5"/>
    <s v="4625 MLK Drive"/>
    <n v="7"/>
    <n v="1"/>
    <s v="?"/>
    <n v="1"/>
    <n v="2"/>
    <s v="NO"/>
    <n v="4680"/>
    <n v="520"/>
    <n v="0"/>
    <n v="4160"/>
    <s v="Accura"/>
    <s v="MDX"/>
    <n v="1999"/>
    <s v="N"/>
    <n v="3.4781057700882907"/>
    <n v="-3335.44"/>
    <n v="0.28723776970732751"/>
    <n v="16"/>
    <n v="321"/>
    <x v="1"/>
    <x v="1"/>
  </r>
  <r>
    <n v="0"/>
    <n v="32"/>
    <n v="740518"/>
    <d v="2011-02-18T00:00:00"/>
    <s v="OH"/>
    <s v="500/1000"/>
    <n v="1000"/>
    <n v="1377.04"/>
    <n v="0"/>
    <n v="441363"/>
    <s v="MALE"/>
    <s v="College"/>
    <s v="tech-support"/>
    <s v="base-jumping"/>
    <s v="wife"/>
    <n v="61400"/>
    <n v="-41100"/>
    <d v="2015-01-17T00:00:00"/>
    <s v="Multi-vehicle Collision"/>
    <s v="Rear Collision"/>
    <s v="Minor Damage"/>
    <s v="Ambulance"/>
    <x v="2"/>
    <x v="3"/>
    <s v="1529 Elm Ridge"/>
    <n v="6"/>
    <n v="4"/>
    <s v="?"/>
    <n v="1"/>
    <n v="1"/>
    <s v="NO"/>
    <n v="39720"/>
    <n v="6620"/>
    <n v="6620"/>
    <n v="26480"/>
    <s v="Accura"/>
    <s v="MDX"/>
    <n v="2002"/>
    <s v="N"/>
    <n v="28.823546486313894"/>
    <n v="-38342.959999999999"/>
    <n v="3.4667807960524662E-2"/>
    <n v="13"/>
    <n v="0"/>
    <x v="0"/>
    <x v="0"/>
  </r>
  <r>
    <n v="405"/>
    <n v="58"/>
    <n v="445289"/>
    <d v="2012-04-24T00:00:00"/>
    <s v="IL"/>
    <s v="250/500"/>
    <n v="500"/>
    <n v="1237.8800000000001"/>
    <n v="0"/>
    <n v="462683"/>
    <s v="MALE"/>
    <s v="MD"/>
    <s v="exec-managerial"/>
    <s v="exercise"/>
    <s v="not-in-family"/>
    <n v="0"/>
    <n v="-46900"/>
    <d v="2015-01-13T00:00:00"/>
    <s v="Single Vehicle Collision"/>
    <s v="Front Collision"/>
    <s v="Major Damage"/>
    <s v="Police"/>
    <x v="2"/>
    <x v="2"/>
    <s v="2086 Francis Drive"/>
    <n v="11"/>
    <n v="1"/>
    <s v="?"/>
    <n v="0"/>
    <n v="0"/>
    <s v="?"/>
    <n v="63580"/>
    <n v="5780"/>
    <n v="5780"/>
    <n v="52020"/>
    <s v="Mercedes"/>
    <s v="ML350"/>
    <n v="1997"/>
    <s v="Y"/>
    <n v="51.320547591372851"/>
    <n v="-62342.12"/>
    <n v="1.9469338324342181E-2"/>
    <n v="18"/>
    <n v="405"/>
    <x v="0"/>
    <x v="0"/>
  </r>
  <r>
    <n v="304"/>
    <n v="49"/>
    <n v="599262"/>
    <d v="2001-09-25T00:00:00"/>
    <s v="IN"/>
    <s v="100/300"/>
    <n v="1000"/>
    <n v="1525.86"/>
    <n v="0"/>
    <n v="463184"/>
    <s v="FEMALE"/>
    <s v="PhD"/>
    <s v="craft-repair"/>
    <s v="camping"/>
    <s v="own-child"/>
    <n v="0"/>
    <n v="0"/>
    <d v="2015-01-21T00:00:00"/>
    <s v="Single Vehicle Collision"/>
    <s v="Side Collision"/>
    <s v="Minor Damage"/>
    <s v="Other"/>
    <x v="5"/>
    <x v="5"/>
    <s v="9066 Best Ridge"/>
    <n v="2"/>
    <n v="1"/>
    <s v="YES"/>
    <n v="1"/>
    <n v="1"/>
    <s v="YES"/>
    <n v="73370"/>
    <n v="13340"/>
    <n v="6670"/>
    <n v="53360"/>
    <s v="Saab"/>
    <n v="95"/>
    <n v="2013"/>
    <s v="N"/>
    <n v="48.052866667539924"/>
    <n v="-71844.14"/>
    <n v="2.0796499979555953E-2"/>
    <n v="2"/>
    <n v="304"/>
    <x v="0"/>
    <x v="0"/>
  </r>
  <r>
    <n v="1"/>
    <n v="29"/>
    <n v="357949"/>
    <d v="2006-05-24T00:00:00"/>
    <s v="OH"/>
    <s v="500/1000"/>
    <n v="500"/>
    <n v="854.58"/>
    <n v="0"/>
    <n v="612826"/>
    <s v="FEMALE"/>
    <s v="JD"/>
    <s v="craft-repair"/>
    <s v="paintball"/>
    <s v="other-relative"/>
    <n v="52200"/>
    <n v="0"/>
    <d v="2015-01-01T00:00:00"/>
    <s v="Single Vehicle Collision"/>
    <s v="Side Collision"/>
    <s v="Minor Damage"/>
    <s v="Police"/>
    <x v="0"/>
    <x v="6"/>
    <s v="7178 Best Drive"/>
    <n v="15"/>
    <n v="1"/>
    <s v="?"/>
    <n v="2"/>
    <n v="3"/>
    <s v="YES"/>
    <n v="86790"/>
    <n v="7890"/>
    <n v="23670"/>
    <n v="55230"/>
    <s v="Honda"/>
    <s v="CRV"/>
    <n v="2003"/>
    <s v="N"/>
    <n v="101.43995885831833"/>
    <n v="-85935.42"/>
    <n v="9.8464126464725618E-3"/>
    <n v="12"/>
    <n v="1"/>
    <x v="0"/>
    <x v="0"/>
  </r>
  <r>
    <n v="26"/>
    <n v="39"/>
    <n v="493161"/>
    <d v="1992-01-30T00:00:00"/>
    <s v="IN"/>
    <s v="250/500"/>
    <n v="1000"/>
    <n v="770.76"/>
    <n v="0"/>
    <n v="433155"/>
    <s v="MALE"/>
    <s v="Masters"/>
    <s v="tech-support"/>
    <s v="sleeping"/>
    <s v="husband"/>
    <n v="0"/>
    <n v="-53700"/>
    <d v="2015-02-18T00:00:00"/>
    <s v="Single Vehicle Collision"/>
    <s v="Side Collision"/>
    <s v="Major Damage"/>
    <s v="Police"/>
    <x v="4"/>
    <x v="0"/>
    <s v="9821 Francis Ave"/>
    <n v="0"/>
    <n v="1"/>
    <s v="NO"/>
    <n v="0"/>
    <n v="2"/>
    <s v="?"/>
    <n v="49800"/>
    <n v="9960"/>
    <n v="4980"/>
    <n v="34860"/>
    <s v="Mercedes"/>
    <s v="ML350"/>
    <n v="2015"/>
    <s v="N"/>
    <n v="64.527832486783453"/>
    <n v="-49029.24"/>
    <n v="1.5476797654665569E-2"/>
    <n v="0"/>
    <n v="26"/>
    <x v="0"/>
    <x v="0"/>
  </r>
  <r>
    <n v="202"/>
    <n v="38"/>
    <n v="320251"/>
    <d v="2009-01-24T00:00:00"/>
    <s v="IL"/>
    <s v="100/300"/>
    <n v="2000"/>
    <n v="1132.74"/>
    <n v="0"/>
    <n v="616120"/>
    <s v="FEMALE"/>
    <s v="Associate"/>
    <s v="armed-forces"/>
    <s v="exercise"/>
    <s v="husband"/>
    <n v="0"/>
    <n v="-37500"/>
    <d v="2015-02-04T00:00:00"/>
    <s v="Single Vehicle Collision"/>
    <s v="Side Collision"/>
    <s v="Major Damage"/>
    <s v="Other"/>
    <x v="4"/>
    <x v="4"/>
    <s v="7061 Cherokee Drive"/>
    <n v="12"/>
    <n v="1"/>
    <s v="YES"/>
    <n v="1"/>
    <n v="1"/>
    <s v="NO"/>
    <n v="77440"/>
    <n v="7040"/>
    <n v="14080"/>
    <n v="56320"/>
    <s v="Nissan"/>
    <s v="Ultima"/>
    <n v="2005"/>
    <s v="N"/>
    <n v="68.304902358565457"/>
    <n v="-76307.259999999995"/>
    <n v="1.4627135496700715E-2"/>
    <n v="10"/>
    <n v="202"/>
    <x v="0"/>
    <x v="0"/>
  </r>
  <r>
    <n v="289"/>
    <n v="48"/>
    <n v="231127"/>
    <d v="1995-08-29T00:00:00"/>
    <s v="IL"/>
    <s v="500/1000"/>
    <n v="500"/>
    <n v="1173.3699999999999"/>
    <n v="8000000"/>
    <n v="461744"/>
    <s v="FEMALE"/>
    <s v="PhD"/>
    <s v="handlers-cleaners"/>
    <s v="board-games"/>
    <s v="own-child"/>
    <n v="0"/>
    <n v="-42700"/>
    <d v="2015-01-09T00:00:00"/>
    <s v="Single Vehicle Collision"/>
    <s v="Front Collision"/>
    <s v="Total Loss"/>
    <s v="Other"/>
    <x v="0"/>
    <x v="3"/>
    <s v="1325 1st Lane"/>
    <n v="1"/>
    <n v="1"/>
    <s v="?"/>
    <n v="1"/>
    <n v="0"/>
    <s v="?"/>
    <n v="42900"/>
    <n v="8580"/>
    <n v="0"/>
    <n v="34320"/>
    <s v="Accura"/>
    <s v="TL"/>
    <n v="1999"/>
    <s v="N"/>
    <n v="36.530224716230833"/>
    <n v="-41726.629999999997"/>
    <n v="2.7350644507121043E-2"/>
    <n v="16"/>
    <n v="289"/>
    <x v="0"/>
    <x v="0"/>
  </r>
  <r>
    <n v="61"/>
    <n v="26"/>
    <n v="766193"/>
    <d v="2011-07-31T00:00:00"/>
    <s v="OH"/>
    <s v="100/300"/>
    <n v="2000"/>
    <n v="1188.28"/>
    <n v="6000000"/>
    <n v="475916"/>
    <s v="FEMALE"/>
    <s v="JD"/>
    <s v="farming-fishing"/>
    <s v="skydiving"/>
    <s v="wife"/>
    <n v="0"/>
    <n v="-53800"/>
    <d v="2015-02-14T00:00:00"/>
    <s v="Multi-vehicle Collision"/>
    <s v="Rear Collision"/>
    <s v="Major Damage"/>
    <s v="Fire"/>
    <x v="1"/>
    <x v="4"/>
    <s v="3769 Sky St"/>
    <n v="16"/>
    <n v="2"/>
    <s v="YES"/>
    <n v="1"/>
    <n v="0"/>
    <s v="NO"/>
    <n v="53820"/>
    <n v="11960"/>
    <n v="5980"/>
    <n v="35880"/>
    <s v="Ford"/>
    <s v="F150"/>
    <n v="2015"/>
    <s v="Y"/>
    <n v="45.254271491995155"/>
    <n v="-52631.72"/>
    <n v="2.2078370896118613E-2"/>
    <n v="0"/>
    <n v="61"/>
    <x v="0"/>
    <x v="0"/>
  </r>
  <r>
    <n v="334"/>
    <n v="46"/>
    <n v="555374"/>
    <d v="2013-01-05T00:00:00"/>
    <s v="IL"/>
    <s v="100/300"/>
    <n v="1000"/>
    <n v="876.88"/>
    <n v="6000000"/>
    <n v="454434"/>
    <s v="MALE"/>
    <s v="MD"/>
    <s v="sales"/>
    <s v="reading"/>
    <s v="other-relative"/>
    <n v="0"/>
    <n v="0"/>
    <d v="2015-01-03T00:00:00"/>
    <s v="Single Vehicle Collision"/>
    <s v="Rear Collision"/>
    <s v="Minor Damage"/>
    <s v="Police"/>
    <x v="4"/>
    <x v="4"/>
    <s v="8489 Pine Hwy"/>
    <n v="2"/>
    <n v="1"/>
    <s v="NO"/>
    <n v="2"/>
    <n v="1"/>
    <s v="NO"/>
    <n v="57330"/>
    <n v="12740"/>
    <n v="6370"/>
    <n v="38220"/>
    <s v="Jeep"/>
    <s v="Grand Cherokee"/>
    <n v="1998"/>
    <s v="N"/>
    <n v="65.305053082425843"/>
    <n v="-56453.120000000003"/>
    <n v="1.5295041077253144E-2"/>
    <n v="17"/>
    <n v="334"/>
    <x v="0"/>
    <x v="0"/>
  </r>
  <r>
    <n v="12"/>
    <n v="24"/>
    <n v="491484"/>
    <d v="1994-11-18T00:00:00"/>
    <s v="IL"/>
    <s v="500/1000"/>
    <n v="1000"/>
    <n v="1143.95"/>
    <n v="0"/>
    <n v="464353"/>
    <s v="FEMALE"/>
    <s v="PhD"/>
    <s v="tech-support"/>
    <s v="paintball"/>
    <s v="other-relative"/>
    <n v="51400"/>
    <n v="0"/>
    <d v="2015-02-04T00:00:00"/>
    <s v="Multi-vehicle Collision"/>
    <s v="Rear Collision"/>
    <s v="Minor Damage"/>
    <s v="Police"/>
    <x v="2"/>
    <x v="1"/>
    <s v="6329 Apache Ave"/>
    <n v="13"/>
    <n v="3"/>
    <s v="NO"/>
    <n v="2"/>
    <n v="1"/>
    <s v="?"/>
    <n v="53370"/>
    <n v="5930"/>
    <n v="5930"/>
    <n v="41510"/>
    <s v="Nissan"/>
    <s v="Ultima"/>
    <n v="2011"/>
    <s v="N"/>
    <n v="46.613389230970782"/>
    <n v="-52226.05"/>
    <n v="2.1433924790616628E-2"/>
    <n v="4"/>
    <n v="12"/>
    <x v="0"/>
    <x v="0"/>
  </r>
  <r>
    <n v="86"/>
    <n v="29"/>
    <n v="925128"/>
    <d v="2014-08-30T00:00:00"/>
    <s v="IL"/>
    <s v="100/300"/>
    <n v="2000"/>
    <n v="1409.06"/>
    <n v="0"/>
    <n v="610302"/>
    <s v="MALE"/>
    <s v="High School"/>
    <s v="prof-specialty"/>
    <s v="yachting"/>
    <s v="husband"/>
    <n v="74200"/>
    <n v="-68100"/>
    <d v="2015-01-30T00:00:00"/>
    <s v="Single Vehicle Collision"/>
    <s v="Front Collision"/>
    <s v="Minor Damage"/>
    <s v="Police"/>
    <x v="2"/>
    <x v="6"/>
    <s v="9293 Pine Lane"/>
    <n v="0"/>
    <n v="1"/>
    <s v="NO"/>
    <n v="2"/>
    <n v="2"/>
    <s v="YES"/>
    <n v="62920"/>
    <n v="9680"/>
    <n v="14520"/>
    <n v="38720"/>
    <s v="Accura"/>
    <s v="MDX"/>
    <n v="2005"/>
    <s v="N"/>
    <n v="44.622214657532304"/>
    <n v="-61510.94"/>
    <n v="2.2394113253126936E-2"/>
    <n v="10"/>
    <n v="86"/>
    <x v="0"/>
    <x v="0"/>
  </r>
  <r>
    <n v="83"/>
    <n v="24"/>
    <n v="265093"/>
    <d v="2006-01-01T00:00:00"/>
    <s v="IN"/>
    <s v="500/1000"/>
    <n v="1000"/>
    <n v="1070.6300000000001"/>
    <n v="0"/>
    <n v="462106"/>
    <s v="FEMALE"/>
    <s v="High School"/>
    <s v="machine-op-inspct"/>
    <s v="board-games"/>
    <s v="unmarried"/>
    <n v="0"/>
    <n v="0"/>
    <d v="2015-02-20T00:00:00"/>
    <s v="Multi-vehicle Collision"/>
    <s v="Front Collision"/>
    <s v="Total Loss"/>
    <s v="Fire"/>
    <x v="2"/>
    <x v="2"/>
    <s v="9224 Sky Drive"/>
    <n v="0"/>
    <n v="3"/>
    <s v="?"/>
    <n v="0"/>
    <n v="1"/>
    <s v="NO"/>
    <n v="61600"/>
    <n v="6160"/>
    <n v="12320"/>
    <n v="43120"/>
    <s v="Honda"/>
    <s v="CRV"/>
    <n v="2003"/>
    <s v="N"/>
    <n v="57.482526618329082"/>
    <n v="-60529.37"/>
    <n v="1.738007499878249E-2"/>
    <n v="12"/>
    <n v="83"/>
    <x v="0"/>
    <x v="0"/>
  </r>
  <r>
    <n v="126"/>
    <n v="30"/>
    <n v="267808"/>
    <d v="1998-09-10T00:00:00"/>
    <s v="IL"/>
    <s v="500/1000"/>
    <n v="2000"/>
    <n v="916.13"/>
    <n v="0"/>
    <n v="431389"/>
    <s v="MALE"/>
    <s v="College"/>
    <s v="sales"/>
    <s v="golf"/>
    <s v="unmarried"/>
    <n v="55300"/>
    <n v="-58400"/>
    <d v="2015-01-07T00:00:00"/>
    <s v="Multi-vehicle Collision"/>
    <s v="Rear Collision"/>
    <s v="Total Loss"/>
    <s v="Police"/>
    <x v="2"/>
    <x v="5"/>
    <s v="8862 Maple Ridge"/>
    <n v="16"/>
    <n v="3"/>
    <s v="YES"/>
    <n v="2"/>
    <n v="0"/>
    <s v="NO"/>
    <n v="74160"/>
    <n v="6180"/>
    <n v="12360"/>
    <n v="55620"/>
    <s v="Mercedes"/>
    <s v="E400"/>
    <n v="2002"/>
    <s v="N"/>
    <n v="80.86094664878479"/>
    <n v="-73243.87"/>
    <n v="1.2353258451207508E-2"/>
    <n v="13"/>
    <n v="126"/>
    <x v="0"/>
    <x v="0"/>
  </r>
  <r>
    <n v="209"/>
    <n v="38"/>
    <n v="116735"/>
    <d v="2010-01-28T00:00:00"/>
    <s v="OH"/>
    <s v="250/500"/>
    <n v="500"/>
    <n v="1191.5"/>
    <n v="0"/>
    <n v="442866"/>
    <s v="MALE"/>
    <s v="High School"/>
    <s v="priv-house-serv"/>
    <s v="reading"/>
    <s v="husband"/>
    <n v="38600"/>
    <n v="-52900"/>
    <d v="2015-01-31T00:00:00"/>
    <s v="Single Vehicle Collision"/>
    <s v="Rear Collision"/>
    <s v="Total Loss"/>
    <s v="Police"/>
    <x v="4"/>
    <x v="2"/>
    <s v="3492 Flute Lane"/>
    <n v="8"/>
    <n v="1"/>
    <s v="NO"/>
    <n v="2"/>
    <n v="0"/>
    <s v="?"/>
    <n v="80100"/>
    <n v="8900"/>
    <n v="8900"/>
    <n v="62300"/>
    <s v="Audi"/>
    <s v="A3"/>
    <n v="2015"/>
    <s v="N"/>
    <n v="67.169811320754718"/>
    <n v="-78908.5"/>
    <n v="1.4874970349933209E-2"/>
    <n v="0"/>
    <n v="209"/>
    <x v="0"/>
    <x v="0"/>
  </r>
  <r>
    <n v="283"/>
    <n v="48"/>
    <n v="963680"/>
    <d v="2003-01-04T00:00:00"/>
    <s v="OH"/>
    <s v="500/1000"/>
    <n v="1000"/>
    <n v="1474.66"/>
    <n v="0"/>
    <n v="446755"/>
    <s v="FEMALE"/>
    <s v="JD"/>
    <s v="sales"/>
    <s v="paintball"/>
    <s v="husband"/>
    <n v="0"/>
    <n v="-46200"/>
    <d v="2015-02-17T00:00:00"/>
    <s v="Parked Car"/>
    <s v="?"/>
    <s v="Trivial Damage"/>
    <s v="Police"/>
    <x v="2"/>
    <x v="4"/>
    <s v="6484 Tree Drive"/>
    <n v="9"/>
    <n v="1"/>
    <s v="?"/>
    <n v="2"/>
    <n v="3"/>
    <s v="NO"/>
    <n v="6560"/>
    <n v="820"/>
    <n v="820"/>
    <n v="4920"/>
    <s v="Volkswagen"/>
    <s v="Jetta"/>
    <n v="2003"/>
    <s v="N"/>
    <n v="4.445468468346367"/>
    <n v="-5085.34"/>
    <n v="0.22476146928821827"/>
    <n v="12"/>
    <n v="283"/>
    <x v="1"/>
    <x v="0"/>
  </r>
  <r>
    <n v="194"/>
    <n v="34"/>
    <n v="445694"/>
    <d v="2004-05-24T00:00:00"/>
    <s v="IL"/>
    <s v="250/500"/>
    <n v="1000"/>
    <n v="1193.45"/>
    <n v="0"/>
    <n v="464743"/>
    <s v="MALE"/>
    <s v="JD"/>
    <s v="other-service"/>
    <s v="hiking"/>
    <s v="not-in-family"/>
    <n v="0"/>
    <n v="0"/>
    <d v="2015-01-24T00:00:00"/>
    <s v="Single Vehicle Collision"/>
    <s v="Rear Collision"/>
    <s v="Total Loss"/>
    <s v="Ambulance"/>
    <x v="4"/>
    <x v="5"/>
    <s v="4554 Sky Ave"/>
    <n v="11"/>
    <n v="1"/>
    <s v="?"/>
    <n v="2"/>
    <n v="1"/>
    <s v="YES"/>
    <n v="58800"/>
    <n v="11760"/>
    <n v="5880"/>
    <n v="41160"/>
    <s v="Nissan"/>
    <s v="Pathfinder"/>
    <n v="1997"/>
    <s v="N"/>
    <n v="49.227678010799949"/>
    <n v="-57606.55"/>
    <n v="2.0296423530212073E-2"/>
    <n v="18"/>
    <n v="194"/>
    <x v="0"/>
    <x v="0"/>
  </r>
  <r>
    <n v="184"/>
    <n v="38"/>
    <n v="215534"/>
    <d v="1994-09-12T00:00:00"/>
    <s v="IL"/>
    <s v="250/500"/>
    <n v="1000"/>
    <n v="1437.53"/>
    <n v="0"/>
    <n v="437889"/>
    <s v="FEMALE"/>
    <s v="College"/>
    <s v="transport-moving"/>
    <s v="chess"/>
    <s v="not-in-family"/>
    <n v="0"/>
    <n v="0"/>
    <d v="2015-02-02T00:00:00"/>
    <s v="Multi-vehicle Collision"/>
    <s v="Side Collision"/>
    <s v="Minor Damage"/>
    <s v="Ambulance"/>
    <x v="6"/>
    <x v="6"/>
    <s v="5201 Texas Hwy"/>
    <n v="6"/>
    <n v="3"/>
    <s v="?"/>
    <n v="0"/>
    <n v="2"/>
    <s v="NO"/>
    <n v="53730"/>
    <n v="11940"/>
    <n v="5970"/>
    <n v="35820"/>
    <s v="Dodge"/>
    <s v="RAM"/>
    <n v="2013"/>
    <s v="Y"/>
    <n v="37.35062876686618"/>
    <n v="-52292.47"/>
    <n v="2.6754201485176154E-2"/>
    <n v="2"/>
    <n v="184"/>
    <x v="0"/>
    <x v="0"/>
  </r>
  <r>
    <n v="479"/>
    <n v="60"/>
    <n v="232854"/>
    <d v="1997-07-07T00:00:00"/>
    <s v="IL"/>
    <s v="100/300"/>
    <n v="2000"/>
    <n v="1304.83"/>
    <n v="0"/>
    <n v="473638"/>
    <s v="FEMALE"/>
    <s v="College"/>
    <s v="other-service"/>
    <s v="cross-fit"/>
    <s v="husband"/>
    <n v="0"/>
    <n v="0"/>
    <d v="2015-01-09T00:00:00"/>
    <s v="Single Vehicle Collision"/>
    <s v="Rear Collision"/>
    <s v="Total Loss"/>
    <s v="Ambulance"/>
    <x v="2"/>
    <x v="2"/>
    <s v="3982 Weaver Lane"/>
    <n v="18"/>
    <n v="1"/>
    <s v="NO"/>
    <n v="0"/>
    <n v="0"/>
    <s v="NO"/>
    <n v="60600"/>
    <n v="5050"/>
    <n v="10100"/>
    <n v="45450"/>
    <s v="Honda"/>
    <s v="Civic"/>
    <n v="2001"/>
    <s v="N"/>
    <n v="46.407265876875243"/>
    <n v="-59295.17"/>
    <n v="2.1531492879655448E-2"/>
    <n v="14"/>
    <n v="479"/>
    <x v="0"/>
    <x v="0"/>
  </r>
  <r>
    <n v="284"/>
    <n v="48"/>
    <n v="168260"/>
    <d v="1991-03-01T00:00:00"/>
    <s v="OH"/>
    <s v="250/500"/>
    <n v="1000"/>
    <n v="1168.8"/>
    <n v="0"/>
    <n v="444232"/>
    <s v="FEMALE"/>
    <s v="JD"/>
    <s v="tech-support"/>
    <s v="movies"/>
    <s v="other-relative"/>
    <n v="0"/>
    <n v="-42400"/>
    <d v="2015-02-28T00:00:00"/>
    <s v="Single Vehicle Collision"/>
    <s v="Side Collision"/>
    <s v="Total Loss"/>
    <s v="Other"/>
    <x v="2"/>
    <x v="6"/>
    <s v="3660 Andromedia Hwy"/>
    <n v="11"/>
    <n v="1"/>
    <s v="?"/>
    <n v="0"/>
    <n v="3"/>
    <s v="YES"/>
    <n v="35750"/>
    <n v="6500"/>
    <n v="3250"/>
    <n v="26000"/>
    <s v="Mercedes"/>
    <s v="E400"/>
    <n v="2001"/>
    <s v="N"/>
    <n v="30.560779620447942"/>
    <n v="-34581.199999999997"/>
    <n v="3.26927918100193E-2"/>
    <n v="14"/>
    <n v="284"/>
    <x v="0"/>
    <x v="0"/>
  </r>
  <r>
    <n v="65"/>
    <n v="27"/>
    <n v="538955"/>
    <d v="2001-09-29T00:00:00"/>
    <s v="IN"/>
    <s v="100/300"/>
    <n v="1000"/>
    <n v="1164.97"/>
    <n v="0"/>
    <n v="477695"/>
    <s v="FEMALE"/>
    <s v="College"/>
    <s v="adm-clerical"/>
    <s v="exercise"/>
    <s v="wife"/>
    <n v="43000"/>
    <n v="-42500"/>
    <d v="2015-01-17T00:00:00"/>
    <s v="Single Vehicle Collision"/>
    <s v="Front Collision"/>
    <s v="Total Loss"/>
    <s v="Ambulance"/>
    <x v="4"/>
    <x v="2"/>
    <s v="7135 Flute Lane"/>
    <n v="17"/>
    <n v="1"/>
    <s v="?"/>
    <n v="1"/>
    <n v="2"/>
    <s v="YES"/>
    <n v="42840"/>
    <n v="3570"/>
    <n v="7140"/>
    <n v="32130"/>
    <s v="Chevrolet"/>
    <s v="Silverado"/>
    <n v="2004"/>
    <s v="N"/>
    <n v="36.741940187140322"/>
    <n v="-41675.03"/>
    <n v="2.719287598328704E-2"/>
    <n v="11"/>
    <n v="65"/>
    <x v="0"/>
    <x v="0"/>
  </r>
  <r>
    <n v="222"/>
    <n v="39"/>
    <n v="243226"/>
    <d v="2012-01-10T00:00:00"/>
    <s v="IL"/>
    <s v="250/500"/>
    <n v="1000"/>
    <n v="1232.72"/>
    <n v="0"/>
    <n v="458237"/>
    <s v="MALE"/>
    <s v="High School"/>
    <s v="armed-forces"/>
    <s v="hiking"/>
    <s v="own-child"/>
    <n v="87800"/>
    <n v="-51200"/>
    <d v="2015-02-09T00:00:00"/>
    <s v="Multi-vehicle Collision"/>
    <s v="Front Collision"/>
    <s v="Major Damage"/>
    <s v="Fire"/>
    <x v="0"/>
    <x v="3"/>
    <s v="4414 Solo Drive"/>
    <n v="21"/>
    <n v="3"/>
    <s v="?"/>
    <n v="1"/>
    <n v="0"/>
    <s v="NO"/>
    <n v="87960"/>
    <n v="14660"/>
    <n v="14660"/>
    <n v="58640"/>
    <s v="Jeep"/>
    <s v="Wrangler"/>
    <n v="1999"/>
    <s v="Y"/>
    <n v="71.296566481859742"/>
    <n v="-86727.28"/>
    <n v="1.4014392742238037E-2"/>
    <n v="16"/>
    <n v="222"/>
    <x v="0"/>
    <x v="0"/>
  </r>
  <r>
    <n v="196"/>
    <n v="41"/>
    <n v="246435"/>
    <d v="2001-07-05T00:00:00"/>
    <s v="IL"/>
    <s v="250/500"/>
    <n v="2000"/>
    <n v="1800.76"/>
    <n v="0"/>
    <n v="441499"/>
    <s v="MALE"/>
    <s v="JD"/>
    <s v="protective-serv"/>
    <s v="camping"/>
    <s v="other-relative"/>
    <n v="0"/>
    <n v="-78600"/>
    <d v="2015-01-14T00:00:00"/>
    <s v="Multi-vehicle Collision"/>
    <s v="Rear Collision"/>
    <s v="Minor Damage"/>
    <s v="Ambulance"/>
    <x v="0"/>
    <x v="4"/>
    <s v="2920 5th Ave"/>
    <n v="0"/>
    <n v="3"/>
    <s v="NO"/>
    <n v="1"/>
    <n v="0"/>
    <s v="NO"/>
    <n v="47800"/>
    <n v="4780"/>
    <n v="4780"/>
    <n v="38240"/>
    <s v="Jeep"/>
    <s v="Grand Cherokee"/>
    <n v="2009"/>
    <s v="N"/>
    <n v="26.529615487079301"/>
    <n v="-45999.24"/>
    <n v="3.7672015229806906E-2"/>
    <n v="6"/>
    <n v="196"/>
    <x v="0"/>
    <x v="0"/>
  </r>
  <r>
    <n v="253"/>
    <n v="43"/>
    <n v="582480"/>
    <d v="1991-08-07T00:00:00"/>
    <s v="IL"/>
    <s v="500/1000"/>
    <n v="500"/>
    <n v="1187.01"/>
    <n v="7000000"/>
    <n v="613436"/>
    <s v="FEMALE"/>
    <s v="Associate"/>
    <s v="tech-support"/>
    <s v="exercise"/>
    <s v="unmarried"/>
    <n v="46300"/>
    <n v="-33000"/>
    <d v="2015-02-02T00:00:00"/>
    <s v="Vehicle Theft"/>
    <s v="?"/>
    <s v="Trivial Damage"/>
    <s v="Police"/>
    <x v="2"/>
    <x v="6"/>
    <s v="2986 MLK Drive"/>
    <n v="9"/>
    <n v="1"/>
    <s v="NO"/>
    <n v="0"/>
    <n v="1"/>
    <s v="?"/>
    <n v="3840"/>
    <n v="640"/>
    <n v="640"/>
    <n v="2560"/>
    <s v="Chevrolet"/>
    <s v="Tahoe"/>
    <n v="2014"/>
    <s v="N"/>
    <n v="3.2322960244442389"/>
    <n v="-2652.99"/>
    <n v="0.30903670919031501"/>
    <n v="1"/>
    <n v="253"/>
    <x v="1"/>
    <x v="1"/>
  </r>
  <r>
    <n v="280"/>
    <n v="43"/>
    <n v="345539"/>
    <d v="2012-07-24T00:00:00"/>
    <s v="IN"/>
    <s v="100/300"/>
    <n v="1000"/>
    <n v="1559.34"/>
    <n v="0"/>
    <n v="448912"/>
    <s v="MALE"/>
    <s v="JD"/>
    <s v="transport-moving"/>
    <s v="hiking"/>
    <s v="own-child"/>
    <n v="0"/>
    <n v="-51600"/>
    <d v="2015-02-17T00:00:00"/>
    <s v="Single Vehicle Collision"/>
    <s v="Front Collision"/>
    <s v="Total Loss"/>
    <s v="Fire"/>
    <x v="2"/>
    <x v="1"/>
    <s v="1580 Maple Lane"/>
    <n v="1"/>
    <n v="1"/>
    <s v="NO"/>
    <n v="0"/>
    <n v="2"/>
    <s v="?"/>
    <n v="77000"/>
    <n v="14000"/>
    <n v="7000"/>
    <n v="56000"/>
    <s v="Accura"/>
    <s v="RSX"/>
    <n v="2004"/>
    <s v="N"/>
    <n v="49.348218977915074"/>
    <n v="-75440.66"/>
    <n v="2.0250905832391787E-2"/>
    <n v="11"/>
    <n v="280"/>
    <x v="0"/>
    <x v="0"/>
  </r>
  <r>
    <n v="5"/>
    <n v="26"/>
    <n v="924318"/>
    <d v="2014-07-27T00:00:00"/>
    <s v="IL"/>
    <s v="250/500"/>
    <n v="2000"/>
    <n v="1137.02"/>
    <n v="0"/>
    <n v="468872"/>
    <s v="FEMALE"/>
    <s v="PhD"/>
    <s v="farming-fishing"/>
    <s v="skydiving"/>
    <s v="not-in-family"/>
    <n v="31500"/>
    <n v="0"/>
    <d v="2015-01-25T00:00:00"/>
    <s v="Single Vehicle Collision"/>
    <s v="Rear Collision"/>
    <s v="Total Loss"/>
    <s v="Ambulance"/>
    <x v="4"/>
    <x v="3"/>
    <s v="3706 Texas Hwy"/>
    <n v="22"/>
    <n v="1"/>
    <s v="YES"/>
    <n v="1"/>
    <n v="3"/>
    <s v="?"/>
    <n v="88110"/>
    <n v="16020"/>
    <n v="16020"/>
    <n v="56070"/>
    <s v="Audi"/>
    <s v="A5"/>
    <n v="2003"/>
    <s v="N"/>
    <n v="77.423946855064059"/>
    <n v="-86972.98"/>
    <n v="1.2904404671380418E-2"/>
    <n v="12"/>
    <n v="5"/>
    <x v="0"/>
    <x v="0"/>
  </r>
  <r>
    <n v="220"/>
    <n v="42"/>
    <n v="726880"/>
    <d v="1994-08-08T00:00:00"/>
    <s v="IN"/>
    <s v="100/300"/>
    <n v="1000"/>
    <n v="1281.72"/>
    <n v="0"/>
    <n v="619811"/>
    <s v="MALE"/>
    <s v="College"/>
    <s v="farming-fishing"/>
    <s v="hiking"/>
    <s v="other-relative"/>
    <n v="33500"/>
    <n v="-49500"/>
    <d v="2015-02-13T00:00:00"/>
    <s v="Multi-vehicle Collision"/>
    <s v="Rear Collision"/>
    <s v="Minor Damage"/>
    <s v="Fire"/>
    <x v="0"/>
    <x v="5"/>
    <s v="9109 Britain Drive"/>
    <n v="20"/>
    <n v="4"/>
    <s v="NO"/>
    <n v="0"/>
    <n v="2"/>
    <s v="YES"/>
    <n v="47740"/>
    <n v="4340"/>
    <n v="4340"/>
    <n v="39060"/>
    <s v="Honda"/>
    <s v="Civic"/>
    <n v="2005"/>
    <s v="N"/>
    <n v="37.217787202195332"/>
    <n v="-46458.28"/>
    <n v="2.6847363901049415E-2"/>
    <n v="10"/>
    <n v="220"/>
    <x v="0"/>
    <x v="0"/>
  </r>
  <r>
    <n v="85"/>
    <n v="30"/>
    <n v="190588"/>
    <d v="2001-12-09T00:00:00"/>
    <s v="OH"/>
    <s v="100/300"/>
    <n v="1000"/>
    <n v="796.35"/>
    <n v="0"/>
    <n v="614166"/>
    <s v="FEMALE"/>
    <s v="MD"/>
    <s v="craft-repair"/>
    <s v="video-games"/>
    <s v="own-child"/>
    <n v="72400"/>
    <n v="-77000"/>
    <d v="2015-02-20T00:00:00"/>
    <s v="Multi-vehicle Collision"/>
    <s v="Rear Collision"/>
    <s v="Total Loss"/>
    <s v="Fire"/>
    <x v="0"/>
    <x v="5"/>
    <s v="2290 4th Ave"/>
    <n v="9"/>
    <n v="3"/>
    <s v="YES"/>
    <n v="2"/>
    <n v="1"/>
    <s v="YES"/>
    <n v="58960"/>
    <n v="5360"/>
    <n v="10720"/>
    <n v="42880"/>
    <s v="Ford"/>
    <s v="F150"/>
    <n v="2004"/>
    <s v="N"/>
    <n v="73.944942622436827"/>
    <n v="-58163.65"/>
    <n v="1.350638557690677E-2"/>
    <n v="11"/>
    <n v="85"/>
    <x v="0"/>
    <x v="0"/>
  </r>
  <r>
    <n v="266"/>
    <n v="46"/>
    <n v="246705"/>
    <d v="1990-03-14T00:00:00"/>
    <s v="OH"/>
    <s v="250/500"/>
    <n v="500"/>
    <n v="1270.02"/>
    <n v="0"/>
    <n v="456600"/>
    <s v="FEMALE"/>
    <s v="Associate"/>
    <s v="tech-support"/>
    <s v="skydiving"/>
    <s v="own-child"/>
    <n v="0"/>
    <n v="-45800"/>
    <d v="2015-01-08T00:00:00"/>
    <s v="Parked Car"/>
    <s v="?"/>
    <s v="Minor Damage"/>
    <s v="Police"/>
    <x v="5"/>
    <x v="6"/>
    <s v="4232 Britain Ridge"/>
    <n v="5"/>
    <n v="1"/>
    <s v="NO"/>
    <n v="1"/>
    <n v="2"/>
    <s v="?"/>
    <n v="2160"/>
    <n v="480"/>
    <n v="240"/>
    <n v="1440"/>
    <s v="Toyota"/>
    <s v="Corolla"/>
    <n v="2004"/>
    <s v="N"/>
    <n v="1.6994225110541141"/>
    <n v="-889.98"/>
    <n v="0.58770013882461825"/>
    <n v="11"/>
    <n v="266"/>
    <x v="1"/>
    <x v="1"/>
  </r>
  <r>
    <n v="41"/>
    <n v="26"/>
    <n v="619589"/>
    <d v="2006-03-28T00:00:00"/>
    <s v="IL"/>
    <s v="100/300"/>
    <n v="1000"/>
    <n v="1383.13"/>
    <n v="0"/>
    <n v="618405"/>
    <s v="FEMALE"/>
    <s v="JD"/>
    <s v="prof-specialty"/>
    <s v="exercise"/>
    <s v="own-child"/>
    <n v="46700"/>
    <n v="0"/>
    <d v="2015-02-28T00:00:00"/>
    <s v="Vehicle Theft"/>
    <s v="?"/>
    <s v="Trivial Damage"/>
    <s v="Police"/>
    <x v="0"/>
    <x v="1"/>
    <s v="6677 Andromedia Drive"/>
    <n v="12"/>
    <n v="1"/>
    <s v="YES"/>
    <n v="1"/>
    <n v="1"/>
    <s v="?"/>
    <n v="6890"/>
    <n v="530"/>
    <n v="1060"/>
    <n v="5300"/>
    <s v="Jeep"/>
    <s v="Grand Cherokee"/>
    <n v="1997"/>
    <s v="N"/>
    <n v="4.9778561262309173"/>
    <n v="-5506.87"/>
    <n v="0.2007154259178639"/>
    <n v="18"/>
    <n v="41"/>
    <x v="1"/>
    <x v="0"/>
  </r>
  <r>
    <n v="316"/>
    <n v="45"/>
    <n v="164988"/>
    <d v="2013-12-23T00:00:00"/>
    <s v="IL"/>
    <s v="100/300"/>
    <n v="2000"/>
    <n v="1290.74"/>
    <n v="5000000"/>
    <n v="430832"/>
    <s v="FEMALE"/>
    <s v="High School"/>
    <s v="prof-specialty"/>
    <s v="kayaking"/>
    <s v="husband"/>
    <n v="58300"/>
    <n v="0"/>
    <d v="2015-02-12T00:00:00"/>
    <s v="Multi-vehicle Collision"/>
    <s v="Side Collision"/>
    <s v="Major Damage"/>
    <s v="Ambulance"/>
    <x v="1"/>
    <x v="3"/>
    <s v="5868 Sky Hwy"/>
    <n v="6"/>
    <n v="3"/>
    <s v="NO"/>
    <n v="2"/>
    <n v="0"/>
    <s v="YES"/>
    <n v="78870"/>
    <n v="7170"/>
    <n v="14340"/>
    <n v="57360"/>
    <s v="Suburu"/>
    <s v="Legacy"/>
    <n v="2013"/>
    <s v="N"/>
    <n v="61.057178689209906"/>
    <n v="-77579.259999999995"/>
    <n v="1.6365203940611885E-2"/>
    <n v="2"/>
    <n v="316"/>
    <x v="0"/>
    <x v="0"/>
  </r>
  <r>
    <n v="285"/>
    <n v="47"/>
    <n v="729534"/>
    <d v="1991-09-30T00:00:00"/>
    <s v="IN"/>
    <s v="100/300"/>
    <n v="1000"/>
    <n v="1216.68"/>
    <n v="0"/>
    <n v="610989"/>
    <s v="FEMALE"/>
    <s v="Masters"/>
    <s v="sales"/>
    <s v="basketball"/>
    <s v="other-relative"/>
    <n v="55100"/>
    <n v="0"/>
    <d v="2015-01-06T00:00:00"/>
    <s v="Vehicle Theft"/>
    <s v="?"/>
    <s v="Trivial Damage"/>
    <s v="Police"/>
    <x v="0"/>
    <x v="0"/>
    <s v="3053 Lincoln Drive"/>
    <n v="8"/>
    <n v="1"/>
    <s v="NO"/>
    <n v="1"/>
    <n v="1"/>
    <s v="NO"/>
    <n v="2700"/>
    <n v="300"/>
    <n v="300"/>
    <n v="2100"/>
    <s v="Ford"/>
    <s v="F150"/>
    <n v="2013"/>
    <s v="N"/>
    <n v="2.2173313185730241"/>
    <n v="-1483.32"/>
    <n v="0.45045538689374309"/>
    <n v="2"/>
    <n v="285"/>
    <x v="1"/>
    <x v="1"/>
  </r>
  <r>
    <n v="379"/>
    <n v="54"/>
    <n v="505014"/>
    <d v="2001-12-27T00:00:00"/>
    <s v="IL"/>
    <s v="100/300"/>
    <n v="500"/>
    <n v="1251.1600000000001"/>
    <n v="0"/>
    <n v="447750"/>
    <s v="FEMALE"/>
    <s v="Associate"/>
    <s v="machine-op-inspct"/>
    <s v="kayaking"/>
    <s v="not-in-family"/>
    <n v="41400"/>
    <n v="0"/>
    <d v="2015-02-15T00:00:00"/>
    <s v="Single Vehicle Collision"/>
    <s v="Front Collision"/>
    <s v="Total Loss"/>
    <s v="Ambulance"/>
    <x v="4"/>
    <x v="1"/>
    <s v="7041 Tree Ridge"/>
    <n v="14"/>
    <n v="1"/>
    <s v="?"/>
    <n v="0"/>
    <n v="1"/>
    <s v="NO"/>
    <n v="75960"/>
    <n v="6330"/>
    <n v="6330"/>
    <n v="63300"/>
    <s v="Jeep"/>
    <s v="Grand Cherokee"/>
    <n v="2010"/>
    <s v="N"/>
    <n v="60.663174035267055"/>
    <n v="-74708.84"/>
    <n v="1.6471083845657642E-2"/>
    <n v="5"/>
    <n v="379"/>
    <x v="0"/>
    <x v="0"/>
  </r>
  <r>
    <n v="15"/>
    <n v="34"/>
    <n v="920826"/>
    <d v="2005-04-07T00:00:00"/>
    <s v="IN"/>
    <s v="250/500"/>
    <n v="2000"/>
    <n v="1586.41"/>
    <n v="0"/>
    <n v="608708"/>
    <s v="FEMALE"/>
    <s v="High School"/>
    <s v="sales"/>
    <s v="video-games"/>
    <s v="other-relative"/>
    <n v="33500"/>
    <n v="-58900"/>
    <d v="2015-01-20T00:00:00"/>
    <s v="Single Vehicle Collision"/>
    <s v="Front Collision"/>
    <s v="Major Damage"/>
    <s v="Police"/>
    <x v="4"/>
    <x v="6"/>
    <s v="7223 Embaracadero St"/>
    <n v="10"/>
    <n v="1"/>
    <s v="YES"/>
    <n v="1"/>
    <n v="3"/>
    <s v="?"/>
    <n v="75570"/>
    <n v="6870"/>
    <n v="13740"/>
    <n v="54960"/>
    <s v="BMW"/>
    <s v="X5"/>
    <n v="2010"/>
    <s v="Y"/>
    <n v="47.605848520546047"/>
    <n v="-73983.59"/>
    <n v="2.0992311865662756E-2"/>
    <n v="5"/>
    <n v="15"/>
    <x v="0"/>
    <x v="0"/>
  </r>
  <r>
    <n v="354"/>
    <n v="48"/>
    <n v="534982"/>
    <d v="2003-04-08T00:00:00"/>
    <s v="IL"/>
    <s v="500/1000"/>
    <n v="2000"/>
    <n v="1526.11"/>
    <n v="5000000"/>
    <n v="469650"/>
    <s v="FEMALE"/>
    <s v="Masters"/>
    <s v="sales"/>
    <s v="exercise"/>
    <s v="unmarried"/>
    <n v="0"/>
    <n v="0"/>
    <d v="2015-01-03T00:00:00"/>
    <s v="Single Vehicle Collision"/>
    <s v="Front Collision"/>
    <s v="Minor Damage"/>
    <s v="Police"/>
    <x v="0"/>
    <x v="0"/>
    <s v="8081 Flute Ridge"/>
    <n v="12"/>
    <n v="1"/>
    <s v="?"/>
    <n v="2"/>
    <n v="3"/>
    <s v="YES"/>
    <n v="90240"/>
    <n v="15040"/>
    <n v="15040"/>
    <n v="60160"/>
    <s v="Chevrolet"/>
    <s v="Malibu"/>
    <n v="1995"/>
    <s v="N"/>
    <n v="59.092010398727012"/>
    <n v="-88713.89"/>
    <n v="1.6911492558814727E-2"/>
    <n v="20"/>
    <n v="354"/>
    <x v="0"/>
    <x v="0"/>
  </r>
  <r>
    <n v="342"/>
    <n v="53"/>
    <n v="110408"/>
    <d v="2005-11-14T00:00:00"/>
    <s v="IN"/>
    <s v="100/300"/>
    <n v="1000"/>
    <n v="1028.44"/>
    <n v="0"/>
    <n v="602304"/>
    <s v="FEMALE"/>
    <s v="College"/>
    <s v="prof-specialty"/>
    <s v="dancing"/>
    <s v="not-in-family"/>
    <n v="0"/>
    <n v="0"/>
    <d v="2015-01-26T00:00:00"/>
    <s v="Single Vehicle Collision"/>
    <s v="Front Collision"/>
    <s v="Major Damage"/>
    <s v="Ambulance"/>
    <x v="0"/>
    <x v="3"/>
    <s v="8618 Texas Lane"/>
    <n v="12"/>
    <n v="1"/>
    <s v="?"/>
    <n v="0"/>
    <n v="0"/>
    <s v="NO"/>
    <n v="80960"/>
    <n v="14720"/>
    <n v="7360"/>
    <n v="58880"/>
    <s v="Accura"/>
    <s v="MDX"/>
    <n v="2000"/>
    <s v="N"/>
    <n v="78.644700031084852"/>
    <n v="-79931.56"/>
    <n v="1.2702906337619349E-2"/>
    <n v="15"/>
    <n v="342"/>
    <x v="0"/>
    <x v="0"/>
  </r>
  <r>
    <n v="169"/>
    <n v="38"/>
    <n v="283052"/>
    <d v="2005-01-07T00:00:00"/>
    <s v="IL"/>
    <s v="100/300"/>
    <n v="1000"/>
    <n v="1555.94"/>
    <n v="0"/>
    <n v="459878"/>
    <s v="MALE"/>
    <s v="PhD"/>
    <s v="craft-repair"/>
    <s v="skydiving"/>
    <s v="own-child"/>
    <n v="23300"/>
    <n v="0"/>
    <d v="2015-01-25T00:00:00"/>
    <s v="Multi-vehicle Collision"/>
    <s v="Front Collision"/>
    <s v="Total Loss"/>
    <s v="Other"/>
    <x v="1"/>
    <x v="1"/>
    <s v="3508 Washington St"/>
    <n v="12"/>
    <n v="3"/>
    <s v="NO"/>
    <n v="1"/>
    <n v="3"/>
    <s v="YES"/>
    <n v="79080"/>
    <n v="6590"/>
    <n v="13180"/>
    <n v="59310"/>
    <s v="Mercedes"/>
    <s v="C300"/>
    <n v="2012"/>
    <s v="N"/>
    <n v="50.791938032294112"/>
    <n v="-77524.06"/>
    <n v="1.96752696602218E-2"/>
    <n v="3"/>
    <n v="169"/>
    <x v="0"/>
    <x v="0"/>
  </r>
  <r>
    <n v="339"/>
    <n v="49"/>
    <n v="840806"/>
    <d v="1994-02-14T00:00:00"/>
    <s v="IN"/>
    <s v="500/1000"/>
    <n v="2000"/>
    <n v="1570.77"/>
    <n v="0"/>
    <n v="441142"/>
    <s v="MALE"/>
    <s v="JD"/>
    <s v="adm-clerical"/>
    <s v="paintball"/>
    <s v="not-in-family"/>
    <n v="98800"/>
    <n v="-65300"/>
    <d v="2015-01-18T00:00:00"/>
    <s v="Vehicle Theft"/>
    <s v="?"/>
    <s v="Minor Damage"/>
    <s v="None"/>
    <x v="0"/>
    <x v="0"/>
    <s v="2193 4th Ridge"/>
    <n v="13"/>
    <n v="1"/>
    <s v="NO"/>
    <n v="0"/>
    <n v="3"/>
    <s v="NO"/>
    <n v="6820"/>
    <n v="1240"/>
    <n v="620"/>
    <n v="4960"/>
    <s v="Mercedes"/>
    <s v="ML350"/>
    <n v="2009"/>
    <s v="N"/>
    <n v="4.3390572411994119"/>
    <n v="-5249.23"/>
    <n v="0.23028441577481307"/>
    <n v="6"/>
    <n v="339"/>
    <x v="1"/>
    <x v="0"/>
  </r>
  <r>
    <n v="259"/>
    <n v="42"/>
    <n v="382394"/>
    <d v="1996-01-23T00:00:00"/>
    <s v="OH"/>
    <s v="100/300"/>
    <n v="2000"/>
    <n v="1170.53"/>
    <n v="0"/>
    <n v="465667"/>
    <s v="FEMALE"/>
    <s v="PhD"/>
    <s v="armed-forces"/>
    <s v="sleeping"/>
    <s v="wife"/>
    <n v="65000"/>
    <n v="-49200"/>
    <d v="2015-01-12T00:00:00"/>
    <s v="Multi-vehicle Collision"/>
    <s v="Rear Collision"/>
    <s v="Total Loss"/>
    <s v="Fire"/>
    <x v="4"/>
    <x v="5"/>
    <s v="8897 Sky St"/>
    <n v="17"/>
    <n v="3"/>
    <s v="NO"/>
    <n v="1"/>
    <n v="2"/>
    <s v="YES"/>
    <n v="62590"/>
    <n v="5690"/>
    <n v="11380"/>
    <n v="45520"/>
    <s v="Nissan"/>
    <s v="Pathfinder"/>
    <n v="2006"/>
    <s v="N"/>
    <n v="53.425861907078776"/>
    <n v="-61419.47"/>
    <n v="1.8701250978575196E-2"/>
    <n v="9"/>
    <n v="259"/>
    <x v="0"/>
    <x v="0"/>
  </r>
  <r>
    <n v="65"/>
    <n v="23"/>
    <n v="876699"/>
    <d v="1999-12-12T00:00:00"/>
    <s v="OH"/>
    <s v="250/500"/>
    <n v="1000"/>
    <n v="1099.95"/>
    <n v="0"/>
    <n v="473109"/>
    <s v="FEMALE"/>
    <s v="College"/>
    <s v="sales"/>
    <s v="dancing"/>
    <s v="wife"/>
    <n v="0"/>
    <n v="-71900"/>
    <d v="2015-01-15T00:00:00"/>
    <s v="Single Vehicle Collision"/>
    <s v="Side Collision"/>
    <s v="Major Damage"/>
    <s v="Other"/>
    <x v="2"/>
    <x v="2"/>
    <s v="9611 Pine Ridge"/>
    <n v="14"/>
    <n v="1"/>
    <s v="NO"/>
    <n v="1"/>
    <n v="0"/>
    <s v="YES"/>
    <n v="52400"/>
    <n v="6550"/>
    <n v="6550"/>
    <n v="39300"/>
    <s v="Accura"/>
    <s v="MDX"/>
    <n v="2005"/>
    <s v="Y"/>
    <n v="47.595258640265222"/>
    <n v="-51300.05"/>
    <n v="2.0991011621915613E-2"/>
    <n v="10"/>
    <n v="65"/>
    <x v="0"/>
    <x v="0"/>
  </r>
  <r>
    <n v="254"/>
    <n v="46"/>
    <n v="871432"/>
    <d v="2004-07-15T00:00:00"/>
    <s v="IL"/>
    <s v="250/500"/>
    <n v="2000"/>
    <n v="1472.43"/>
    <n v="0"/>
    <n v="619794"/>
    <s v="MALE"/>
    <s v="MD"/>
    <s v="tech-support"/>
    <s v="basketball"/>
    <s v="husband"/>
    <n v="0"/>
    <n v="-90600"/>
    <d v="2015-01-10T00:00:00"/>
    <s v="Multi-vehicle Collision"/>
    <s v="Front Collision"/>
    <s v="Major Damage"/>
    <s v="Ambulance"/>
    <x v="4"/>
    <x v="2"/>
    <s v="7825 1st Ridge"/>
    <n v="3"/>
    <n v="3"/>
    <s v="?"/>
    <n v="1"/>
    <n v="3"/>
    <s v="YES"/>
    <n v="63580"/>
    <n v="5780"/>
    <n v="11560"/>
    <n v="46240"/>
    <s v="Volkswagen"/>
    <s v="Jetta"/>
    <n v="2004"/>
    <s v="N"/>
    <n v="43.151014978655247"/>
    <n v="-62107.57"/>
    <n v="2.3158333464399744E-2"/>
    <n v="11"/>
    <n v="254"/>
    <x v="0"/>
    <x v="0"/>
  </r>
  <r>
    <n v="440"/>
    <n v="55"/>
    <n v="379882"/>
    <d v="2012-11-07T00:00:00"/>
    <s v="IL"/>
    <s v="250/500"/>
    <n v="500"/>
    <n v="1275.6199999999999"/>
    <n v="0"/>
    <n v="602258"/>
    <s v="FEMALE"/>
    <s v="Associate"/>
    <s v="priv-house-serv"/>
    <s v="reading"/>
    <s v="other-relative"/>
    <n v="0"/>
    <n v="-56200"/>
    <d v="2015-01-23T00:00:00"/>
    <s v="Multi-vehicle Collision"/>
    <s v="Side Collision"/>
    <s v="Minor Damage"/>
    <s v="Police"/>
    <x v="2"/>
    <x v="1"/>
    <s v="3039 Oak Hwy"/>
    <n v="18"/>
    <n v="3"/>
    <s v="YES"/>
    <n v="2"/>
    <n v="1"/>
    <s v="NO"/>
    <n v="61400"/>
    <n v="6140"/>
    <n v="6140"/>
    <n v="49120"/>
    <s v="Nissan"/>
    <s v="Ultima"/>
    <n v="1995"/>
    <s v="N"/>
    <n v="48.095752847362569"/>
    <n v="-60124.38"/>
    <n v="2.077523167375124E-2"/>
    <n v="20"/>
    <n v="440"/>
    <x v="0"/>
    <x v="0"/>
  </r>
  <r>
    <n v="478"/>
    <n v="63"/>
    <n v="852002"/>
    <d v="2009-06-29T00:00:00"/>
    <s v="IL"/>
    <s v="250/500"/>
    <n v="1000"/>
    <n v="1292.3"/>
    <n v="0"/>
    <n v="479724"/>
    <s v="MALE"/>
    <s v="High School"/>
    <s v="adm-clerical"/>
    <s v="paintball"/>
    <s v="own-child"/>
    <n v="47600"/>
    <n v="0"/>
    <d v="2015-02-21T00:00:00"/>
    <s v="Parked Car"/>
    <s v="?"/>
    <s v="Minor Damage"/>
    <s v="None"/>
    <x v="1"/>
    <x v="5"/>
    <s v="8204 Pine Lane"/>
    <n v="5"/>
    <n v="1"/>
    <s v="YES"/>
    <n v="1"/>
    <n v="3"/>
    <s v="NO"/>
    <n v="4700"/>
    <n v="940"/>
    <n v="470"/>
    <n v="3290"/>
    <s v="Dodge"/>
    <s v="Neon"/>
    <n v="2007"/>
    <s v="Y"/>
    <n v="3.63411428129591"/>
    <n v="-3407.7"/>
    <n v="0.27489895766858113"/>
    <n v="8"/>
    <n v="478"/>
    <x v="1"/>
    <x v="1"/>
  </r>
  <r>
    <n v="230"/>
    <n v="44"/>
    <n v="372891"/>
    <d v="2000-06-26T00:00:00"/>
    <s v="IN"/>
    <s v="250/500"/>
    <n v="2000"/>
    <n v="1009.37"/>
    <n v="0"/>
    <n v="442210"/>
    <s v="FEMALE"/>
    <s v="College"/>
    <s v="prof-specialty"/>
    <s v="hiking"/>
    <s v="other-relative"/>
    <n v="45400"/>
    <n v="-39400"/>
    <d v="2015-02-17T00:00:00"/>
    <s v="Single Vehicle Collision"/>
    <s v="Front Collision"/>
    <s v="Total Loss"/>
    <s v="Fire"/>
    <x v="0"/>
    <x v="1"/>
    <s v="9787 Andromedia Ave"/>
    <n v="19"/>
    <n v="1"/>
    <s v="NO"/>
    <n v="0"/>
    <n v="2"/>
    <s v="YES"/>
    <n v="74140"/>
    <n v="13480"/>
    <n v="13480"/>
    <n v="47180"/>
    <s v="BMW"/>
    <s v="X5"/>
    <n v="2015"/>
    <s v="N"/>
    <n v="73.379059156546617"/>
    <n v="-73130.63"/>
    <n v="1.3614194575201306E-2"/>
    <n v="0"/>
    <n v="230"/>
    <x v="0"/>
    <x v="0"/>
  </r>
  <r>
    <n v="138"/>
    <n v="30"/>
    <n v="689034"/>
    <d v="2002-01-09T00:00:00"/>
    <s v="OH"/>
    <s v="500/1000"/>
    <n v="500"/>
    <n v="1093.07"/>
    <n v="4000000"/>
    <n v="463291"/>
    <s v="FEMALE"/>
    <s v="PhD"/>
    <s v="other-service"/>
    <s v="reading"/>
    <s v="wife"/>
    <n v="27700"/>
    <n v="-72400"/>
    <d v="2015-01-06T00:00:00"/>
    <s v="Single Vehicle Collision"/>
    <s v="Front Collision"/>
    <s v="Major Damage"/>
    <s v="Other"/>
    <x v="1"/>
    <x v="4"/>
    <s v="9633 Rock Hwy"/>
    <n v="0"/>
    <n v="1"/>
    <s v="?"/>
    <n v="2"/>
    <n v="2"/>
    <s v="NO"/>
    <n v="83160"/>
    <n v="6930"/>
    <n v="13860"/>
    <n v="62370"/>
    <s v="Volkswagen"/>
    <s v="Jetta"/>
    <n v="2011"/>
    <s v="N"/>
    <n v="76.009761715429548"/>
    <n v="-82066.929999999993"/>
    <n v="1.3144021837159245E-2"/>
    <n v="4"/>
    <n v="138"/>
    <x v="0"/>
    <x v="0"/>
  </r>
  <r>
    <n v="239"/>
    <n v="41"/>
    <n v="743092"/>
    <d v="2013-11-11T00:00:00"/>
    <s v="OH"/>
    <s v="250/500"/>
    <n v="1000"/>
    <n v="1325.44"/>
    <n v="7000000"/>
    <n v="474898"/>
    <s v="FEMALE"/>
    <s v="JD"/>
    <s v="farming-fishing"/>
    <s v="paintball"/>
    <s v="other-relative"/>
    <n v="51400"/>
    <n v="-6300"/>
    <d v="2015-02-18T00:00:00"/>
    <s v="Parked Car"/>
    <s v="?"/>
    <s v="Trivial Damage"/>
    <s v="Police"/>
    <x v="5"/>
    <x v="2"/>
    <s v="6303 1st Drive"/>
    <n v="22"/>
    <n v="1"/>
    <s v="?"/>
    <n v="0"/>
    <n v="2"/>
    <s v="YES"/>
    <n v="10790"/>
    <n v="1660"/>
    <n v="830"/>
    <n v="8300"/>
    <s v="Mercedes"/>
    <s v="E400"/>
    <n v="2013"/>
    <s v="N"/>
    <n v="8.1345556527245861"/>
    <n v="-9464.56"/>
    <n v="0.12282828282828283"/>
    <n v="2"/>
    <n v="239"/>
    <x v="2"/>
    <x v="0"/>
  </r>
  <r>
    <n v="93"/>
    <n v="31"/>
    <n v="599174"/>
    <d v="2008-01-14T00:00:00"/>
    <s v="IL"/>
    <s v="100/300"/>
    <n v="2000"/>
    <n v="1017.18"/>
    <n v="0"/>
    <n v="431354"/>
    <s v="FEMALE"/>
    <s v="MD"/>
    <s v="prof-specialty"/>
    <s v="paintball"/>
    <s v="husband"/>
    <n v="0"/>
    <n v="0"/>
    <d v="2015-02-17T00:00:00"/>
    <s v="Multi-vehicle Collision"/>
    <s v="Rear Collision"/>
    <s v="Major Damage"/>
    <s v="Police"/>
    <x v="5"/>
    <x v="2"/>
    <s v="2014 Rock Ave"/>
    <n v="21"/>
    <n v="3"/>
    <s v="YES"/>
    <n v="1"/>
    <n v="3"/>
    <s v="NO"/>
    <n v="48070"/>
    <n v="8740"/>
    <n v="8740"/>
    <n v="30590"/>
    <s v="Saab"/>
    <s v="92x"/>
    <n v="2014"/>
    <s v="N"/>
    <n v="47.21169144944902"/>
    <n v="-47052.82"/>
    <n v="2.1159950905951613E-2"/>
    <n v="1"/>
    <n v="93"/>
    <x v="0"/>
    <x v="0"/>
  </r>
  <r>
    <n v="37"/>
    <n v="25"/>
    <n v="421092"/>
    <d v="2003-03-04T00:00:00"/>
    <s v="OH"/>
    <s v="100/300"/>
    <n v="1000"/>
    <n v="1221.17"/>
    <n v="0"/>
    <n v="617460"/>
    <s v="FEMALE"/>
    <s v="Masters"/>
    <s v="protective-serv"/>
    <s v="golf"/>
    <s v="not-in-family"/>
    <n v="49300"/>
    <n v="0"/>
    <d v="2015-01-24T00:00:00"/>
    <s v="Multi-vehicle Collision"/>
    <s v="Rear Collision"/>
    <s v="Minor Damage"/>
    <s v="Ambulance"/>
    <x v="0"/>
    <x v="6"/>
    <s v="8983 Tree St"/>
    <n v="4"/>
    <n v="3"/>
    <s v="YES"/>
    <n v="0"/>
    <n v="0"/>
    <s v="YES"/>
    <n v="51030"/>
    <n v="5670"/>
    <n v="11340"/>
    <n v="34020"/>
    <s v="Suburu"/>
    <s v="Impreza"/>
    <n v="1996"/>
    <s v="N"/>
    <n v="41.753602199366696"/>
    <n v="-49808.83"/>
    <n v="2.3929964139444652E-2"/>
    <n v="19"/>
    <n v="37"/>
    <x v="0"/>
    <x v="0"/>
  </r>
  <r>
    <n v="254"/>
    <n v="40"/>
    <n v="349658"/>
    <d v="1994-06-07T00:00:00"/>
    <s v="IN"/>
    <s v="100/300"/>
    <n v="500"/>
    <n v="1927.87"/>
    <n v="0"/>
    <n v="609317"/>
    <s v="MALE"/>
    <s v="MD"/>
    <s v="prof-specialty"/>
    <s v="yachting"/>
    <s v="husband"/>
    <n v="0"/>
    <n v="0"/>
    <d v="2015-01-21T00:00:00"/>
    <s v="Single Vehicle Collision"/>
    <s v="Front Collision"/>
    <s v="Minor Damage"/>
    <s v="Fire"/>
    <x v="1"/>
    <x v="2"/>
    <s v="6260 5th Lane"/>
    <n v="10"/>
    <n v="1"/>
    <s v="YES"/>
    <n v="0"/>
    <n v="1"/>
    <s v="?"/>
    <n v="43280"/>
    <n v="0"/>
    <n v="5410"/>
    <n v="37870"/>
    <s v="Honda"/>
    <s v="Civic"/>
    <n v="1996"/>
    <s v="Y"/>
    <n v="22.438007745467555"/>
    <n v="-41352.129999999997"/>
    <n v="4.4543102054019082E-2"/>
    <n v="19"/>
    <n v="254"/>
    <x v="0"/>
    <x v="0"/>
  </r>
  <r>
    <n v="131"/>
    <n v="29"/>
    <n v="811042"/>
    <d v="2013-07-04T00:00:00"/>
    <s v="IN"/>
    <s v="250/500"/>
    <n v="1000"/>
    <n v="978.27"/>
    <n v="0"/>
    <n v="479821"/>
    <s v="FEMALE"/>
    <s v="Associate"/>
    <s v="sales"/>
    <s v="paintball"/>
    <s v="own-child"/>
    <n v="65700"/>
    <n v="0"/>
    <d v="2015-02-03T00:00:00"/>
    <s v="Single Vehicle Collision"/>
    <s v="Front Collision"/>
    <s v="Major Damage"/>
    <s v="Fire"/>
    <x v="0"/>
    <x v="4"/>
    <s v="2725 Britain Ridge"/>
    <n v="5"/>
    <n v="1"/>
    <s v="?"/>
    <n v="1"/>
    <n v="3"/>
    <s v="NO"/>
    <n v="76400"/>
    <n v="15280"/>
    <n v="7640"/>
    <n v="53480"/>
    <s v="Suburu"/>
    <s v="Forrestor"/>
    <n v="2003"/>
    <s v="N"/>
    <n v="78.017298599977536"/>
    <n v="-75421.73"/>
    <n v="1.2804413554796402E-2"/>
    <n v="12"/>
    <n v="131"/>
    <x v="0"/>
    <x v="0"/>
  </r>
  <r>
    <n v="230"/>
    <n v="43"/>
    <n v="505316"/>
    <d v="2002-06-30T00:00:00"/>
    <s v="IN"/>
    <s v="100/300"/>
    <n v="2000"/>
    <n v="1221.1400000000001"/>
    <n v="0"/>
    <n v="473394"/>
    <s v="MALE"/>
    <s v="MD"/>
    <s v="prof-specialty"/>
    <s v="board-games"/>
    <s v="wife"/>
    <n v="48100"/>
    <n v="0"/>
    <d v="2015-01-07T00:00:00"/>
    <s v="Single Vehicle Collision"/>
    <s v="Side Collision"/>
    <s v="Total Loss"/>
    <s v="Ambulance"/>
    <x v="1"/>
    <x v="4"/>
    <s v="3089 Oak Ridge"/>
    <n v="13"/>
    <n v="1"/>
    <s v="?"/>
    <n v="0"/>
    <n v="2"/>
    <s v="?"/>
    <n v="75460"/>
    <n v="13720"/>
    <n v="13720"/>
    <n v="48020"/>
    <s v="Audi"/>
    <s v="A5"/>
    <n v="2002"/>
    <s v="N"/>
    <n v="61.744153697612383"/>
    <n v="-74238.86"/>
    <n v="1.6182398855037704E-2"/>
    <n v="13"/>
    <n v="230"/>
    <x v="0"/>
    <x v="0"/>
  </r>
  <r>
    <n v="313"/>
    <n v="50"/>
    <n v="116645"/>
    <d v="2004-06-30T00:00:00"/>
    <s v="OH"/>
    <s v="100/300"/>
    <n v="2000"/>
    <n v="1255.6199999999999"/>
    <n v="0"/>
    <n v="603882"/>
    <s v="MALE"/>
    <s v="MD"/>
    <s v="armed-forces"/>
    <s v="polo"/>
    <s v="unmarried"/>
    <n v="0"/>
    <n v="0"/>
    <d v="2015-02-02T00:00:00"/>
    <s v="Multi-vehicle Collision"/>
    <s v="Side Collision"/>
    <s v="Major Damage"/>
    <s v="Other"/>
    <x v="3"/>
    <x v="6"/>
    <s v="6206 3rd Ridge"/>
    <n v="18"/>
    <n v="3"/>
    <s v="YES"/>
    <n v="2"/>
    <n v="1"/>
    <s v="YES"/>
    <n v="69000"/>
    <n v="13800"/>
    <n v="6900"/>
    <n v="48300"/>
    <s v="Ford"/>
    <s v="F150"/>
    <n v="1995"/>
    <s v="Y"/>
    <n v="54.909200872180932"/>
    <n v="-67744.38"/>
    <n v="1.819712757786119E-2"/>
    <n v="20"/>
    <n v="313"/>
    <x v="0"/>
    <x v="0"/>
  </r>
  <r>
    <n v="210"/>
    <n v="38"/>
    <n v="950880"/>
    <d v="1998-12-19T00:00:00"/>
    <s v="IN"/>
    <s v="250/500"/>
    <n v="500"/>
    <n v="999.52"/>
    <n v="0"/>
    <n v="615229"/>
    <s v="MALE"/>
    <s v="JD"/>
    <s v="tech-support"/>
    <s v="golf"/>
    <s v="other-relative"/>
    <n v="0"/>
    <n v="0"/>
    <d v="2015-01-13T00:00:00"/>
    <s v="Vehicle Theft"/>
    <s v="?"/>
    <s v="Minor Damage"/>
    <s v="Police"/>
    <x v="1"/>
    <x v="3"/>
    <s v="7240 5th Ridge"/>
    <n v="6"/>
    <n v="1"/>
    <s v="?"/>
    <n v="1"/>
    <n v="2"/>
    <s v="NO"/>
    <n v="8640"/>
    <n v="1440"/>
    <n v="720"/>
    <n v="6480"/>
    <s v="Accura"/>
    <s v="TL"/>
    <n v="2008"/>
    <s v="N"/>
    <n v="8.6355095350417788"/>
    <n v="-7640.48"/>
    <n v="0.11567179724568916"/>
    <n v="7"/>
    <n v="210"/>
    <x v="2"/>
    <x v="0"/>
  </r>
  <r>
    <n v="101"/>
    <n v="29"/>
    <n v="788502"/>
    <d v="2014-08-31T00:00:00"/>
    <s v="OH"/>
    <s v="250/500"/>
    <n v="500"/>
    <n v="1380.89"/>
    <n v="0"/>
    <n v="620197"/>
    <s v="MALE"/>
    <s v="PhD"/>
    <s v="armed-forces"/>
    <s v="dancing"/>
    <s v="own-child"/>
    <n v="30000"/>
    <n v="-53000"/>
    <d v="2015-02-28T00:00:00"/>
    <s v="Multi-vehicle Collision"/>
    <s v="Rear Collision"/>
    <s v="Minor Damage"/>
    <s v="Ambulance"/>
    <x v="0"/>
    <x v="2"/>
    <s v="8100 3rd Ave"/>
    <n v="0"/>
    <n v="3"/>
    <s v="?"/>
    <n v="2"/>
    <n v="1"/>
    <s v="?"/>
    <n v="67210"/>
    <n v="12220"/>
    <n v="12220"/>
    <n v="42770"/>
    <s v="BMW"/>
    <s v="X6"/>
    <n v="1996"/>
    <s v="N"/>
    <n v="48.636287982400908"/>
    <n v="-65829.11"/>
    <n v="2.0545595215068962E-2"/>
    <n v="19"/>
    <n v="101"/>
    <x v="0"/>
    <x v="0"/>
  </r>
  <r>
    <n v="153"/>
    <n v="37"/>
    <n v="627486"/>
    <d v="2005-11-10T00:00:00"/>
    <s v="IN"/>
    <s v="500/1000"/>
    <n v="500"/>
    <n v="1010.77"/>
    <n v="0"/>
    <n v="438215"/>
    <s v="MALE"/>
    <s v="High School"/>
    <s v="transport-moving"/>
    <s v="basketball"/>
    <s v="unmarried"/>
    <n v="52300"/>
    <n v="-55600"/>
    <d v="2015-01-16T00:00:00"/>
    <s v="Multi-vehicle Collision"/>
    <s v="Side Collision"/>
    <s v="Total Loss"/>
    <s v="Ambulance"/>
    <x v="5"/>
    <x v="2"/>
    <s v="3282 4th Lane"/>
    <n v="5"/>
    <n v="3"/>
    <s v="?"/>
    <n v="0"/>
    <n v="3"/>
    <s v="NO"/>
    <n v="42500"/>
    <n v="4250"/>
    <n v="4250"/>
    <n v="34000"/>
    <s v="Volkswagen"/>
    <s v="Jetta"/>
    <n v="1999"/>
    <s v="N"/>
    <n v="42.005594156774762"/>
    <n v="-41489.230000000003"/>
    <n v="2.3782263946730664E-2"/>
    <n v="16"/>
    <n v="153"/>
    <x v="0"/>
    <x v="0"/>
  </r>
  <r>
    <n v="337"/>
    <n v="53"/>
    <n v="498842"/>
    <d v="2000-05-04T00:00:00"/>
    <s v="OH"/>
    <s v="100/300"/>
    <n v="500"/>
    <n v="1205.8599999999999"/>
    <n v="0"/>
    <n v="444583"/>
    <s v="MALE"/>
    <s v="Associate"/>
    <s v="armed-forces"/>
    <s v="basketball"/>
    <s v="wife"/>
    <n v="0"/>
    <n v="-34600"/>
    <d v="2015-02-01T00:00:00"/>
    <s v="Single Vehicle Collision"/>
    <s v="Rear Collision"/>
    <s v="Minor Damage"/>
    <s v="Fire"/>
    <x v="0"/>
    <x v="2"/>
    <s v="3227 Maple Ave"/>
    <n v="8"/>
    <n v="1"/>
    <s v="YES"/>
    <n v="0"/>
    <n v="1"/>
    <s v="NO"/>
    <n v="86400"/>
    <n v="14400"/>
    <n v="7200"/>
    <n v="64800"/>
    <s v="Accura"/>
    <s v="RSX"/>
    <n v="2001"/>
    <s v="N"/>
    <n v="71.590739605256616"/>
    <n v="-85194.14"/>
    <n v="1.3956551428802906E-2"/>
    <n v="14"/>
    <n v="337"/>
    <x v="0"/>
    <x v="0"/>
  </r>
  <r>
    <n v="360"/>
    <n v="51"/>
    <n v="550294"/>
    <d v="2001-11-26T00:00:00"/>
    <s v="IL"/>
    <s v="500/1000"/>
    <n v="1000"/>
    <n v="1526.61"/>
    <n v="0"/>
    <n v="471866"/>
    <s v="MALE"/>
    <s v="Masters"/>
    <s v="handlers-cleaners"/>
    <s v="chess"/>
    <s v="not-in-family"/>
    <n v="0"/>
    <n v="-32900"/>
    <d v="2015-01-30T00:00:00"/>
    <s v="Vehicle Theft"/>
    <s v="?"/>
    <s v="Minor Damage"/>
    <s v="Police"/>
    <x v="0"/>
    <x v="4"/>
    <s v="4264 Lincoln Ridge"/>
    <n v="5"/>
    <n v="1"/>
    <s v="YES"/>
    <n v="2"/>
    <n v="2"/>
    <s v="?"/>
    <n v="4620"/>
    <n v="840"/>
    <n v="840"/>
    <n v="2940"/>
    <s v="Dodge"/>
    <s v="RAM"/>
    <n v="2009"/>
    <s v="Y"/>
    <n v="3.0243321266553638"/>
    <n v="-3093.3900000000003"/>
    <n v="0.33036355767149966"/>
    <n v="6"/>
    <n v="360"/>
    <x v="1"/>
    <x v="1"/>
  </r>
  <r>
    <n v="428"/>
    <n v="53"/>
    <n v="328387"/>
    <d v="2014-05-06T00:00:00"/>
    <s v="IL"/>
    <s v="100/300"/>
    <n v="1000"/>
    <n v="1496.44"/>
    <n v="0"/>
    <n v="616884"/>
    <s v="FEMALE"/>
    <s v="High School"/>
    <s v="tech-support"/>
    <s v="camping"/>
    <s v="unmarried"/>
    <n v="0"/>
    <n v="0"/>
    <d v="2015-02-16T00:00:00"/>
    <s v="Parked Car"/>
    <s v="?"/>
    <s v="Trivial Damage"/>
    <s v="Police"/>
    <x v="5"/>
    <x v="3"/>
    <s v="2215 Best Ave"/>
    <n v="9"/>
    <n v="1"/>
    <s v="YES"/>
    <n v="2"/>
    <n v="2"/>
    <s v="NO"/>
    <n v="6930"/>
    <n v="630"/>
    <n v="1260"/>
    <n v="5040"/>
    <s v="Honda"/>
    <s v="CRV"/>
    <n v="2013"/>
    <s v="N"/>
    <n v="4.62789827973074"/>
    <n v="-5433.5599999999995"/>
    <n v="0.21590535276294909"/>
    <n v="2"/>
    <n v="428"/>
    <x v="1"/>
    <x v="0"/>
  </r>
  <r>
    <n v="204"/>
    <n v="40"/>
    <n v="540152"/>
    <d v="1991-01-27T00:00:00"/>
    <s v="IL"/>
    <s v="100/300"/>
    <n v="500"/>
    <n v="1256.2"/>
    <n v="0"/>
    <n v="448310"/>
    <s v="FEMALE"/>
    <s v="JD"/>
    <s v="sales"/>
    <s v="hiking"/>
    <s v="not-in-family"/>
    <n v="0"/>
    <n v="0"/>
    <d v="2015-01-07T00:00:00"/>
    <s v="Multi-vehicle Collision"/>
    <s v="Side Collision"/>
    <s v="Minor Damage"/>
    <s v="Other"/>
    <x v="0"/>
    <x v="5"/>
    <s v="5363 Weaver Lane"/>
    <n v="10"/>
    <n v="3"/>
    <s v="YES"/>
    <n v="1"/>
    <n v="2"/>
    <s v="YES"/>
    <n v="41700"/>
    <n v="8340"/>
    <n v="8340"/>
    <n v="25020"/>
    <s v="Saab"/>
    <n v="95"/>
    <n v="2013"/>
    <s v="N"/>
    <n v="33.168946866051542"/>
    <n v="-40443.800000000003"/>
    <n v="3.0123977842257982E-2"/>
    <n v="2"/>
    <n v="204"/>
    <x v="0"/>
    <x v="0"/>
  </r>
  <r>
    <n v="364"/>
    <n v="51"/>
    <n v="385932"/>
    <d v="1992-04-28T00:00:00"/>
    <s v="IL"/>
    <s v="100/300"/>
    <n v="500"/>
    <n v="1268.3499999999999"/>
    <n v="0"/>
    <n v="478902"/>
    <s v="MALE"/>
    <s v="Masters"/>
    <s v="transport-moving"/>
    <s v="board-games"/>
    <s v="wife"/>
    <n v="0"/>
    <n v="0"/>
    <d v="2015-01-10T00:00:00"/>
    <s v="Single Vehicle Collision"/>
    <s v="Rear Collision"/>
    <s v="Major Damage"/>
    <s v="Other"/>
    <x v="2"/>
    <x v="6"/>
    <s v="2397 Cherokee Ave"/>
    <n v="16"/>
    <n v="1"/>
    <s v="YES"/>
    <n v="2"/>
    <n v="1"/>
    <s v="NO"/>
    <n v="77330"/>
    <n v="14060"/>
    <n v="14060"/>
    <n v="49210"/>
    <s v="Volkswagen"/>
    <s v="Jetta"/>
    <n v="2014"/>
    <s v="Y"/>
    <n v="60.92094379012881"/>
    <n v="-76061.649999999994"/>
    <n v="1.6401572461238054E-2"/>
    <n v="1"/>
    <n v="364"/>
    <x v="0"/>
    <x v="0"/>
  </r>
  <r>
    <n v="185"/>
    <n v="35"/>
    <n v="618682"/>
    <d v="2000-03-04T00:00:00"/>
    <s v="IN"/>
    <s v="500/1000"/>
    <n v="2000"/>
    <n v="1421.59"/>
    <n v="0"/>
    <n v="442695"/>
    <s v="MALE"/>
    <s v="College"/>
    <s v="other-service"/>
    <s v="sleeping"/>
    <s v="own-child"/>
    <n v="0"/>
    <n v="0"/>
    <d v="2015-01-31T00:00:00"/>
    <s v="Vehicle Theft"/>
    <s v="?"/>
    <s v="Trivial Damage"/>
    <s v="Police"/>
    <x v="4"/>
    <x v="2"/>
    <s v="9794 Embaracadero St"/>
    <n v="8"/>
    <n v="1"/>
    <s v="?"/>
    <n v="2"/>
    <n v="3"/>
    <s v="YES"/>
    <n v="4950"/>
    <n v="900"/>
    <n v="450"/>
    <n v="3600"/>
    <s v="Ford"/>
    <s v="F150"/>
    <n v="2011"/>
    <s v="N"/>
    <n v="3.4795689552154876"/>
    <n v="-3528.41"/>
    <n v="0.2871318925469602"/>
    <n v="4"/>
    <n v="185"/>
    <x v="1"/>
    <x v="1"/>
  </r>
  <r>
    <n v="63"/>
    <n v="26"/>
    <n v="550930"/>
    <d v="1995-10-12T00:00:00"/>
    <s v="IL"/>
    <s v="500/1000"/>
    <n v="500"/>
    <n v="1500.04"/>
    <n v="6000000"/>
    <n v="613826"/>
    <s v="MALE"/>
    <s v="PhD"/>
    <s v="craft-repair"/>
    <s v="polo"/>
    <s v="own-child"/>
    <n v="0"/>
    <n v="-36500"/>
    <d v="2015-02-13T00:00:00"/>
    <s v="Vehicle Theft"/>
    <s v="?"/>
    <s v="Minor Damage"/>
    <s v="Police"/>
    <x v="5"/>
    <x v="6"/>
    <s v="1810 Elm Hwy"/>
    <n v="5"/>
    <n v="1"/>
    <s v="NO"/>
    <n v="0"/>
    <n v="2"/>
    <s v="YES"/>
    <n v="5160"/>
    <n v="860"/>
    <n v="860"/>
    <n v="3440"/>
    <s v="Accura"/>
    <s v="TL"/>
    <n v="2004"/>
    <s v="N"/>
    <n v="3.4376165858338221"/>
    <n v="-3659.96"/>
    <n v="0.2906490990118194"/>
    <n v="11"/>
    <n v="63"/>
    <x v="1"/>
    <x v="1"/>
  </r>
  <r>
    <n v="210"/>
    <n v="35"/>
    <n v="998192"/>
    <d v="2014-04-25T00:00:00"/>
    <s v="IL"/>
    <s v="100/300"/>
    <n v="500"/>
    <n v="1433.24"/>
    <n v="0"/>
    <n v="476203"/>
    <s v="FEMALE"/>
    <s v="College"/>
    <s v="exec-managerial"/>
    <s v="yachting"/>
    <s v="not-in-family"/>
    <n v="0"/>
    <n v="-19500"/>
    <d v="2015-02-22T00:00:00"/>
    <s v="Multi-vehicle Collision"/>
    <s v="Side Collision"/>
    <s v="Total Loss"/>
    <s v="Fire"/>
    <x v="4"/>
    <x v="1"/>
    <s v="9603 Texas Lane"/>
    <n v="11"/>
    <n v="3"/>
    <s v="NO"/>
    <n v="2"/>
    <n v="1"/>
    <s v="?"/>
    <n v="24570"/>
    <n v="2730"/>
    <n v="2730"/>
    <n v="19110"/>
    <s v="Saab"/>
    <n v="95"/>
    <n v="2006"/>
    <s v="Y"/>
    <n v="17.131024096385541"/>
    <n v="-23136.76"/>
    <n v="5.83305522770746E-2"/>
    <n v="9"/>
    <n v="210"/>
    <x v="2"/>
    <x v="0"/>
  </r>
  <r>
    <n v="194"/>
    <n v="38"/>
    <n v="663938"/>
    <d v="2011-01-26T00:00:00"/>
    <s v="IN"/>
    <s v="100/300"/>
    <n v="2000"/>
    <n v="1231.25"/>
    <n v="0"/>
    <n v="604333"/>
    <s v="FEMALE"/>
    <s v="PhD"/>
    <s v="craft-repair"/>
    <s v="movies"/>
    <s v="not-in-family"/>
    <n v="46500"/>
    <n v="0"/>
    <d v="2015-01-08T00:00:00"/>
    <s v="Multi-vehicle Collision"/>
    <s v="Rear Collision"/>
    <s v="Minor Damage"/>
    <s v="Ambulance"/>
    <x v="4"/>
    <x v="2"/>
    <s v="5650 Sky Drive"/>
    <n v="15"/>
    <n v="3"/>
    <s v="?"/>
    <n v="1"/>
    <n v="0"/>
    <s v="?"/>
    <n v="53680"/>
    <n v="4880"/>
    <n v="9760"/>
    <n v="39040"/>
    <s v="Toyota"/>
    <s v="Camry"/>
    <n v="2011"/>
    <s v="N"/>
    <n v="43.562588760397645"/>
    <n v="-52448.75"/>
    <n v="2.2936420707512901E-2"/>
    <n v="4"/>
    <n v="194"/>
    <x v="0"/>
    <x v="0"/>
  </r>
  <r>
    <n v="294"/>
    <n v="49"/>
    <n v="756870"/>
    <d v="1996-01-26T00:00:00"/>
    <s v="IN"/>
    <s v="500/1000"/>
    <n v="500"/>
    <n v="1135.43"/>
    <n v="0"/>
    <n v="442604"/>
    <s v="MALE"/>
    <s v="Masters"/>
    <s v="farming-fishing"/>
    <s v="bungie-jumping"/>
    <s v="own-child"/>
    <n v="22700"/>
    <n v="0"/>
    <d v="2015-02-04T00:00:00"/>
    <s v="Multi-vehicle Collision"/>
    <s v="Side Collision"/>
    <s v="Total Loss"/>
    <s v="Police"/>
    <x v="4"/>
    <x v="0"/>
    <s v="9633 MLK Lane"/>
    <n v="23"/>
    <n v="3"/>
    <s v="YES"/>
    <n v="1"/>
    <n v="1"/>
    <s v="YES"/>
    <n v="42900"/>
    <n v="3900"/>
    <n v="3900"/>
    <n v="35100"/>
    <s v="Chevrolet"/>
    <s v="Malibu"/>
    <n v="2010"/>
    <s v="N"/>
    <n v="37.749795411947943"/>
    <n v="-41764.57"/>
    <n v="2.6466282837229904E-2"/>
    <n v="5"/>
    <n v="294"/>
    <x v="0"/>
    <x v="0"/>
  </r>
  <r>
    <n v="272"/>
    <n v="41"/>
    <n v="337158"/>
    <d v="1991-04-08T00:00:00"/>
    <s v="OH"/>
    <s v="250/500"/>
    <n v="2000"/>
    <n v="945.73"/>
    <n v="5000000"/>
    <n v="435663"/>
    <s v="MALE"/>
    <s v="MD"/>
    <s v="protective-serv"/>
    <s v="chess"/>
    <s v="wife"/>
    <n v="38600"/>
    <n v="-42800"/>
    <d v="2015-02-04T00:00:00"/>
    <s v="Single Vehicle Collision"/>
    <s v="Front Collision"/>
    <s v="Minor Damage"/>
    <s v="Fire"/>
    <x v="2"/>
    <x v="2"/>
    <s v="4981 Flute Hwy"/>
    <n v="23"/>
    <n v="1"/>
    <s v="NO"/>
    <n v="0"/>
    <n v="0"/>
    <s v="NO"/>
    <n v="84100"/>
    <n v="16820"/>
    <n v="8410"/>
    <n v="58870"/>
    <s v="Ford"/>
    <s v="Escape"/>
    <n v="2009"/>
    <s v="Y"/>
    <n v="88.832085177400103"/>
    <n v="-83154.27"/>
    <n v="1.1245169498579091E-2"/>
    <n v="6"/>
    <n v="272"/>
    <x v="0"/>
    <x v="0"/>
  </r>
  <r>
    <n v="27"/>
    <n v="27"/>
    <n v="919875"/>
    <d v="2002-06-29T00:00:00"/>
    <s v="IN"/>
    <s v="100/300"/>
    <n v="2000"/>
    <n v="1118.76"/>
    <n v="0"/>
    <n v="470866"/>
    <s v="FEMALE"/>
    <s v="College"/>
    <s v="adm-clerical"/>
    <s v="dancing"/>
    <s v="own-child"/>
    <n v="0"/>
    <n v="-55800"/>
    <d v="2015-02-26T00:00:00"/>
    <s v="Single Vehicle Collision"/>
    <s v="Front Collision"/>
    <s v="Total Loss"/>
    <s v="Fire"/>
    <x v="2"/>
    <x v="6"/>
    <s v="9078 Francis Ridge"/>
    <n v="23"/>
    <n v="1"/>
    <s v="?"/>
    <n v="1"/>
    <n v="3"/>
    <s v="?"/>
    <n v="61560"/>
    <n v="6840"/>
    <n v="6840"/>
    <n v="47880"/>
    <s v="Ford"/>
    <s v="Fusion"/>
    <n v="2008"/>
    <s v="N"/>
    <n v="54.976066299921413"/>
    <n v="-60441.24"/>
    <n v="1.8173194067672715E-2"/>
    <n v="7"/>
    <n v="27"/>
    <x v="0"/>
    <x v="0"/>
  </r>
  <r>
    <n v="251"/>
    <n v="39"/>
    <n v="315631"/>
    <d v="1999-04-09T00:00:00"/>
    <s v="IN"/>
    <s v="500/1000"/>
    <n v="2000"/>
    <n v="1231.98"/>
    <n v="0"/>
    <n v="612908"/>
    <s v="FEMALE"/>
    <s v="Associate"/>
    <s v="other-service"/>
    <s v="hiking"/>
    <s v="not-in-family"/>
    <n v="0"/>
    <n v="-31700"/>
    <d v="2015-01-08T00:00:00"/>
    <s v="Single Vehicle Collision"/>
    <s v="Rear Collision"/>
    <s v="Minor Damage"/>
    <s v="Police"/>
    <x v="2"/>
    <x v="4"/>
    <s v="1381 Francis Ave"/>
    <n v="10"/>
    <n v="1"/>
    <s v="YES"/>
    <n v="0"/>
    <n v="0"/>
    <s v="?"/>
    <n v="44240"/>
    <n v="5530"/>
    <n v="5530"/>
    <n v="33180"/>
    <s v="Dodge"/>
    <s v="RAM"/>
    <n v="1997"/>
    <s v="N"/>
    <n v="35.880549562847733"/>
    <n v="-43008.02"/>
    <n v="2.7847019732827015E-2"/>
    <n v="18"/>
    <n v="251"/>
    <x v="0"/>
    <x v="0"/>
  </r>
  <r>
    <n v="180"/>
    <n v="33"/>
    <n v="113464"/>
    <d v="2009-04-19T00:00:00"/>
    <s v="IN"/>
    <s v="500/1000"/>
    <n v="2000"/>
    <n v="1005.47"/>
    <n v="0"/>
    <n v="441871"/>
    <s v="FEMALE"/>
    <s v="JD"/>
    <s v="protective-serv"/>
    <s v="hiking"/>
    <s v="own-child"/>
    <n v="58100"/>
    <n v="-49000"/>
    <d v="2015-02-15T00:00:00"/>
    <s v="Multi-vehicle Collision"/>
    <s v="Rear Collision"/>
    <s v="Minor Damage"/>
    <s v="Ambulance"/>
    <x v="1"/>
    <x v="0"/>
    <s v="6435 Texas Ave"/>
    <n v="12"/>
    <n v="4"/>
    <s v="?"/>
    <n v="2"/>
    <n v="3"/>
    <s v="YES"/>
    <n v="57700"/>
    <n v="11540"/>
    <n v="5770"/>
    <n v="40390"/>
    <s v="Jeep"/>
    <s v="Grand Cherokee"/>
    <n v="2002"/>
    <s v="N"/>
    <n v="57.329080846920426"/>
    <n v="-56694.53"/>
    <n v="1.7425521221469301E-2"/>
    <n v="13"/>
    <n v="180"/>
    <x v="0"/>
    <x v="0"/>
  </r>
  <r>
    <n v="392"/>
    <n v="50"/>
    <n v="556415"/>
    <d v="1991-08-22T00:00:00"/>
    <s v="OH"/>
    <s v="100/300"/>
    <n v="2000"/>
    <n v="1108.97"/>
    <n v="0"/>
    <n v="431496"/>
    <s v="FEMALE"/>
    <s v="PhD"/>
    <s v="exec-managerial"/>
    <s v="exercise"/>
    <s v="not-in-family"/>
    <n v="68400"/>
    <n v="-66800"/>
    <d v="2015-01-14T00:00:00"/>
    <s v="Single Vehicle Collision"/>
    <s v="Side Collision"/>
    <s v="Minor Damage"/>
    <s v="Other"/>
    <x v="4"/>
    <x v="3"/>
    <s v="1248 MLK Ridge"/>
    <n v="4"/>
    <n v="1"/>
    <s v="NO"/>
    <n v="2"/>
    <n v="2"/>
    <s v="YES"/>
    <n v="108030"/>
    <n v="16620"/>
    <n v="16620"/>
    <n v="74790"/>
    <s v="Saab"/>
    <s v="92x"/>
    <n v="2002"/>
    <s v="N"/>
    <n v="97.326954782561685"/>
    <n v="-106921.03"/>
    <n v="1.0265294221103203E-2"/>
    <n v="13"/>
    <n v="392"/>
    <x v="0"/>
    <x v="0"/>
  </r>
  <r>
    <n v="143"/>
    <n v="30"/>
    <n v="250249"/>
    <d v="1991-11-28T00:00:00"/>
    <s v="IN"/>
    <s v="100/300"/>
    <n v="500"/>
    <n v="1392.39"/>
    <n v="5000000"/>
    <n v="436499"/>
    <s v="FEMALE"/>
    <s v="High School"/>
    <s v="exec-managerial"/>
    <s v="dancing"/>
    <s v="unmarried"/>
    <n v="0"/>
    <n v="-65700"/>
    <d v="2015-01-12T00:00:00"/>
    <s v="Single Vehicle Collision"/>
    <s v="Rear Collision"/>
    <s v="Minor Damage"/>
    <s v="Fire"/>
    <x v="0"/>
    <x v="1"/>
    <s v="3323 1st Lane"/>
    <n v="16"/>
    <n v="1"/>
    <s v="NO"/>
    <n v="2"/>
    <n v="0"/>
    <s v="YES"/>
    <n v="54300"/>
    <n v="10860"/>
    <n v="5430"/>
    <n v="38010"/>
    <s v="Toyota"/>
    <s v="Highlander"/>
    <n v="2010"/>
    <s v="N"/>
    <n v="38.969706973639823"/>
    <n v="-52907.61"/>
    <n v="2.5642069206828606E-2"/>
    <n v="5"/>
    <n v="143"/>
    <x v="0"/>
    <x v="0"/>
  </r>
  <r>
    <n v="371"/>
    <n v="54"/>
    <n v="403776"/>
    <d v="2012-04-27T00:00:00"/>
    <s v="IN"/>
    <s v="100/300"/>
    <n v="2000"/>
    <n v="1317.97"/>
    <n v="0"/>
    <n v="469853"/>
    <s v="MALE"/>
    <s v="High School"/>
    <s v="craft-repair"/>
    <s v="movies"/>
    <s v="wife"/>
    <n v="34700"/>
    <n v="-81000"/>
    <d v="2015-01-18T00:00:00"/>
    <s v="Multi-vehicle Collision"/>
    <s v="Front Collision"/>
    <s v="Major Damage"/>
    <s v="Ambulance"/>
    <x v="0"/>
    <x v="0"/>
    <s v="6971 Best Ridge"/>
    <n v="18"/>
    <n v="3"/>
    <s v="?"/>
    <n v="1"/>
    <n v="2"/>
    <s v="?"/>
    <n v="32280"/>
    <n v="5380"/>
    <n v="5380"/>
    <n v="21520"/>
    <s v="Ford"/>
    <s v="Fusion"/>
    <n v="2010"/>
    <s v="Y"/>
    <n v="24.473642311803907"/>
    <n v="-30962.03"/>
    <n v="4.0828041262662249E-2"/>
    <n v="5"/>
    <n v="371"/>
    <x v="0"/>
    <x v="0"/>
  </r>
  <r>
    <n v="292"/>
    <n v="42"/>
    <n v="396002"/>
    <d v="2007-03-04T00:00:00"/>
    <s v="IN"/>
    <s v="250/500"/>
    <n v="1000"/>
    <n v="1588.22"/>
    <n v="0"/>
    <n v="605369"/>
    <s v="MALE"/>
    <s v="JD"/>
    <s v="machine-op-inspct"/>
    <s v="camping"/>
    <s v="other-relative"/>
    <n v="0"/>
    <n v="-53800"/>
    <d v="2015-01-15T00:00:00"/>
    <s v="Multi-vehicle Collision"/>
    <s v="Rear Collision"/>
    <s v="Total Loss"/>
    <s v="Other"/>
    <x v="4"/>
    <x v="1"/>
    <s v="7488 Lincoln Lane"/>
    <n v="15"/>
    <n v="3"/>
    <s v="YES"/>
    <n v="1"/>
    <n v="1"/>
    <s v="NO"/>
    <n v="84600"/>
    <n v="16920"/>
    <n v="8460"/>
    <n v="59220"/>
    <s v="Chevrolet"/>
    <s v="Malibu"/>
    <n v="2007"/>
    <s v="N"/>
    <n v="53.233661796352926"/>
    <n v="-83011.78"/>
    <n v="1.8773064148177917E-2"/>
    <n v="8"/>
    <n v="292"/>
    <x v="0"/>
    <x v="0"/>
  </r>
  <r>
    <n v="165"/>
    <n v="35"/>
    <n v="976908"/>
    <d v="2012-12-31T00:00:00"/>
    <s v="IL"/>
    <s v="250/500"/>
    <n v="500"/>
    <n v="900.02"/>
    <n v="6000000"/>
    <n v="448466"/>
    <s v="MALE"/>
    <s v="College"/>
    <s v="craft-repair"/>
    <s v="camping"/>
    <s v="own-child"/>
    <n v="0"/>
    <n v="-49900"/>
    <d v="2015-02-24T00:00:00"/>
    <s v="Single Vehicle Collision"/>
    <s v="Front Collision"/>
    <s v="Total Loss"/>
    <s v="Other"/>
    <x v="0"/>
    <x v="3"/>
    <s v="9007 Francis Hwy"/>
    <n v="8"/>
    <n v="1"/>
    <s v="NO"/>
    <n v="1"/>
    <n v="3"/>
    <s v="YES"/>
    <n v="69700"/>
    <n v="6970"/>
    <n v="6970"/>
    <n v="55760"/>
    <s v="BMW"/>
    <s v="3 Series"/>
    <n v="2008"/>
    <s v="N"/>
    <n v="77.356773434551954"/>
    <n v="-68799.98"/>
    <n v="1.2912583750591813E-2"/>
    <n v="7"/>
    <n v="165"/>
    <x v="0"/>
    <x v="0"/>
  </r>
  <r>
    <n v="158"/>
    <n v="33"/>
    <n v="509489"/>
    <d v="2013-12-21T00:00:00"/>
    <s v="OH"/>
    <s v="100/300"/>
    <n v="1000"/>
    <n v="1744.64"/>
    <n v="3000000"/>
    <n v="432786"/>
    <s v="MALE"/>
    <s v="JD"/>
    <s v="prof-specialty"/>
    <s v="movies"/>
    <s v="unmarried"/>
    <n v="0"/>
    <n v="0"/>
    <d v="2015-02-07T00:00:00"/>
    <s v="Multi-vehicle Collision"/>
    <s v="Rear Collision"/>
    <s v="Total Loss"/>
    <s v="Ambulance"/>
    <x v="4"/>
    <x v="3"/>
    <s v="1491 Francis Ridge"/>
    <n v="4"/>
    <n v="3"/>
    <s v="NO"/>
    <n v="0"/>
    <n v="1"/>
    <s v="NO"/>
    <n v="36400"/>
    <n v="3640"/>
    <n v="7280"/>
    <n v="25480"/>
    <s v="Volkswagen"/>
    <s v="Jetta"/>
    <n v="1998"/>
    <s v="N"/>
    <n v="20.851951146857314"/>
    <n v="-34655.360000000001"/>
    <n v="4.7928353616658884E-2"/>
    <n v="17"/>
    <n v="158"/>
    <x v="0"/>
    <x v="0"/>
  </r>
  <r>
    <n v="241"/>
    <n v="39"/>
    <n v="485295"/>
    <d v="2005-04-28T00:00:00"/>
    <s v="OH"/>
    <s v="250/500"/>
    <n v="1000"/>
    <n v="1260.56"/>
    <n v="0"/>
    <n v="473591"/>
    <s v="FEMALE"/>
    <s v="JD"/>
    <s v="adm-clerical"/>
    <s v="paintball"/>
    <s v="own-child"/>
    <n v="0"/>
    <n v="-54900"/>
    <d v="2015-02-22T00:00:00"/>
    <s v="Multi-vehicle Collision"/>
    <s v="Side Collision"/>
    <s v="Minor Damage"/>
    <s v="Police"/>
    <x v="0"/>
    <x v="6"/>
    <s v="3659 Oak Lane"/>
    <n v="20"/>
    <n v="3"/>
    <s v="NO"/>
    <n v="0"/>
    <n v="2"/>
    <s v="YES"/>
    <n v="37520"/>
    <n v="4690"/>
    <n v="4690"/>
    <n v="28140"/>
    <s v="Jeep"/>
    <s v="Wrangler"/>
    <n v="2010"/>
    <s v="N"/>
    <n v="29.740955642220744"/>
    <n v="-36259.440000000002"/>
    <n v="3.3596119506409741E-2"/>
    <n v="5"/>
    <n v="241"/>
    <x v="0"/>
    <x v="0"/>
  </r>
  <r>
    <n v="103"/>
    <n v="33"/>
    <n v="361829"/>
    <d v="1994-09-17T00:00:00"/>
    <s v="OH"/>
    <s v="500/1000"/>
    <n v="2000"/>
    <n v="1021.14"/>
    <n v="0"/>
    <n v="618418"/>
    <s v="FEMALE"/>
    <s v="Masters"/>
    <s v="other-service"/>
    <s v="paintball"/>
    <s v="wife"/>
    <n v="69500"/>
    <n v="-47700"/>
    <d v="2015-01-19T00:00:00"/>
    <s v="Multi-vehicle Collision"/>
    <s v="Side Collision"/>
    <s v="Major Damage"/>
    <s v="Ambulance"/>
    <x v="2"/>
    <x v="5"/>
    <s v="4176 Britain Hwy"/>
    <n v="1"/>
    <n v="3"/>
    <s v="NO"/>
    <n v="2"/>
    <n v="3"/>
    <s v="?"/>
    <n v="79090"/>
    <n v="14380"/>
    <n v="14380"/>
    <n v="50330"/>
    <s v="Dodge"/>
    <s v="RAM"/>
    <n v="2014"/>
    <s v="N"/>
    <n v="77.376875966110319"/>
    <n v="-78068.86"/>
    <n v="1.2910950677068187E-2"/>
    <n v="1"/>
    <n v="103"/>
    <x v="0"/>
    <x v="0"/>
  </r>
  <r>
    <n v="402"/>
    <n v="54"/>
    <n v="603632"/>
    <d v="2003-08-16T00:00:00"/>
    <s v="OH"/>
    <s v="250/500"/>
    <n v="2000"/>
    <n v="1285.0899999999999"/>
    <n v="0"/>
    <n v="444558"/>
    <s v="MALE"/>
    <s v="JD"/>
    <s v="farming-fishing"/>
    <s v="board-games"/>
    <s v="not-in-family"/>
    <n v="48000"/>
    <n v="-79600"/>
    <d v="2015-02-28T00:00:00"/>
    <s v="Single Vehicle Collision"/>
    <s v="Rear Collision"/>
    <s v="Major Damage"/>
    <s v="Other"/>
    <x v="2"/>
    <x v="3"/>
    <s v="5189 Francis Drive"/>
    <n v="19"/>
    <n v="1"/>
    <s v="NO"/>
    <n v="0"/>
    <n v="2"/>
    <s v="YES"/>
    <n v="67770"/>
    <n v="7530"/>
    <n v="15060"/>
    <n v="45180"/>
    <s v="Mercedes"/>
    <s v="ML350"/>
    <n v="2013"/>
    <s v="Y"/>
    <n v="52.694601466460362"/>
    <n v="-66484.91"/>
    <n v="1.8962240486343714E-2"/>
    <n v="2"/>
    <n v="402"/>
    <x v="0"/>
    <x v="0"/>
  </r>
  <r>
    <n v="102"/>
    <n v="32"/>
    <n v="783494"/>
    <d v="2014-09-02T00:00:00"/>
    <s v="OH"/>
    <s v="100/300"/>
    <n v="500"/>
    <n v="1537.07"/>
    <n v="3000000"/>
    <n v="457733"/>
    <s v="MALE"/>
    <s v="JD"/>
    <s v="tech-support"/>
    <s v="chess"/>
    <s v="wife"/>
    <n v="0"/>
    <n v="0"/>
    <d v="2015-02-04T00:00:00"/>
    <s v="Single Vehicle Collision"/>
    <s v="Side Collision"/>
    <s v="Total Loss"/>
    <s v="Other"/>
    <x v="3"/>
    <x v="5"/>
    <s v="6515 Oak Lane"/>
    <n v="11"/>
    <n v="1"/>
    <s v="NO"/>
    <n v="1"/>
    <n v="0"/>
    <s v="NO"/>
    <n v="47400"/>
    <n v="9480"/>
    <n v="4740"/>
    <n v="33180"/>
    <s v="Chevrolet"/>
    <s v="Silverado"/>
    <n v="2004"/>
    <s v="Y"/>
    <n v="30.817843141079408"/>
    <n v="-45862.93"/>
    <n v="3.2426953017868819E-2"/>
    <n v="11"/>
    <n v="102"/>
    <x v="0"/>
    <x v="0"/>
  </r>
  <r>
    <n v="182"/>
    <n v="40"/>
    <n v="439049"/>
    <d v="2011-12-12T00:00:00"/>
    <s v="IN"/>
    <s v="100/300"/>
    <n v="1000"/>
    <n v="1022.42"/>
    <n v="0"/>
    <n v="466161"/>
    <s v="MALE"/>
    <s v="PhD"/>
    <s v="other-service"/>
    <s v="skydiving"/>
    <s v="husband"/>
    <n v="50000"/>
    <n v="-56900"/>
    <d v="2015-02-17T00:00:00"/>
    <s v="Single Vehicle Collision"/>
    <s v="Front Collision"/>
    <s v="Total Loss"/>
    <s v="Other"/>
    <x v="0"/>
    <x v="5"/>
    <s v="7168 Andromedia Ridge"/>
    <n v="13"/>
    <n v="1"/>
    <s v="YES"/>
    <n v="0"/>
    <n v="2"/>
    <s v="?"/>
    <n v="71100"/>
    <n v="7110"/>
    <n v="14220"/>
    <n v="49770"/>
    <s v="Audi"/>
    <s v="A3"/>
    <n v="2008"/>
    <s v="N"/>
    <n v="69.472943659494632"/>
    <n v="-70077.58"/>
    <n v="1.4379825881492524E-2"/>
    <n v="7"/>
    <n v="182"/>
    <x v="0"/>
    <x v="0"/>
  </r>
  <r>
    <n v="282"/>
    <n v="46"/>
    <n v="502634"/>
    <d v="1991-08-17T00:00:00"/>
    <s v="OH"/>
    <s v="100/300"/>
    <n v="2000"/>
    <n v="1558.86"/>
    <n v="0"/>
    <n v="450800"/>
    <s v="MALE"/>
    <s v="MD"/>
    <s v="other-service"/>
    <s v="dancing"/>
    <s v="wife"/>
    <n v="51100"/>
    <n v="-75100"/>
    <d v="2015-02-17T00:00:00"/>
    <s v="Single Vehicle Collision"/>
    <s v="Front Collision"/>
    <s v="Minor Damage"/>
    <s v="Police"/>
    <x v="2"/>
    <x v="3"/>
    <s v="7954 Tree Ridge"/>
    <n v="2"/>
    <n v="1"/>
    <s v="?"/>
    <n v="2"/>
    <n v="2"/>
    <s v="NO"/>
    <n v="69400"/>
    <n v="13880"/>
    <n v="6940"/>
    <n v="48580"/>
    <s v="BMW"/>
    <s v="M5"/>
    <n v="2012"/>
    <s v="N"/>
    <n v="44.491172284692219"/>
    <n v="-67841.14"/>
    <n v="2.2461635999481273E-2"/>
    <n v="3"/>
    <n v="282"/>
    <x v="0"/>
    <x v="0"/>
  </r>
  <r>
    <n v="222"/>
    <n v="39"/>
    <n v="378588"/>
    <d v="2004-02-29T00:00:00"/>
    <s v="OH"/>
    <s v="500/1000"/>
    <n v="500"/>
    <n v="1757.87"/>
    <n v="0"/>
    <n v="458993"/>
    <s v="MALE"/>
    <s v="High School"/>
    <s v="transport-moving"/>
    <s v="board-games"/>
    <s v="not-in-family"/>
    <n v="71400"/>
    <n v="0"/>
    <d v="2015-01-17T00:00:00"/>
    <s v="Multi-vehicle Collision"/>
    <s v="Rear Collision"/>
    <s v="Major Damage"/>
    <s v="Other"/>
    <x v="0"/>
    <x v="6"/>
    <s v="1956 Apache St"/>
    <n v="9"/>
    <n v="3"/>
    <s v="YES"/>
    <n v="2"/>
    <n v="1"/>
    <s v="?"/>
    <n v="55000"/>
    <n v="5000"/>
    <n v="10000"/>
    <n v="40000"/>
    <s v="Saab"/>
    <n v="93"/>
    <n v="1996"/>
    <s v="Y"/>
    <n v="31.270076810679587"/>
    <n v="-53242.13"/>
    <n v="3.1960691623788659E-2"/>
    <n v="19"/>
    <n v="222"/>
    <x v="0"/>
    <x v="0"/>
  </r>
  <r>
    <n v="415"/>
    <n v="52"/>
    <n v="794731"/>
    <d v="2015-02-22T00:00:00"/>
    <s v="IN"/>
    <s v="250/500"/>
    <n v="1000"/>
    <n v="973.5"/>
    <n v="0"/>
    <n v="468634"/>
    <s v="MALE"/>
    <s v="PhD"/>
    <s v="machine-op-inspct"/>
    <s v="polo"/>
    <s v="not-in-family"/>
    <n v="50400"/>
    <n v="0"/>
    <d v="2015-02-02T00:00:00"/>
    <s v="Multi-vehicle Collision"/>
    <s v="Rear Collision"/>
    <s v="Total Loss"/>
    <s v="Police"/>
    <x v="4"/>
    <x v="2"/>
    <s v="9918 Andromedia Drive"/>
    <n v="15"/>
    <n v="2"/>
    <s v="YES"/>
    <n v="1"/>
    <n v="3"/>
    <s v="YES"/>
    <n v="51090"/>
    <n v="7860"/>
    <n v="7860"/>
    <n v="35370"/>
    <s v="Toyota"/>
    <s v="Highlander"/>
    <n v="2003"/>
    <s v="N"/>
    <n v="52.426885582349925"/>
    <n v="-50116.5"/>
    <n v="1.9054236558297938E-2"/>
    <n v="12"/>
    <n v="415"/>
    <x v="0"/>
    <x v="0"/>
  </r>
  <r>
    <n v="51"/>
    <n v="34"/>
    <n v="641934"/>
    <d v="2013-12-25T00:00:00"/>
    <s v="OH"/>
    <s v="500/1000"/>
    <n v="500"/>
    <n v="1430.8"/>
    <n v="0"/>
    <n v="461264"/>
    <s v="MALE"/>
    <s v="PhD"/>
    <s v="machine-op-inspct"/>
    <s v="camping"/>
    <s v="unmarried"/>
    <n v="0"/>
    <n v="0"/>
    <d v="2015-02-12T00:00:00"/>
    <s v="Single Vehicle Collision"/>
    <s v="Side Collision"/>
    <s v="Major Damage"/>
    <s v="Fire"/>
    <x v="2"/>
    <x v="3"/>
    <s v="5499 Flute Ridge"/>
    <n v="23"/>
    <n v="1"/>
    <s v="?"/>
    <n v="2"/>
    <n v="3"/>
    <s v="NO"/>
    <n v="64200"/>
    <n v="6420"/>
    <n v="19260"/>
    <n v="38520"/>
    <s v="Honda"/>
    <s v="Civic"/>
    <n v="2007"/>
    <s v="Y"/>
    <n v="44.838664617963403"/>
    <n v="-62769.2"/>
    <n v="2.2286257223407734E-2"/>
    <n v="8"/>
    <n v="51"/>
    <x v="0"/>
    <x v="0"/>
  </r>
  <r>
    <n v="255"/>
    <n v="45"/>
    <n v="113516"/>
    <d v="1990-10-13T00:00:00"/>
    <s v="IL"/>
    <s v="500/1000"/>
    <n v="500"/>
    <n v="1192.27"/>
    <n v="0"/>
    <n v="600184"/>
    <s v="MALE"/>
    <s v="High School"/>
    <s v="sales"/>
    <s v="base-jumping"/>
    <s v="own-child"/>
    <n v="0"/>
    <n v="-40200"/>
    <d v="2015-01-04T00:00:00"/>
    <s v="Single Vehicle Collision"/>
    <s v="Front Collision"/>
    <s v="Total Loss"/>
    <s v="Other"/>
    <x v="5"/>
    <x v="1"/>
    <s v="3311 2nd Drive"/>
    <n v="16"/>
    <n v="1"/>
    <s v="NO"/>
    <n v="2"/>
    <n v="0"/>
    <s v="YES"/>
    <n v="67320"/>
    <n v="12240"/>
    <n v="12240"/>
    <n v="42840"/>
    <s v="Ford"/>
    <s v="Fusion"/>
    <n v="2006"/>
    <s v="N"/>
    <n v="56.416401987815"/>
    <n v="-66127.73"/>
    <n v="1.7710224149968062E-2"/>
    <n v="9"/>
    <n v="255"/>
    <x v="0"/>
    <x v="0"/>
  </r>
  <r>
    <n v="143"/>
    <n v="31"/>
    <n v="425631"/>
    <d v="2014-07-05T00:00:00"/>
    <s v="IL"/>
    <s v="250/500"/>
    <n v="500"/>
    <n v="1163.83"/>
    <n v="0"/>
    <n v="604874"/>
    <s v="MALE"/>
    <s v="Associate"/>
    <s v="protective-serv"/>
    <s v="movies"/>
    <s v="husband"/>
    <n v="37700"/>
    <n v="0"/>
    <d v="2015-02-21T00:00:00"/>
    <s v="Multi-vehicle Collision"/>
    <s v="Side Collision"/>
    <s v="Major Damage"/>
    <s v="Other"/>
    <x v="5"/>
    <x v="2"/>
    <s v="7609 Rock St"/>
    <n v="21"/>
    <n v="4"/>
    <s v="YES"/>
    <n v="2"/>
    <n v="0"/>
    <s v="?"/>
    <n v="76120"/>
    <n v="6920"/>
    <n v="13840"/>
    <n v="55360"/>
    <s v="Audi"/>
    <s v="A5"/>
    <n v="1999"/>
    <s v="N"/>
    <n v="65.348591639981805"/>
    <n v="-74956.17"/>
    <n v="1.5289210598914884E-2"/>
    <n v="16"/>
    <n v="143"/>
    <x v="0"/>
    <x v="0"/>
  </r>
  <r>
    <n v="130"/>
    <n v="28"/>
    <n v="542245"/>
    <d v="1991-11-25T00:00:00"/>
    <s v="OH"/>
    <s v="500/1000"/>
    <n v="1000"/>
    <n v="1003.15"/>
    <n v="0"/>
    <n v="462377"/>
    <s v="FEMALE"/>
    <s v="JD"/>
    <s v="farming-fishing"/>
    <s v="movies"/>
    <s v="other-relative"/>
    <n v="0"/>
    <n v="-38500"/>
    <d v="2015-01-23T00:00:00"/>
    <s v="Multi-vehicle Collision"/>
    <s v="Front Collision"/>
    <s v="Minor Damage"/>
    <s v="Ambulance"/>
    <x v="0"/>
    <x v="4"/>
    <s v="4652 Flute Drive"/>
    <n v="21"/>
    <n v="2"/>
    <s v="YES"/>
    <n v="2"/>
    <n v="1"/>
    <s v="NO"/>
    <n v="85020"/>
    <n v="13080"/>
    <n v="13080"/>
    <n v="58860"/>
    <s v="Ford"/>
    <s v="Fusion"/>
    <n v="2010"/>
    <s v="N"/>
    <n v="84.668625205397603"/>
    <n v="-84016.85"/>
    <n v="1.1798849695957469E-2"/>
    <n v="5"/>
    <n v="130"/>
    <x v="0"/>
    <x v="0"/>
  </r>
  <r>
    <n v="242"/>
    <n v="41"/>
    <n v="512894"/>
    <d v="1990-10-02T00:00:00"/>
    <s v="OH"/>
    <s v="250/500"/>
    <n v="2000"/>
    <n v="1153.54"/>
    <n v="6000000"/>
    <n v="619657"/>
    <s v="MALE"/>
    <s v="Masters"/>
    <s v="protective-serv"/>
    <s v="polo"/>
    <s v="unmarried"/>
    <n v="0"/>
    <n v="-57000"/>
    <d v="2015-02-12T00:00:00"/>
    <s v="Multi-vehicle Collision"/>
    <s v="Rear Collision"/>
    <s v="Minor Damage"/>
    <s v="Fire"/>
    <x v="2"/>
    <x v="6"/>
    <s v="6853 Sky Hwy"/>
    <n v="3"/>
    <n v="3"/>
    <s v="NO"/>
    <n v="0"/>
    <n v="1"/>
    <s v="?"/>
    <n v="68090"/>
    <n v="12380"/>
    <n v="12380"/>
    <n v="43330"/>
    <s v="Toyota"/>
    <s v="Corolla"/>
    <n v="2009"/>
    <s v="N"/>
    <n v="58.975869177334701"/>
    <n v="-66936.460000000006"/>
    <n v="1.6941152281505632E-2"/>
    <n v="6"/>
    <n v="242"/>
    <x v="0"/>
    <x v="0"/>
  </r>
  <r>
    <n v="96"/>
    <n v="27"/>
    <n v="633090"/>
    <d v="2009-02-17T00:00:00"/>
    <s v="IL"/>
    <s v="100/300"/>
    <n v="1000"/>
    <n v="1631.1"/>
    <n v="0"/>
    <n v="437323"/>
    <s v="FEMALE"/>
    <s v="High School"/>
    <s v="priv-house-serv"/>
    <s v="exercise"/>
    <s v="wife"/>
    <n v="0"/>
    <n v="0"/>
    <d v="2015-01-23T00:00:00"/>
    <s v="Parked Car"/>
    <s v="?"/>
    <s v="Trivial Damage"/>
    <s v="Police"/>
    <x v="4"/>
    <x v="2"/>
    <s v="7780 Flute Lane"/>
    <n v="4"/>
    <n v="1"/>
    <s v="?"/>
    <n v="1"/>
    <n v="2"/>
    <s v="NO"/>
    <n v="6030"/>
    <n v="670"/>
    <n v="670"/>
    <n v="4690"/>
    <s v="Nissan"/>
    <s v="Pathfinder"/>
    <n v="2007"/>
    <s v="N"/>
    <n v="3.6946265547454202"/>
    <n v="-4398.8999999999996"/>
    <n v="0.27045266125020723"/>
    <n v="8"/>
    <n v="96"/>
    <x v="1"/>
    <x v="1"/>
  </r>
  <r>
    <n v="180"/>
    <n v="35"/>
    <n v="464234"/>
    <d v="2005-07-17T00:00:00"/>
    <s v="IL"/>
    <s v="500/1000"/>
    <n v="1000"/>
    <n v="1252.48"/>
    <n v="0"/>
    <n v="432148"/>
    <s v="MALE"/>
    <s v="MD"/>
    <s v="machine-op-inspct"/>
    <s v="yachting"/>
    <s v="wife"/>
    <n v="0"/>
    <n v="-55800"/>
    <d v="2015-02-10T00:00:00"/>
    <s v="Vehicle Theft"/>
    <s v="?"/>
    <s v="Minor Damage"/>
    <s v="None"/>
    <x v="3"/>
    <x v="3"/>
    <s v="1687 3rd Lane"/>
    <n v="17"/>
    <n v="1"/>
    <s v="?"/>
    <n v="1"/>
    <n v="3"/>
    <s v="NO"/>
    <n v="5100"/>
    <n v="1020"/>
    <n v="510"/>
    <n v="3570"/>
    <s v="Chevrolet"/>
    <s v="Malibu"/>
    <n v="2000"/>
    <s v="N"/>
    <n v="4.0686728148833646"/>
    <n v="-3847.52"/>
    <n v="0.24553616937855322"/>
    <n v="15"/>
    <n v="180"/>
    <x v="1"/>
    <x v="1"/>
  </r>
  <r>
    <n v="150"/>
    <n v="30"/>
    <n v="290162"/>
    <d v="1994-03-12T00:00:00"/>
    <s v="IN"/>
    <s v="100/300"/>
    <n v="1000"/>
    <n v="1677.26"/>
    <n v="0"/>
    <n v="439690"/>
    <s v="MALE"/>
    <s v="College"/>
    <s v="sales"/>
    <s v="yachting"/>
    <s v="own-child"/>
    <n v="40100"/>
    <n v="0"/>
    <d v="2015-01-10T00:00:00"/>
    <s v="Vehicle Theft"/>
    <s v="?"/>
    <s v="Trivial Damage"/>
    <s v="Police"/>
    <x v="4"/>
    <x v="3"/>
    <s v="6378 Britain Ave"/>
    <n v="7"/>
    <n v="1"/>
    <s v="YES"/>
    <n v="1"/>
    <n v="3"/>
    <s v="YES"/>
    <n v="4590"/>
    <n v="510"/>
    <n v="510"/>
    <n v="3570"/>
    <s v="Volkswagen"/>
    <s v="Jetta"/>
    <n v="2013"/>
    <s v="N"/>
    <n v="2.7349755103500053"/>
    <n v="-2912.74"/>
    <n v="0.36533652798954475"/>
    <n v="2"/>
    <n v="150"/>
    <x v="1"/>
    <x v="1"/>
  </r>
  <r>
    <n v="463"/>
    <n v="59"/>
    <n v="638155"/>
    <d v="1994-08-03T00:00:00"/>
    <s v="IL"/>
    <s v="250/500"/>
    <n v="1000"/>
    <n v="979.73"/>
    <n v="0"/>
    <n v="601848"/>
    <s v="FEMALE"/>
    <s v="JD"/>
    <s v="exec-managerial"/>
    <s v="yachting"/>
    <s v="not-in-family"/>
    <n v="51700"/>
    <n v="0"/>
    <d v="2015-02-12T00:00:00"/>
    <s v="Multi-vehicle Collision"/>
    <s v="Front Collision"/>
    <s v="Major Damage"/>
    <s v="Other"/>
    <x v="0"/>
    <x v="0"/>
    <s v="1306 Andromedia St"/>
    <n v="14"/>
    <n v="2"/>
    <s v="?"/>
    <n v="1"/>
    <n v="2"/>
    <s v="NO"/>
    <n v="72400"/>
    <n v="7240"/>
    <n v="14480"/>
    <n v="50680"/>
    <s v="Chevrolet"/>
    <s v="Tahoe"/>
    <n v="1999"/>
    <s v="Y"/>
    <n v="73.822560745567074"/>
    <n v="-71420.27"/>
    <n v="1.3531995414427978E-2"/>
    <n v="16"/>
    <n v="463"/>
    <x v="0"/>
    <x v="0"/>
  </r>
  <r>
    <n v="472"/>
    <n v="64"/>
    <n v="911429"/>
    <d v="2012-08-25T00:00:00"/>
    <s v="IN"/>
    <s v="250/500"/>
    <n v="500"/>
    <n v="989.24"/>
    <n v="0"/>
    <n v="615821"/>
    <s v="MALE"/>
    <s v="Masters"/>
    <s v="other-service"/>
    <s v="skydiving"/>
    <s v="not-in-family"/>
    <n v="0"/>
    <n v="0"/>
    <d v="2015-02-21T00:00:00"/>
    <s v="Single Vehicle Collision"/>
    <s v="Front Collision"/>
    <s v="Major Damage"/>
    <s v="Fire"/>
    <x v="2"/>
    <x v="6"/>
    <s v="3664 Francis Ridge"/>
    <n v="13"/>
    <n v="1"/>
    <s v="NO"/>
    <n v="2"/>
    <n v="3"/>
    <s v="NO"/>
    <n v="70900"/>
    <n v="14180"/>
    <n v="7090"/>
    <n v="49630"/>
    <s v="Mercedes"/>
    <s v="ML350"/>
    <n v="2002"/>
    <s v="N"/>
    <n v="71.598804330263363"/>
    <n v="-69910.759999999995"/>
    <n v="1.3952412518864333E-2"/>
    <n v="13"/>
    <n v="472"/>
    <x v="0"/>
    <x v="0"/>
  </r>
  <r>
    <n v="75"/>
    <n v="25"/>
    <n v="106186"/>
    <d v="2011-12-02T00:00:00"/>
    <s v="IL"/>
    <s v="500/1000"/>
    <n v="1000"/>
    <n v="1389.86"/>
    <n v="0"/>
    <n v="472475"/>
    <s v="FEMALE"/>
    <s v="Associate"/>
    <s v="priv-house-serv"/>
    <s v="hiking"/>
    <s v="husband"/>
    <n v="0"/>
    <n v="0"/>
    <d v="2015-01-18T00:00:00"/>
    <s v="Multi-vehicle Collision"/>
    <s v="Side Collision"/>
    <s v="Total Loss"/>
    <s v="Other"/>
    <x v="4"/>
    <x v="3"/>
    <s v="5985 Lincoln Lane"/>
    <n v="23"/>
    <n v="2"/>
    <s v="?"/>
    <n v="2"/>
    <n v="3"/>
    <s v="YES"/>
    <n v="65100"/>
    <n v="6510"/>
    <n v="6510"/>
    <n v="52080"/>
    <s v="Saab"/>
    <n v="93"/>
    <n v="2011"/>
    <s v="N"/>
    <n v="46.805573530046161"/>
    <n v="-63710.14"/>
    <n v="2.1349288029369747E-2"/>
    <n v="4"/>
    <n v="75"/>
    <x v="0"/>
    <x v="0"/>
  </r>
  <r>
    <n v="193"/>
    <n v="40"/>
    <n v="311783"/>
    <d v="2005-02-25T00:00:00"/>
    <s v="OH"/>
    <s v="100/300"/>
    <n v="500"/>
    <n v="1233.8499999999999"/>
    <n v="0"/>
    <n v="457463"/>
    <s v="FEMALE"/>
    <s v="College"/>
    <s v="handlers-cleaners"/>
    <s v="chess"/>
    <s v="husband"/>
    <n v="0"/>
    <n v="0"/>
    <d v="2015-02-28T00:00:00"/>
    <s v="Multi-vehicle Collision"/>
    <s v="Side Collision"/>
    <s v="Total Loss"/>
    <s v="Ambulance"/>
    <x v="6"/>
    <x v="4"/>
    <s v="3706 4th Hwy"/>
    <n v="23"/>
    <n v="3"/>
    <s v="?"/>
    <n v="2"/>
    <n v="1"/>
    <s v="YES"/>
    <n v="64260"/>
    <n v="0"/>
    <n v="14280"/>
    <n v="49980"/>
    <s v="Ford"/>
    <s v="Escape"/>
    <n v="1999"/>
    <s v="N"/>
    <n v="52.038709154958099"/>
    <n v="-63026.15"/>
    <n v="1.9200603787678374E-2"/>
    <n v="16"/>
    <n v="193"/>
    <x v="0"/>
    <x v="0"/>
  </r>
  <r>
    <n v="43"/>
    <n v="43"/>
    <n v="528385"/>
    <d v="1997-11-07T00:00:00"/>
    <s v="IL"/>
    <s v="500/1000"/>
    <n v="500"/>
    <n v="1320.39"/>
    <n v="0"/>
    <n v="604861"/>
    <s v="FEMALE"/>
    <s v="Associate"/>
    <s v="armed-forces"/>
    <s v="yachting"/>
    <s v="not-in-family"/>
    <n v="0"/>
    <n v="0"/>
    <d v="2015-01-19T00:00:00"/>
    <s v="Single Vehicle Collision"/>
    <s v="Rear Collision"/>
    <s v="Major Damage"/>
    <s v="Ambulance"/>
    <x v="4"/>
    <x v="2"/>
    <s v="6603 Francis Hwy"/>
    <n v="16"/>
    <n v="1"/>
    <s v="?"/>
    <n v="2"/>
    <n v="1"/>
    <s v="?"/>
    <n v="79970"/>
    <n v="7270"/>
    <n v="21810"/>
    <n v="50890"/>
    <s v="Honda"/>
    <s v="CRV"/>
    <n v="1996"/>
    <s v="Y"/>
    <n v="60.519604356019038"/>
    <n v="-78649.61"/>
    <n v="1.6510860186817723E-2"/>
    <n v="19"/>
    <n v="43"/>
    <x v="0"/>
    <x v="0"/>
  </r>
  <r>
    <n v="253"/>
    <n v="41"/>
    <n v="228403"/>
    <d v="2004-04-20T00:00:00"/>
    <s v="IN"/>
    <s v="100/300"/>
    <n v="1000"/>
    <n v="1435.09"/>
    <n v="0"/>
    <n v="471519"/>
    <s v="FEMALE"/>
    <s v="College"/>
    <s v="machine-op-inspct"/>
    <s v="bungie-jumping"/>
    <s v="not-in-family"/>
    <n v="36600"/>
    <n v="0"/>
    <d v="2015-01-11T00:00:00"/>
    <s v="Single Vehicle Collision"/>
    <s v="Rear Collision"/>
    <s v="Total Loss"/>
    <s v="Police"/>
    <x v="0"/>
    <x v="6"/>
    <s v="7069 4th Hwy"/>
    <n v="17"/>
    <n v="1"/>
    <s v="NO"/>
    <n v="2"/>
    <n v="0"/>
    <s v="?"/>
    <n v="56610"/>
    <n v="6290"/>
    <n v="6290"/>
    <n v="44030"/>
    <s v="Chevrolet"/>
    <s v="Tahoe"/>
    <n v="1995"/>
    <s v="N"/>
    <n v="39.419534987361516"/>
    <n v="-55174.91"/>
    <n v="2.5350020314073234E-2"/>
    <n v="20"/>
    <n v="253"/>
    <x v="0"/>
    <x v="0"/>
  </r>
  <r>
    <n v="152"/>
    <n v="30"/>
    <n v="209177"/>
    <d v="2009-11-17T00:00:00"/>
    <s v="IN"/>
    <s v="500/1000"/>
    <n v="500"/>
    <n v="1448.54"/>
    <n v="0"/>
    <n v="618682"/>
    <s v="FEMALE"/>
    <s v="JD"/>
    <s v="craft-repair"/>
    <s v="polo"/>
    <s v="wife"/>
    <n v="58600"/>
    <n v="0"/>
    <d v="2015-02-11T00:00:00"/>
    <s v="Single Vehicle Collision"/>
    <s v="Side Collision"/>
    <s v="Major Damage"/>
    <s v="Fire"/>
    <x v="1"/>
    <x v="6"/>
    <s v="5093 Flute Lane"/>
    <n v="9"/>
    <n v="1"/>
    <s v="YES"/>
    <n v="1"/>
    <n v="1"/>
    <s v="?"/>
    <n v="84590"/>
    <n v="7690"/>
    <n v="7690"/>
    <n v="69210"/>
    <s v="Toyota"/>
    <s v="Highlander"/>
    <n v="2000"/>
    <s v="Y"/>
    <n v="58.35644411330491"/>
    <n v="-83141.460000000006"/>
    <n v="1.7124043929023183E-2"/>
    <n v="15"/>
    <n v="152"/>
    <x v="0"/>
    <x v="0"/>
  </r>
  <r>
    <n v="160"/>
    <n v="38"/>
    <n v="497929"/>
    <d v="2009-09-19T00:00:00"/>
    <s v="OH"/>
    <s v="250/500"/>
    <n v="500"/>
    <n v="1733.56"/>
    <n v="0"/>
    <n v="441425"/>
    <s v="MALE"/>
    <s v="High School"/>
    <s v="sales"/>
    <s v="sleeping"/>
    <s v="wife"/>
    <n v="0"/>
    <n v="-43800"/>
    <d v="2015-01-09T00:00:00"/>
    <s v="Multi-vehicle Collision"/>
    <s v="Side Collision"/>
    <s v="Major Damage"/>
    <s v="Fire"/>
    <x v="0"/>
    <x v="4"/>
    <s v="5894 Flute Drive"/>
    <n v="13"/>
    <n v="3"/>
    <s v="NO"/>
    <n v="2"/>
    <n v="1"/>
    <s v="YES"/>
    <n v="66780"/>
    <n v="7420"/>
    <n v="14840"/>
    <n v="44520"/>
    <s v="Mercedes"/>
    <s v="ML350"/>
    <n v="1996"/>
    <s v="N"/>
    <n v="38.499677151554287"/>
    <n v="-65046.44"/>
    <n v="2.5958880519908356E-2"/>
    <n v="19"/>
    <n v="160"/>
    <x v="0"/>
    <x v="0"/>
  </r>
  <r>
    <n v="56"/>
    <n v="36"/>
    <n v="735844"/>
    <d v="2009-11-08T00:00:00"/>
    <s v="IN"/>
    <s v="100/300"/>
    <n v="500"/>
    <n v="1533.07"/>
    <n v="0"/>
    <n v="609336"/>
    <s v="MALE"/>
    <s v="JD"/>
    <s v="farming-fishing"/>
    <s v="exercise"/>
    <s v="own-child"/>
    <n v="0"/>
    <n v="-28800"/>
    <d v="2015-01-20T00:00:00"/>
    <s v="Single Vehicle Collision"/>
    <s v="Rear Collision"/>
    <s v="Major Damage"/>
    <s v="Police"/>
    <x v="5"/>
    <x v="3"/>
    <s v="8459 Apache Ave"/>
    <n v="13"/>
    <n v="1"/>
    <s v="YES"/>
    <n v="1"/>
    <n v="2"/>
    <s v="YES"/>
    <n v="58500"/>
    <n v="0"/>
    <n v="6500"/>
    <n v="52000"/>
    <s v="Ford"/>
    <s v="Escape"/>
    <n v="2001"/>
    <s v="N"/>
    <n v="38.133853083627216"/>
    <n v="-56966.93"/>
    <n v="2.6205876822618417E-2"/>
    <n v="14"/>
    <n v="56"/>
    <x v="0"/>
    <x v="0"/>
  </r>
  <r>
    <n v="286"/>
    <n v="41"/>
    <n v="710741"/>
    <d v="2001-09-12T00:00:00"/>
    <s v="IL"/>
    <s v="100/300"/>
    <n v="500"/>
    <n v="1106.77"/>
    <n v="0"/>
    <n v="603320"/>
    <s v="FEMALE"/>
    <s v="College"/>
    <s v="prof-specialty"/>
    <s v="golf"/>
    <s v="other-relative"/>
    <n v="45500"/>
    <n v="-62500"/>
    <d v="2015-02-26T00:00:00"/>
    <s v="Parked Car"/>
    <s v="?"/>
    <s v="Trivial Damage"/>
    <s v="Police"/>
    <x v="4"/>
    <x v="0"/>
    <s v="7447 Lincoln Ridge"/>
    <n v="3"/>
    <n v="1"/>
    <s v="?"/>
    <n v="2"/>
    <n v="0"/>
    <s v="NO"/>
    <n v="5000"/>
    <n v="500"/>
    <n v="500"/>
    <n v="4000"/>
    <s v="Dodge"/>
    <s v="RAM"/>
    <n v="2003"/>
    <s v="N"/>
    <n v="4.5135723119420099"/>
    <n v="-3893.23"/>
    <n v="0.22130973805238952"/>
    <n v="12"/>
    <n v="286"/>
    <x v="1"/>
    <x v="1"/>
  </r>
  <r>
    <n v="3"/>
    <n v="29"/>
    <n v="276804"/>
    <d v="1992-11-27T00:00:00"/>
    <s v="IL"/>
    <s v="100/300"/>
    <n v="500"/>
    <n v="995.7"/>
    <n v="5000000"/>
    <n v="615446"/>
    <s v="FEMALE"/>
    <s v="JD"/>
    <s v="priv-house-serv"/>
    <s v="chess"/>
    <s v="unmarried"/>
    <n v="0"/>
    <n v="0"/>
    <d v="2015-02-02T00:00:00"/>
    <s v="Parked Car"/>
    <s v="?"/>
    <s v="Trivial Damage"/>
    <s v="Police"/>
    <x v="6"/>
    <x v="3"/>
    <s v="1821 Andromedia Ridge"/>
    <n v="3"/>
    <n v="1"/>
    <s v="?"/>
    <n v="2"/>
    <n v="1"/>
    <s v="?"/>
    <n v="5000"/>
    <n v="500"/>
    <n v="1000"/>
    <n v="3500"/>
    <s v="Mercedes"/>
    <s v="E400"/>
    <n v="2008"/>
    <s v="Y"/>
    <n v="5.0165546302799235"/>
    <n v="-4004.3"/>
    <n v="0.1991001799640072"/>
    <n v="7"/>
    <n v="3"/>
    <x v="2"/>
    <x v="1"/>
  </r>
  <r>
    <n v="286"/>
    <n v="41"/>
    <n v="507545"/>
    <d v="1998-12-07T00:00:00"/>
    <s v="IL"/>
    <s v="250/500"/>
    <n v="1000"/>
    <n v="1298.8499999999999"/>
    <n v="6000000"/>
    <n v="435967"/>
    <s v="FEMALE"/>
    <s v="High School"/>
    <s v="sales"/>
    <s v="camping"/>
    <s v="other-relative"/>
    <n v="71300"/>
    <n v="-70300"/>
    <d v="2015-01-04T00:00:00"/>
    <s v="Multi-vehicle Collision"/>
    <s v="Front Collision"/>
    <s v="Major Damage"/>
    <s v="Ambulance"/>
    <x v="2"/>
    <x v="0"/>
    <s v="6859 Flute Ridge"/>
    <n v="16"/>
    <n v="3"/>
    <s v="?"/>
    <n v="1"/>
    <n v="3"/>
    <s v="YES"/>
    <n v="54450"/>
    <n v="6050"/>
    <n v="12100"/>
    <n v="36300"/>
    <s v="Saab"/>
    <s v="92x"/>
    <n v="2007"/>
    <s v="N"/>
    <n v="41.889448782551838"/>
    <n v="-53151.15"/>
    <n v="2.3853556408514075E-2"/>
    <n v="8"/>
    <n v="286"/>
    <x v="0"/>
    <x v="0"/>
  </r>
  <r>
    <n v="239"/>
    <n v="38"/>
    <n v="485642"/>
    <d v="1990-08-25T00:00:00"/>
    <s v="OH"/>
    <s v="250/500"/>
    <n v="1000"/>
    <n v="1276.73"/>
    <n v="5000000"/>
    <n v="610246"/>
    <s v="FEMALE"/>
    <s v="Masters"/>
    <s v="handlers-cleaners"/>
    <s v="bungie-jumping"/>
    <s v="other-relative"/>
    <n v="0"/>
    <n v="0"/>
    <d v="2015-02-19T00:00:00"/>
    <s v="Multi-vehicle Collision"/>
    <s v="Front Collision"/>
    <s v="Major Damage"/>
    <s v="Police"/>
    <x v="4"/>
    <x v="6"/>
    <s v="4175 Elm Ridge"/>
    <n v="12"/>
    <n v="3"/>
    <s v="NO"/>
    <n v="1"/>
    <n v="3"/>
    <s v="?"/>
    <n v="61920"/>
    <n v="6880"/>
    <n v="6880"/>
    <n v="48160"/>
    <s v="Saab"/>
    <n v="93"/>
    <n v="2003"/>
    <s v="N"/>
    <n v="48.460942452630839"/>
    <n v="-60643.27"/>
    <n v="2.061869155859886E-2"/>
    <n v="12"/>
    <n v="239"/>
    <x v="0"/>
    <x v="0"/>
  </r>
  <r>
    <n v="64"/>
    <n v="29"/>
    <n v="796375"/>
    <d v="2011-10-22T00:00:00"/>
    <s v="OH"/>
    <s v="250/500"/>
    <n v="2000"/>
    <n v="1202.28"/>
    <n v="0"/>
    <n v="479327"/>
    <s v="MALE"/>
    <s v="High School"/>
    <s v="exec-managerial"/>
    <s v="cross-fit"/>
    <s v="other-relative"/>
    <n v="0"/>
    <n v="-61400"/>
    <d v="2015-01-12T00:00:00"/>
    <s v="Single Vehicle Collision"/>
    <s v="Side Collision"/>
    <s v="Minor Damage"/>
    <s v="Ambulance"/>
    <x v="1"/>
    <x v="4"/>
    <s v="5007 Oak St"/>
    <n v="4"/>
    <n v="1"/>
    <s v="?"/>
    <n v="1"/>
    <n v="2"/>
    <s v="NO"/>
    <n v="43700"/>
    <n v="4370"/>
    <n v="4370"/>
    <n v="34960"/>
    <s v="Nissan"/>
    <s v="Pathfinder"/>
    <n v="2007"/>
    <s v="Y"/>
    <n v="36.317399109101792"/>
    <n v="-42497.72"/>
    <n v="2.7511498592709547E-2"/>
    <n v="8"/>
    <n v="64"/>
    <x v="0"/>
    <x v="0"/>
  </r>
  <r>
    <n v="98"/>
    <n v="31"/>
    <n v="171183"/>
    <d v="1990-02-01T00:00:00"/>
    <s v="IN"/>
    <s v="100/300"/>
    <n v="500"/>
    <n v="671.92"/>
    <n v="0"/>
    <n v="468300"/>
    <s v="MALE"/>
    <s v="Masters"/>
    <s v="machine-op-inspct"/>
    <s v="bungie-jumping"/>
    <s v="wife"/>
    <n v="0"/>
    <n v="-26400"/>
    <d v="2015-01-24T00:00:00"/>
    <s v="Single Vehicle Collision"/>
    <s v="Front Collision"/>
    <s v="Minor Damage"/>
    <s v="Other"/>
    <x v="5"/>
    <x v="1"/>
    <s v="5790 Flute Ridge"/>
    <n v="3"/>
    <n v="1"/>
    <s v="?"/>
    <n v="2"/>
    <n v="0"/>
    <s v="?"/>
    <n v="64080"/>
    <n v="7120"/>
    <n v="7120"/>
    <n v="49840"/>
    <s v="Ford"/>
    <s v="Escape"/>
    <n v="1997"/>
    <s v="N"/>
    <n v="95.226772870474946"/>
    <n v="-63408.08"/>
    <n v="1.0485479315241646E-2"/>
    <n v="18"/>
    <n v="98"/>
    <x v="0"/>
    <x v="0"/>
  </r>
  <r>
    <n v="16"/>
    <n v="35"/>
    <n v="110084"/>
    <d v="1990-11-27T00:00:00"/>
    <s v="IL"/>
    <s v="250/500"/>
    <n v="1000"/>
    <n v="1358.03"/>
    <n v="0"/>
    <n v="612660"/>
    <s v="MALE"/>
    <s v="JD"/>
    <s v="sales"/>
    <s v="chess"/>
    <s v="own-child"/>
    <n v="59300"/>
    <n v="-31400"/>
    <d v="2015-02-17T00:00:00"/>
    <s v="Single Vehicle Collision"/>
    <s v="Rear Collision"/>
    <s v="Total Loss"/>
    <s v="Other"/>
    <x v="0"/>
    <x v="4"/>
    <s v="8704 Britain Lane"/>
    <n v="0"/>
    <n v="1"/>
    <s v="NO"/>
    <n v="2"/>
    <n v="1"/>
    <s v="?"/>
    <n v="55000"/>
    <n v="10000"/>
    <n v="10000"/>
    <n v="35000"/>
    <s v="Volkswagen"/>
    <s v="Jetta"/>
    <n v="2008"/>
    <s v="Y"/>
    <n v="40.470041132278169"/>
    <n v="-53641.97"/>
    <n v="2.4691005618079669E-2"/>
    <n v="7"/>
    <n v="16"/>
    <x v="0"/>
    <x v="0"/>
  </r>
  <r>
    <n v="70"/>
    <n v="27"/>
    <n v="714784"/>
    <d v="2004-07-16T00:00:00"/>
    <s v="IN"/>
    <s v="250/500"/>
    <n v="1000"/>
    <n v="1008.79"/>
    <n v="4000000"/>
    <n v="466691"/>
    <s v="FEMALE"/>
    <s v="Masters"/>
    <s v="adm-clerical"/>
    <s v="video-games"/>
    <s v="own-child"/>
    <n v="46000"/>
    <n v="0"/>
    <d v="2015-01-13T00:00:00"/>
    <s v="Vehicle Theft"/>
    <s v="?"/>
    <s v="Trivial Damage"/>
    <s v="Police"/>
    <x v="4"/>
    <x v="0"/>
    <s v="7816 MLK Lane"/>
    <n v="19"/>
    <n v="1"/>
    <s v="NO"/>
    <n v="2"/>
    <n v="3"/>
    <s v="?"/>
    <n v="4400"/>
    <n v="0"/>
    <n v="550"/>
    <n v="3850"/>
    <s v="Toyota"/>
    <s v="Camry"/>
    <n v="2000"/>
    <s v="N"/>
    <n v="4.3573416254864874"/>
    <n v="-3391.21"/>
    <n v="0.22921835946375824"/>
    <n v="15"/>
    <n v="70"/>
    <x v="1"/>
    <x v="1"/>
  </r>
  <r>
    <n v="75"/>
    <n v="27"/>
    <n v="143924"/>
    <d v="1993-12-10T00:00:00"/>
    <s v="OH"/>
    <s v="100/300"/>
    <n v="1000"/>
    <n v="1141.0999999999999"/>
    <n v="0"/>
    <n v="468515"/>
    <s v="MALE"/>
    <s v="JD"/>
    <s v="armed-forces"/>
    <s v="movies"/>
    <s v="other-relative"/>
    <n v="0"/>
    <n v="0"/>
    <d v="2015-02-28T00:00:00"/>
    <s v="Multi-vehicle Collision"/>
    <s v="Side Collision"/>
    <s v="Minor Damage"/>
    <s v="Police"/>
    <x v="0"/>
    <x v="4"/>
    <s v="3618 Maple Lane"/>
    <n v="15"/>
    <n v="2"/>
    <s v="?"/>
    <n v="0"/>
    <n v="1"/>
    <s v="YES"/>
    <n v="71640"/>
    <n v="5970"/>
    <n v="11940"/>
    <n v="53730"/>
    <s v="Toyota"/>
    <s v="Highlander"/>
    <n v="2008"/>
    <s v="N"/>
    <n v="62.726556343577627"/>
    <n v="-70498.899999999994"/>
    <n v="1.5928030038665008E-2"/>
    <n v="7"/>
    <n v="75"/>
    <x v="0"/>
    <x v="0"/>
  </r>
  <r>
    <n v="246"/>
    <n v="44"/>
    <n v="996850"/>
    <d v="1995-03-08T00:00:00"/>
    <s v="OH"/>
    <s v="100/300"/>
    <n v="1000"/>
    <n v="1397"/>
    <n v="0"/>
    <n v="614521"/>
    <s v="MALE"/>
    <s v="High School"/>
    <s v="machine-op-inspct"/>
    <s v="reading"/>
    <s v="not-in-family"/>
    <n v="0"/>
    <n v="0"/>
    <d v="2015-01-03T00:00:00"/>
    <s v="Single Vehicle Collision"/>
    <s v="Rear Collision"/>
    <s v="Minor Damage"/>
    <s v="Other"/>
    <x v="2"/>
    <x v="2"/>
    <s v="7705 Lincoln Drive"/>
    <n v="6"/>
    <n v="1"/>
    <s v="NO"/>
    <n v="1"/>
    <n v="0"/>
    <s v="NO"/>
    <n v="61740"/>
    <n v="6860"/>
    <n v="6860"/>
    <n v="48020"/>
    <s v="Accura"/>
    <s v="MDX"/>
    <n v="1997"/>
    <s v="N"/>
    <n v="44.163090128755364"/>
    <n v="-60343"/>
    <n v="2.2626779611603309E-2"/>
    <n v="18"/>
    <n v="246"/>
    <x v="0"/>
    <x v="0"/>
  </r>
  <r>
    <n v="110"/>
    <n v="27"/>
    <n v="284834"/>
    <d v="2009-08-03T00:00:00"/>
    <s v="OH"/>
    <s v="500/1000"/>
    <n v="1000"/>
    <n v="1664.66"/>
    <n v="0"/>
    <n v="465921"/>
    <s v="FEMALE"/>
    <s v="Associate"/>
    <s v="priv-house-serv"/>
    <s v="golf"/>
    <s v="own-child"/>
    <n v="0"/>
    <n v="-66200"/>
    <d v="2015-02-05T00:00:00"/>
    <s v="Single Vehicle Collision"/>
    <s v="Side Collision"/>
    <s v="Total Loss"/>
    <s v="Ambulance"/>
    <x v="0"/>
    <x v="3"/>
    <s v="8602 Washington Ridge"/>
    <n v="3"/>
    <n v="1"/>
    <s v="?"/>
    <n v="0"/>
    <n v="3"/>
    <s v="?"/>
    <n v="57500"/>
    <n v="5750"/>
    <n v="5750"/>
    <n v="46000"/>
    <s v="Audi"/>
    <s v="A3"/>
    <n v="2010"/>
    <s v="N"/>
    <n v="34.520850593758631"/>
    <n v="-55835.34"/>
    <n v="2.8950105215561468E-2"/>
    <n v="5"/>
    <n v="110"/>
    <x v="0"/>
    <x v="0"/>
  </r>
  <r>
    <n v="236"/>
    <n v="39"/>
    <n v="830878"/>
    <d v="1996-11-03T00:00:00"/>
    <s v="IN"/>
    <s v="250/500"/>
    <n v="1000"/>
    <n v="1151.3900000000001"/>
    <n v="4000000"/>
    <n v="604555"/>
    <s v="FEMALE"/>
    <s v="Masters"/>
    <s v="exec-managerial"/>
    <s v="reading"/>
    <s v="wife"/>
    <n v="0"/>
    <n v="-63900"/>
    <d v="2015-01-01T00:00:00"/>
    <s v="Parked Car"/>
    <s v="?"/>
    <s v="Minor Damage"/>
    <s v="Police"/>
    <x v="2"/>
    <x v="3"/>
    <s v="2832 Andromedia Lane"/>
    <n v="17"/>
    <n v="1"/>
    <s v="YES"/>
    <n v="0"/>
    <n v="0"/>
    <s v="?"/>
    <n v="8700"/>
    <n v="870"/>
    <n v="1740"/>
    <n v="6090"/>
    <s v="Accura"/>
    <s v="RSX"/>
    <n v="2003"/>
    <s v="N"/>
    <n v="7.5495275037096814"/>
    <n v="-7548.61"/>
    <n v="0.13232846799218481"/>
    <n v="12"/>
    <n v="236"/>
    <x v="2"/>
    <x v="0"/>
  </r>
  <r>
    <n v="267"/>
    <n v="46"/>
    <n v="270208"/>
    <d v="2004-08-09T00:00:00"/>
    <s v="OH"/>
    <s v="100/300"/>
    <n v="2000"/>
    <n v="1546.01"/>
    <n v="0"/>
    <n v="616276"/>
    <s v="FEMALE"/>
    <s v="MD"/>
    <s v="adm-clerical"/>
    <s v="polo"/>
    <s v="wife"/>
    <n v="0"/>
    <n v="0"/>
    <d v="2015-01-06T00:00:00"/>
    <s v="Multi-vehicle Collision"/>
    <s v="Front Collision"/>
    <s v="Total Loss"/>
    <s v="Police"/>
    <x v="1"/>
    <x v="1"/>
    <s v="9760 4th Hwy"/>
    <n v="4"/>
    <n v="4"/>
    <s v="NO"/>
    <n v="2"/>
    <n v="1"/>
    <s v="?"/>
    <n v="77100"/>
    <n v="15420"/>
    <n v="7710"/>
    <n v="53970"/>
    <s v="Volkswagen"/>
    <s v="Jetta"/>
    <n v="1996"/>
    <s v="N"/>
    <n v="49.838074737719857"/>
    <n v="-75553.990000000005"/>
    <n v="2.0051750301552509E-2"/>
    <n v="19"/>
    <n v="267"/>
    <x v="0"/>
    <x v="0"/>
  </r>
  <r>
    <n v="463"/>
    <n v="57"/>
    <n v="407958"/>
    <d v="1991-07-20T00:00:00"/>
    <s v="IL"/>
    <s v="250/500"/>
    <n v="500"/>
    <n v="1063.67"/>
    <n v="0"/>
    <n v="463356"/>
    <s v="MALE"/>
    <s v="Masters"/>
    <s v="priv-house-serv"/>
    <s v="dancing"/>
    <s v="wife"/>
    <n v="0"/>
    <n v="0"/>
    <d v="2015-02-03T00:00:00"/>
    <s v="Single Vehicle Collision"/>
    <s v="Front Collision"/>
    <s v="Minor Damage"/>
    <s v="Police"/>
    <x v="2"/>
    <x v="3"/>
    <s v="2509 Rock Drive"/>
    <n v="14"/>
    <n v="1"/>
    <s v="NO"/>
    <n v="2"/>
    <n v="0"/>
    <s v="YES"/>
    <n v="59400"/>
    <n v="6600"/>
    <n v="6600"/>
    <n v="46200"/>
    <s v="Dodge"/>
    <s v="Neon"/>
    <n v="1995"/>
    <s v="N"/>
    <n v="55.791935529318941"/>
    <n v="-58336.33"/>
    <n v="1.7906600898974764E-2"/>
    <n v="20"/>
    <n v="463"/>
    <x v="0"/>
    <x v="0"/>
  </r>
  <r>
    <n v="303"/>
    <n v="46"/>
    <n v="832300"/>
    <d v="2005-01-14T00:00:00"/>
    <s v="IN"/>
    <s v="100/300"/>
    <n v="1000"/>
    <n v="709.14"/>
    <n v="0"/>
    <n v="450184"/>
    <s v="MALE"/>
    <s v="Masters"/>
    <s v="machine-op-inspct"/>
    <s v="kayaking"/>
    <s v="husband"/>
    <n v="0"/>
    <n v="0"/>
    <d v="2015-02-12T00:00:00"/>
    <s v="Multi-vehicle Collision"/>
    <s v="Rear Collision"/>
    <s v="Minor Damage"/>
    <s v="Fire"/>
    <x v="2"/>
    <x v="6"/>
    <s v="2063 Weaver St"/>
    <n v="3"/>
    <n v="3"/>
    <s v="NO"/>
    <n v="1"/>
    <n v="0"/>
    <s v="NO"/>
    <n v="54890"/>
    <n v="9980"/>
    <n v="4990"/>
    <n v="39920"/>
    <s v="Toyota"/>
    <s v="Corolla"/>
    <n v="2006"/>
    <s v="N"/>
    <n v="77.294617962655252"/>
    <n v="-54180.86"/>
    <n v="1.2919057769033175E-2"/>
    <n v="9"/>
    <n v="303"/>
    <x v="0"/>
    <x v="0"/>
  </r>
  <r>
    <n v="137"/>
    <n v="30"/>
    <n v="927205"/>
    <d v="2011-12-16T00:00:00"/>
    <s v="IL"/>
    <s v="250/500"/>
    <n v="500"/>
    <n v="1039.55"/>
    <n v="0"/>
    <n v="466393"/>
    <s v="MALE"/>
    <s v="MD"/>
    <s v="exec-managerial"/>
    <s v="kayaking"/>
    <s v="unmarried"/>
    <n v="55600"/>
    <n v="-59700"/>
    <d v="2015-02-16T00:00:00"/>
    <s v="Multi-vehicle Collision"/>
    <s v="Front Collision"/>
    <s v="Minor Damage"/>
    <s v="Other"/>
    <x v="4"/>
    <x v="0"/>
    <s v="3818 Texas Ridge"/>
    <n v="4"/>
    <n v="3"/>
    <s v="?"/>
    <n v="2"/>
    <n v="1"/>
    <s v="?"/>
    <n v="74030"/>
    <n v="6730"/>
    <n v="13460"/>
    <n v="53840"/>
    <s v="Chevrolet"/>
    <s v="Tahoe"/>
    <n v="2005"/>
    <s v="N"/>
    <n v="71.145067512373274"/>
    <n v="-72990.45"/>
    <n v="1.4042090475611568E-2"/>
    <n v="10"/>
    <n v="137"/>
    <x v="0"/>
    <x v="0"/>
  </r>
  <r>
    <n v="56"/>
    <n v="42"/>
    <n v="655356"/>
    <d v="1996-07-07T00:00:00"/>
    <s v="IL"/>
    <s v="250/500"/>
    <n v="500"/>
    <n v="1339.39"/>
    <n v="0"/>
    <n v="471786"/>
    <s v="FEMALE"/>
    <s v="Associate"/>
    <s v="adm-clerical"/>
    <s v="chess"/>
    <s v="not-in-family"/>
    <n v="0"/>
    <n v="0"/>
    <d v="2015-02-25T00:00:00"/>
    <s v="Single Vehicle Collision"/>
    <s v="Rear Collision"/>
    <s v="Total Loss"/>
    <s v="Other"/>
    <x v="2"/>
    <x v="0"/>
    <s v="3929 Elm Ave"/>
    <n v="13"/>
    <n v="1"/>
    <s v="?"/>
    <n v="1"/>
    <n v="2"/>
    <s v="YES"/>
    <n v="61490"/>
    <n v="11180"/>
    <n v="11180"/>
    <n v="39130"/>
    <s v="BMW"/>
    <s v="X5"/>
    <n v="1998"/>
    <s v="N"/>
    <n v="45.874708107341888"/>
    <n v="-60150.61"/>
    <n v="2.1781886780179213E-2"/>
    <n v="17"/>
    <n v="56"/>
    <x v="0"/>
    <x v="0"/>
  </r>
  <r>
    <n v="75"/>
    <n v="27"/>
    <n v="831053"/>
    <d v="1992-08-05T00:00:00"/>
    <s v="IN"/>
    <s v="250/500"/>
    <n v="1000"/>
    <n v="1202.75"/>
    <n v="0"/>
    <n v="602289"/>
    <s v="MALE"/>
    <s v="High School"/>
    <s v="handlers-cleaners"/>
    <s v="board-games"/>
    <s v="not-in-family"/>
    <n v="57900"/>
    <n v="-90100"/>
    <d v="2015-01-21T00:00:00"/>
    <s v="Multi-vehicle Collision"/>
    <s v="Front Collision"/>
    <s v="Minor Damage"/>
    <s v="Police"/>
    <x v="0"/>
    <x v="6"/>
    <s v="9911 Britain Lane"/>
    <n v="23"/>
    <n v="3"/>
    <s v="NO"/>
    <n v="0"/>
    <n v="2"/>
    <s v="YES"/>
    <n v="79560"/>
    <n v="6630"/>
    <n v="13260"/>
    <n v="59670"/>
    <s v="Volkswagen"/>
    <s v="Passat"/>
    <n v="2003"/>
    <s v="N"/>
    <n v="66.09345794392523"/>
    <n v="-78357.25"/>
    <n v="1.5117331355815035E-2"/>
    <n v="12"/>
    <n v="75"/>
    <x v="0"/>
    <x v="0"/>
  </r>
  <r>
    <n v="131"/>
    <n v="33"/>
    <n v="432740"/>
    <d v="1990-10-09T00:00:00"/>
    <s v="IL"/>
    <s v="100/300"/>
    <n v="2000"/>
    <n v="1081.17"/>
    <n v="0"/>
    <n v="445120"/>
    <s v="MALE"/>
    <s v="MD"/>
    <s v="sales"/>
    <s v="yachting"/>
    <s v="wife"/>
    <n v="0"/>
    <n v="-65200"/>
    <d v="2015-01-28T00:00:00"/>
    <s v="Parked Car"/>
    <s v="?"/>
    <s v="Minor Damage"/>
    <s v="Police"/>
    <x v="2"/>
    <x v="5"/>
    <s v="3246 Britain Ridge"/>
    <n v="3"/>
    <n v="1"/>
    <s v="?"/>
    <n v="0"/>
    <n v="1"/>
    <s v="NO"/>
    <n v="4900"/>
    <n v="490"/>
    <n v="490"/>
    <n v="3920"/>
    <s v="Toyota"/>
    <s v="Camry"/>
    <n v="2010"/>
    <s v="N"/>
    <n v="4.527939233207352"/>
    <n v="-3818.83"/>
    <n v="0.2206019179759233"/>
    <n v="5"/>
    <n v="131"/>
    <x v="1"/>
    <x v="1"/>
  </r>
  <r>
    <n v="153"/>
    <n v="34"/>
    <n v="893853"/>
    <d v="1994-02-27T00:00:00"/>
    <s v="IL"/>
    <s v="250/500"/>
    <n v="500"/>
    <n v="991.39"/>
    <n v="0"/>
    <n v="449260"/>
    <s v="MALE"/>
    <s v="High School"/>
    <s v="tech-support"/>
    <s v="paintball"/>
    <s v="other-relative"/>
    <n v="45600"/>
    <n v="-61400"/>
    <d v="2015-02-27T00:00:00"/>
    <s v="Multi-vehicle Collision"/>
    <s v="Side Collision"/>
    <s v="Total Loss"/>
    <s v="Other"/>
    <x v="4"/>
    <x v="3"/>
    <s v="2696 Cherokee Ridge"/>
    <n v="0"/>
    <n v="3"/>
    <s v="?"/>
    <n v="1"/>
    <n v="0"/>
    <s v="NO"/>
    <n v="77770"/>
    <n v="14140"/>
    <n v="14140"/>
    <n v="49490"/>
    <s v="Nissan"/>
    <s v="Pathfinder"/>
    <n v="2000"/>
    <s v="N"/>
    <n v="78.366368060943785"/>
    <n v="-76778.61"/>
    <n v="1.2747553715395198E-2"/>
    <n v="15"/>
    <n v="153"/>
    <x v="0"/>
    <x v="0"/>
  </r>
  <r>
    <n v="255"/>
    <n v="43"/>
    <n v="594988"/>
    <d v="2007-05-06T00:00:00"/>
    <s v="IN"/>
    <s v="500/1000"/>
    <n v="500"/>
    <n v="984.02"/>
    <n v="0"/>
    <n v="472724"/>
    <s v="FEMALE"/>
    <s v="JD"/>
    <s v="transport-moving"/>
    <s v="board-games"/>
    <s v="unmarried"/>
    <n v="75800"/>
    <n v="0"/>
    <d v="2015-02-10T00:00:00"/>
    <s v="Multi-vehicle Collision"/>
    <s v="Side Collision"/>
    <s v="Major Damage"/>
    <s v="Fire"/>
    <x v="0"/>
    <x v="0"/>
    <s v="5249 4th Ave"/>
    <n v="14"/>
    <n v="2"/>
    <s v="?"/>
    <n v="2"/>
    <n v="2"/>
    <s v="?"/>
    <n v="74700"/>
    <n v="7470"/>
    <n v="14940"/>
    <n v="52290"/>
    <s v="Nissan"/>
    <s v="Maxima"/>
    <n v="2007"/>
    <s v="Y"/>
    <n v="75.836023634037886"/>
    <n v="-73715.98"/>
    <n v="1.3172782158204039E-2"/>
    <n v="8"/>
    <n v="255"/>
    <x v="0"/>
    <x v="0"/>
  </r>
  <r>
    <n v="103"/>
    <n v="26"/>
    <n v="979544"/>
    <d v="2014-04-21T00:00:00"/>
    <s v="IL"/>
    <s v="100/300"/>
    <n v="500"/>
    <n v="1354.83"/>
    <n v="0"/>
    <n v="475173"/>
    <s v="MALE"/>
    <s v="MD"/>
    <s v="tech-support"/>
    <s v="sleeping"/>
    <s v="husband"/>
    <n v="66300"/>
    <n v="0"/>
    <d v="2015-01-18T00:00:00"/>
    <s v="Multi-vehicle Collision"/>
    <s v="Front Collision"/>
    <s v="Minor Damage"/>
    <s v="Police"/>
    <x v="2"/>
    <x v="2"/>
    <s v="4721 Cherokee Hwy"/>
    <n v="14"/>
    <n v="2"/>
    <s v="NO"/>
    <n v="2"/>
    <n v="2"/>
    <s v="?"/>
    <n v="40600"/>
    <n v="4060"/>
    <n v="4060"/>
    <n v="32480"/>
    <s v="Volkswagen"/>
    <s v="Passat"/>
    <n v="2010"/>
    <s v="N"/>
    <n v="29.944757086065362"/>
    <n v="-39245.17"/>
    <n v="3.3369375138543385E-2"/>
    <n v="5"/>
    <n v="103"/>
    <x v="0"/>
    <x v="0"/>
  </r>
  <r>
    <n v="97"/>
    <n v="28"/>
    <n v="191891"/>
    <d v="2010-02-11T00:00:00"/>
    <s v="OH"/>
    <s v="100/300"/>
    <n v="1000"/>
    <n v="830.31"/>
    <n v="0"/>
    <n v="443854"/>
    <s v="MALE"/>
    <s v="JD"/>
    <s v="farming-fishing"/>
    <s v="video-games"/>
    <s v="husband"/>
    <n v="0"/>
    <n v="-32600"/>
    <d v="2015-01-13T00:00:00"/>
    <s v="Single Vehicle Collision"/>
    <s v="Rear Collision"/>
    <s v="Total Loss"/>
    <s v="Ambulance"/>
    <x v="0"/>
    <x v="3"/>
    <s v="8212 Flute Ridge"/>
    <n v="22"/>
    <n v="1"/>
    <s v="?"/>
    <n v="1"/>
    <n v="0"/>
    <s v="?"/>
    <n v="45270"/>
    <n v="10060"/>
    <n v="10060"/>
    <n v="25150"/>
    <s v="Jeep"/>
    <s v="Wrangler"/>
    <n v="2006"/>
    <s v="N"/>
    <n v="54.456219701435089"/>
    <n v="-44439.69"/>
    <n v="1.8340880475359502E-2"/>
    <n v="9"/>
    <n v="97"/>
    <x v="0"/>
    <x v="0"/>
  </r>
  <r>
    <n v="214"/>
    <n v="36"/>
    <n v="831479"/>
    <d v="2000-06-04T00:00:00"/>
    <s v="IL"/>
    <s v="100/300"/>
    <n v="2000"/>
    <n v="987.42"/>
    <n v="7000000"/>
    <n v="461418"/>
    <s v="FEMALE"/>
    <s v="Associate"/>
    <s v="machine-op-inspct"/>
    <s v="kayaking"/>
    <s v="own-child"/>
    <n v="0"/>
    <n v="0"/>
    <d v="2015-01-31T00:00:00"/>
    <s v="Multi-vehicle Collision"/>
    <s v="Front Collision"/>
    <s v="Minor Damage"/>
    <s v="Ambulance"/>
    <x v="2"/>
    <x v="3"/>
    <s v="3592 MLK Ridge"/>
    <n v="17"/>
    <n v="3"/>
    <s v="NO"/>
    <n v="0"/>
    <n v="3"/>
    <s v="?"/>
    <n v="47080"/>
    <n v="4280"/>
    <n v="8560"/>
    <n v="34240"/>
    <s v="Saab"/>
    <n v="93"/>
    <n v="2006"/>
    <s v="N"/>
    <n v="47.631573622549119"/>
    <n v="-46092.58"/>
    <n v="2.0972791571971707E-2"/>
    <n v="9"/>
    <n v="214"/>
    <x v="0"/>
    <x v="0"/>
  </r>
  <r>
    <n v="438"/>
    <n v="57"/>
    <n v="714346"/>
    <d v="1991-10-05T00:00:00"/>
    <s v="OH"/>
    <s v="500/1000"/>
    <n v="500"/>
    <n v="1119.29"/>
    <n v="0"/>
    <n v="616164"/>
    <s v="FEMALE"/>
    <s v="MD"/>
    <s v="machine-op-inspct"/>
    <s v="chess"/>
    <s v="husband"/>
    <n v="0"/>
    <n v="0"/>
    <d v="2015-01-15T00:00:00"/>
    <s v="Single Vehicle Collision"/>
    <s v="Side Collision"/>
    <s v="Minor Damage"/>
    <s v="Police"/>
    <x v="0"/>
    <x v="4"/>
    <s v="6494 4th Ave"/>
    <n v="14"/>
    <n v="1"/>
    <s v="?"/>
    <n v="0"/>
    <n v="0"/>
    <s v="NO"/>
    <n v="40700"/>
    <n v="4070"/>
    <n v="4070"/>
    <n v="32560"/>
    <s v="Volkswagen"/>
    <s v="Passat"/>
    <n v="2000"/>
    <s v="Y"/>
    <n v="36.329878870649566"/>
    <n v="-39580.71"/>
    <n v="2.7500307117761233E-2"/>
    <n v="15"/>
    <n v="438"/>
    <x v="0"/>
    <x v="0"/>
  </r>
  <r>
    <n v="87"/>
    <n v="27"/>
    <n v="326289"/>
    <d v="2004-01-03T00:00:00"/>
    <s v="OH"/>
    <s v="100/300"/>
    <n v="500"/>
    <n v="1048.3900000000001"/>
    <n v="0"/>
    <n v="620962"/>
    <s v="FEMALE"/>
    <s v="Masters"/>
    <s v="transport-moving"/>
    <s v="polo"/>
    <s v="own-child"/>
    <n v="0"/>
    <n v="0"/>
    <d v="2015-02-13T00:00:00"/>
    <s v="Single Vehicle Collision"/>
    <s v="Side Collision"/>
    <s v="Minor Damage"/>
    <s v="Police"/>
    <x v="2"/>
    <x v="1"/>
    <s v="6608 Apache Lane"/>
    <n v="2"/>
    <n v="1"/>
    <s v="?"/>
    <n v="2"/>
    <n v="1"/>
    <s v="YES"/>
    <n v="34650"/>
    <n v="6300"/>
    <n v="3150"/>
    <n v="25200"/>
    <s v="Ford"/>
    <s v="F150"/>
    <n v="1996"/>
    <s v="N"/>
    <n v="33.019182572732724"/>
    <n v="-33601.61"/>
    <n v="3.0255692476407609E-2"/>
    <n v="19"/>
    <n v="87"/>
    <x v="0"/>
    <x v="0"/>
  </r>
  <r>
    <n v="27"/>
    <n v="28"/>
    <n v="944537"/>
    <d v="1992-07-23T00:00:00"/>
    <s v="OH"/>
    <s v="500/1000"/>
    <n v="1000"/>
    <n v="1074.47"/>
    <n v="0"/>
    <n v="465201"/>
    <s v="MALE"/>
    <s v="MD"/>
    <s v="protective-serv"/>
    <s v="camping"/>
    <s v="wife"/>
    <n v="0"/>
    <n v="0"/>
    <d v="2015-02-13T00:00:00"/>
    <s v="Parked Car"/>
    <s v="?"/>
    <s v="Trivial Damage"/>
    <s v="Police"/>
    <x v="4"/>
    <x v="1"/>
    <s v="1553 Lincoln St"/>
    <n v="4"/>
    <n v="1"/>
    <s v="?"/>
    <n v="2"/>
    <n v="0"/>
    <s v="?"/>
    <n v="3200"/>
    <n v="400"/>
    <n v="400"/>
    <n v="2400"/>
    <s v="Jeep"/>
    <s v="Grand Cherokee"/>
    <n v="2012"/>
    <s v="N"/>
    <n v="2.9754432945595877"/>
    <n v="-2125.5299999999997"/>
    <n v="0.33566697906904092"/>
    <n v="3"/>
    <n v="27"/>
    <x v="1"/>
    <x v="1"/>
  </r>
  <r>
    <n v="206"/>
    <n v="42"/>
    <n v="779156"/>
    <d v="1993-10-10T00:00:00"/>
    <s v="IL"/>
    <s v="500/1000"/>
    <n v="1000"/>
    <n v="1230.76"/>
    <n v="0"/>
    <n v="470488"/>
    <s v="MALE"/>
    <s v="High School"/>
    <s v="machine-op-inspct"/>
    <s v="yachting"/>
    <s v="unmarried"/>
    <n v="0"/>
    <n v="-74200"/>
    <d v="2015-01-03T00:00:00"/>
    <s v="Single Vehicle Collision"/>
    <s v="Rear Collision"/>
    <s v="Major Damage"/>
    <s v="Fire"/>
    <x v="1"/>
    <x v="4"/>
    <s v="7628 4th Lane"/>
    <n v="2"/>
    <n v="1"/>
    <s v="?"/>
    <n v="1"/>
    <n v="1"/>
    <s v="NO"/>
    <n v="78980"/>
    <n v="7180"/>
    <n v="14360"/>
    <n v="57440"/>
    <s v="Saab"/>
    <s v="92x"/>
    <n v="1997"/>
    <s v="Y"/>
    <n v="64.119633694875631"/>
    <n v="-77749.240000000005"/>
    <n v="1.5582988313645053E-2"/>
    <n v="18"/>
    <n v="206"/>
    <x v="0"/>
    <x v="0"/>
  </r>
  <r>
    <n v="127"/>
    <n v="31"/>
    <n v="856153"/>
    <d v="2002-07-09T00:00:00"/>
    <s v="OH"/>
    <s v="500/1000"/>
    <n v="500"/>
    <n v="1255.02"/>
    <n v="0"/>
    <n v="462250"/>
    <s v="MALE"/>
    <s v="Associate"/>
    <s v="sales"/>
    <s v="reading"/>
    <s v="not-in-family"/>
    <n v="58200"/>
    <n v="0"/>
    <d v="2015-01-13T00:00:00"/>
    <s v="Parked Car"/>
    <s v="?"/>
    <s v="Minor Damage"/>
    <s v="None"/>
    <x v="0"/>
    <x v="1"/>
    <s v="3028 5th St"/>
    <n v="10"/>
    <n v="1"/>
    <s v="YES"/>
    <n v="1"/>
    <n v="0"/>
    <s v="NO"/>
    <n v="6160"/>
    <n v="560"/>
    <n v="1120"/>
    <n v="4480"/>
    <s v="Nissan"/>
    <s v="Ultima"/>
    <n v="1996"/>
    <s v="N"/>
    <n v="4.9043805034951671"/>
    <n v="-4904.9799999999996"/>
    <n v="0.20370394416490828"/>
    <n v="19"/>
    <n v="127"/>
    <x v="1"/>
    <x v="1"/>
  </r>
  <r>
    <n v="422"/>
    <n v="60"/>
    <n v="473338"/>
    <d v="2010-11-14T00:00:00"/>
    <s v="IN"/>
    <s v="100/300"/>
    <n v="1000"/>
    <n v="1555.52"/>
    <n v="0"/>
    <n v="436408"/>
    <s v="FEMALE"/>
    <s v="MD"/>
    <s v="machine-op-inspct"/>
    <s v="hiking"/>
    <s v="own-child"/>
    <n v="43600"/>
    <n v="-67800"/>
    <d v="2015-02-14T00:00:00"/>
    <s v="Single Vehicle Collision"/>
    <s v="Front Collision"/>
    <s v="Major Damage"/>
    <s v="Ambulance"/>
    <x v="5"/>
    <x v="6"/>
    <s v="8949 Rock Hwy"/>
    <n v="11"/>
    <n v="1"/>
    <s v="YES"/>
    <n v="1"/>
    <n v="1"/>
    <s v="NO"/>
    <n v="85250"/>
    <n v="15500"/>
    <n v="7750"/>
    <n v="62000"/>
    <s v="Mercedes"/>
    <s v="E400"/>
    <n v="1999"/>
    <s v="N"/>
    <n v="54.769614267725437"/>
    <n v="-83694.48"/>
    <n v="1.8246354881467666E-2"/>
    <n v="16"/>
    <n v="422"/>
    <x v="0"/>
    <x v="0"/>
  </r>
  <r>
    <n v="303"/>
    <n v="50"/>
    <n v="521694"/>
    <d v="1997-03-03T00:00:00"/>
    <s v="IL"/>
    <s v="100/300"/>
    <n v="2000"/>
    <n v="836.11"/>
    <n v="5000000"/>
    <n v="464230"/>
    <s v="MALE"/>
    <s v="Masters"/>
    <s v="sales"/>
    <s v="camping"/>
    <s v="not-in-family"/>
    <n v="0"/>
    <n v="0"/>
    <d v="2015-01-20T00:00:00"/>
    <s v="Multi-vehicle Collision"/>
    <s v="Side Collision"/>
    <s v="Major Damage"/>
    <s v="Fire"/>
    <x v="0"/>
    <x v="3"/>
    <s v="9751 Tree St"/>
    <n v="1"/>
    <n v="4"/>
    <s v="YES"/>
    <n v="1"/>
    <n v="2"/>
    <s v="NO"/>
    <n v="72840"/>
    <n v="12140"/>
    <n v="6070"/>
    <n v="54630"/>
    <s v="Dodge"/>
    <s v="Neon"/>
    <n v="2010"/>
    <s v="N"/>
    <n v="87.013654119530287"/>
    <n v="-72003.89"/>
    <n v="1.1478562897269395E-2"/>
    <n v="5"/>
    <n v="303"/>
    <x v="0"/>
    <x v="0"/>
  </r>
  <r>
    <n v="228"/>
    <n v="40"/>
    <n v="136520"/>
    <d v="1997-03-01T00:00:00"/>
    <s v="IN"/>
    <s v="100/300"/>
    <n v="500"/>
    <n v="1450.98"/>
    <n v="0"/>
    <n v="478609"/>
    <s v="MALE"/>
    <s v="Associate"/>
    <s v="exec-managerial"/>
    <s v="base-jumping"/>
    <s v="husband"/>
    <n v="43700"/>
    <n v="0"/>
    <d v="2015-01-18T00:00:00"/>
    <s v="Parked Car"/>
    <s v="?"/>
    <s v="Trivial Damage"/>
    <s v="Police"/>
    <x v="4"/>
    <x v="5"/>
    <s v="4702 Texas Drive"/>
    <n v="20"/>
    <n v="1"/>
    <s v="?"/>
    <n v="0"/>
    <n v="2"/>
    <s v="NO"/>
    <n v="6050"/>
    <n v="1100"/>
    <n v="1100"/>
    <n v="3850"/>
    <s v="Toyota"/>
    <s v="Camry"/>
    <n v="2010"/>
    <s v="N"/>
    <n v="4.1667240595600488"/>
    <n v="-4599.0200000000004"/>
    <n v="0.23979176995537929"/>
    <n v="5"/>
    <n v="228"/>
    <x v="1"/>
    <x v="1"/>
  </r>
  <r>
    <n v="239"/>
    <n v="39"/>
    <n v="730819"/>
    <d v="1990-08-18T00:00:00"/>
    <s v="IN"/>
    <s v="250/500"/>
    <n v="2000"/>
    <n v="625.08000000000004"/>
    <n v="0"/>
    <n v="437156"/>
    <s v="FEMALE"/>
    <s v="JD"/>
    <s v="protective-serv"/>
    <s v="hiking"/>
    <s v="wife"/>
    <n v="44200"/>
    <n v="-37000"/>
    <d v="2015-01-03T00:00:00"/>
    <s v="Single Vehicle Collision"/>
    <s v="Front Collision"/>
    <s v="Major Damage"/>
    <s v="Fire"/>
    <x v="0"/>
    <x v="1"/>
    <s v="2757 4th Hwy"/>
    <n v="10"/>
    <n v="1"/>
    <s v="NO"/>
    <n v="2"/>
    <n v="3"/>
    <s v="YES"/>
    <n v="87890"/>
    <n v="15980"/>
    <n v="7990"/>
    <n v="63920"/>
    <s v="BMW"/>
    <s v="X6"/>
    <n v="2014"/>
    <s v="Y"/>
    <n v="140.3814209046767"/>
    <n v="-87264.92"/>
    <n v="7.1119909888384481E-3"/>
    <n v="1"/>
    <n v="239"/>
    <x v="0"/>
    <x v="0"/>
  </r>
  <r>
    <n v="330"/>
    <n v="47"/>
    <n v="912665"/>
    <d v="2014-05-28T00:00:00"/>
    <s v="IL"/>
    <s v="100/300"/>
    <n v="2000"/>
    <n v="1133.27"/>
    <n v="0"/>
    <n v="432218"/>
    <s v="FEMALE"/>
    <s v="High School"/>
    <s v="craft-repair"/>
    <s v="chess"/>
    <s v="wife"/>
    <n v="0"/>
    <n v="-56400"/>
    <d v="2015-03-01T00:00:00"/>
    <s v="Multi-vehicle Collision"/>
    <s v="Side Collision"/>
    <s v="Total Loss"/>
    <s v="Other"/>
    <x v="2"/>
    <x v="6"/>
    <s v="6678 Weaver Drive"/>
    <n v="20"/>
    <n v="2"/>
    <s v="?"/>
    <n v="0"/>
    <n v="2"/>
    <s v="YES"/>
    <n v="60500"/>
    <n v="11000"/>
    <n v="5500"/>
    <n v="44000"/>
    <s v="Ford"/>
    <s v="F150"/>
    <n v="1999"/>
    <s v="Y"/>
    <n v="53.338270429439198"/>
    <n v="-59366.73"/>
    <n v="1.8731425926844184E-2"/>
    <n v="16"/>
    <n v="330"/>
    <x v="0"/>
    <x v="0"/>
  </r>
  <r>
    <n v="128"/>
    <n v="35"/>
    <n v="469966"/>
    <d v="2004-07-22T00:00:00"/>
    <s v="IN"/>
    <s v="500/1000"/>
    <n v="500"/>
    <n v="1366.6"/>
    <n v="0"/>
    <n v="620493"/>
    <s v="FEMALE"/>
    <s v="MD"/>
    <s v="machine-op-inspct"/>
    <s v="kayaking"/>
    <s v="other-relative"/>
    <n v="0"/>
    <n v="0"/>
    <d v="2015-01-01T00:00:00"/>
    <s v="Multi-vehicle Collision"/>
    <s v="Front Collision"/>
    <s v="Minor Damage"/>
    <s v="Fire"/>
    <x v="2"/>
    <x v="0"/>
    <s v="8667 Weaver Lane"/>
    <n v="10"/>
    <n v="3"/>
    <s v="?"/>
    <n v="2"/>
    <n v="1"/>
    <s v="NO"/>
    <n v="88220"/>
    <n v="16040"/>
    <n v="16040"/>
    <n v="56140"/>
    <s v="Chevrolet"/>
    <s v="Malibu"/>
    <n v="2008"/>
    <s v="N"/>
    <n v="64.507165837964322"/>
    <n v="-86853.4"/>
    <n v="1.5490642817469763E-2"/>
    <n v="7"/>
    <n v="128"/>
    <x v="0"/>
    <x v="0"/>
  </r>
  <r>
    <n v="147"/>
    <n v="37"/>
    <n v="952300"/>
    <d v="2009-08-02T00:00:00"/>
    <s v="OH"/>
    <s v="500/1000"/>
    <n v="1000"/>
    <n v="1439.9"/>
    <n v="6000000"/>
    <n v="475391"/>
    <s v="FEMALE"/>
    <s v="Associate"/>
    <s v="prof-specialty"/>
    <s v="video-games"/>
    <s v="husband"/>
    <n v="0"/>
    <n v="-48400"/>
    <d v="2015-01-29T00:00:00"/>
    <s v="Multi-vehicle Collision"/>
    <s v="Rear Collision"/>
    <s v="Total Loss"/>
    <s v="Other"/>
    <x v="0"/>
    <x v="3"/>
    <s v="4931 Maple Drive"/>
    <n v="2"/>
    <n v="2"/>
    <s v="NO"/>
    <n v="1"/>
    <n v="2"/>
    <s v="NO"/>
    <n v="53680"/>
    <n v="9760"/>
    <n v="4880"/>
    <n v="39040"/>
    <s v="Accura"/>
    <s v="MDX"/>
    <n v="2004"/>
    <s v="N"/>
    <n v="37.254493719203275"/>
    <n v="-52240.1"/>
    <n v="2.6823270803450011E-2"/>
    <n v="11"/>
    <n v="147"/>
    <x v="0"/>
    <x v="0"/>
  </r>
  <r>
    <n v="287"/>
    <n v="45"/>
    <n v="322609"/>
    <d v="2007-07-05T00:00:00"/>
    <s v="OH"/>
    <s v="500/1000"/>
    <n v="1000"/>
    <n v="1230.69"/>
    <n v="0"/>
    <n v="440720"/>
    <s v="MALE"/>
    <s v="Masters"/>
    <s v="transport-moving"/>
    <s v="golf"/>
    <s v="not-in-family"/>
    <n v="0"/>
    <n v="-54600"/>
    <d v="2015-01-10T00:00:00"/>
    <s v="Single Vehicle Collision"/>
    <s v="Front Collision"/>
    <s v="Minor Damage"/>
    <s v="Fire"/>
    <x v="1"/>
    <x v="3"/>
    <s v="3808 5th Ave"/>
    <n v="19"/>
    <n v="1"/>
    <s v="NO"/>
    <n v="0"/>
    <n v="2"/>
    <s v="NO"/>
    <n v="53800"/>
    <n v="5380"/>
    <n v="5380"/>
    <n v="43040"/>
    <s v="Accura"/>
    <s v="MDX"/>
    <n v="2006"/>
    <s v="N"/>
    <n v="43.679822033141456"/>
    <n v="-52569.31"/>
    <n v="2.2874853627256001E-2"/>
    <n v="9"/>
    <n v="287"/>
    <x v="0"/>
    <x v="0"/>
  </r>
  <r>
    <n v="142"/>
    <n v="29"/>
    <n v="890280"/>
    <d v="2010-01-24T00:00:00"/>
    <s v="OH"/>
    <s v="100/300"/>
    <n v="2000"/>
    <n v="1307.68"/>
    <n v="0"/>
    <n v="606942"/>
    <s v="FEMALE"/>
    <s v="MD"/>
    <s v="craft-repair"/>
    <s v="dancing"/>
    <s v="husband"/>
    <n v="0"/>
    <n v="-48500"/>
    <d v="2015-01-29T00:00:00"/>
    <s v="Single Vehicle Collision"/>
    <s v="Rear Collision"/>
    <s v="Major Damage"/>
    <s v="Police"/>
    <x v="2"/>
    <x v="0"/>
    <s v="1725 Solo Lane"/>
    <n v="10"/>
    <n v="1"/>
    <s v="YES"/>
    <n v="1"/>
    <n v="2"/>
    <s v="NO"/>
    <n v="54360"/>
    <n v="4530"/>
    <n v="9060"/>
    <n v="40770"/>
    <s v="Mercedes"/>
    <s v="E400"/>
    <n v="1995"/>
    <s v="Y"/>
    <n v="41.538038328697617"/>
    <n v="-53052.32"/>
    <n v="2.4055480951417376E-2"/>
    <n v="20"/>
    <n v="142"/>
    <x v="0"/>
    <x v="0"/>
  </r>
  <r>
    <n v="162"/>
    <n v="35"/>
    <n v="431583"/>
    <d v="2000-05-15T00:00:00"/>
    <s v="IL"/>
    <s v="500/1000"/>
    <n v="2000"/>
    <n v="1124.69"/>
    <n v="0"/>
    <n v="446971"/>
    <s v="FEMALE"/>
    <s v="Masters"/>
    <s v="handlers-cleaners"/>
    <s v="bungie-jumping"/>
    <s v="husband"/>
    <n v="0"/>
    <n v="0"/>
    <d v="2015-02-20T00:00:00"/>
    <s v="Single Vehicle Collision"/>
    <s v="Side Collision"/>
    <s v="Major Damage"/>
    <s v="Police"/>
    <x v="4"/>
    <x v="2"/>
    <s v="8097 Maple Lane"/>
    <n v="14"/>
    <n v="1"/>
    <s v="YES"/>
    <n v="0"/>
    <n v="3"/>
    <s v="YES"/>
    <n v="54340"/>
    <n v="9880"/>
    <n v="4940"/>
    <n v="39520"/>
    <s v="Toyota"/>
    <s v="Camry"/>
    <n v="2001"/>
    <s v="N"/>
    <n v="48.272615018344304"/>
    <n v="-53215.31"/>
    <n v="2.0696895530078578E-2"/>
    <n v="14"/>
    <n v="162"/>
    <x v="0"/>
    <x v="0"/>
  </r>
  <r>
    <n v="140"/>
    <n v="35"/>
    <n v="155912"/>
    <d v="2008-03-21T00:00:00"/>
    <s v="OH"/>
    <s v="100/300"/>
    <n v="1000"/>
    <n v="1520.78"/>
    <n v="0"/>
    <n v="470538"/>
    <s v="FEMALE"/>
    <s v="High School"/>
    <s v="craft-repair"/>
    <s v="chess"/>
    <s v="wife"/>
    <n v="0"/>
    <n v="-42900"/>
    <d v="2015-01-21T00:00:00"/>
    <s v="Parked Car"/>
    <s v="?"/>
    <s v="Trivial Damage"/>
    <s v="None"/>
    <x v="0"/>
    <x v="0"/>
    <s v="3320 5th Hwy"/>
    <n v="5"/>
    <n v="1"/>
    <s v="?"/>
    <n v="0"/>
    <n v="2"/>
    <s v="YES"/>
    <n v="2860"/>
    <n v="520"/>
    <n v="260"/>
    <n v="2080"/>
    <s v="Chevrolet"/>
    <s v="Tahoe"/>
    <n v="1997"/>
    <s v="Y"/>
    <n v="1.8793780967025457"/>
    <n v="-1339.22"/>
    <n v="0.53155540020971692"/>
    <n v="18"/>
    <n v="140"/>
    <x v="1"/>
    <x v="1"/>
  </r>
  <r>
    <n v="106"/>
    <n v="28"/>
    <n v="110143"/>
    <d v="1990-05-07T00:00:00"/>
    <s v="OH"/>
    <s v="100/300"/>
    <n v="2000"/>
    <n v="1609.11"/>
    <n v="0"/>
    <n v="601177"/>
    <s v="MALE"/>
    <s v="High School"/>
    <s v="craft-repair"/>
    <s v="polo"/>
    <s v="own-child"/>
    <n v="0"/>
    <n v="0"/>
    <d v="2015-01-18T00:00:00"/>
    <s v="Vehicle Theft"/>
    <s v="?"/>
    <s v="Minor Damage"/>
    <s v="Police"/>
    <x v="4"/>
    <x v="4"/>
    <s v="9573 2nd Ave"/>
    <n v="8"/>
    <n v="1"/>
    <s v="YES"/>
    <n v="2"/>
    <n v="1"/>
    <s v="YES"/>
    <n v="5490"/>
    <n v="0"/>
    <n v="1220"/>
    <n v="4270"/>
    <s v="Saab"/>
    <n v="95"/>
    <n v="1999"/>
    <s v="N"/>
    <n v="3.4097049269925659"/>
    <n v="-3880.8900000000003"/>
    <n v="0.2930449826989619"/>
    <n v="16"/>
    <n v="106"/>
    <x v="1"/>
    <x v="1"/>
  </r>
  <r>
    <n v="292"/>
    <n v="45"/>
    <n v="808544"/>
    <d v="1991-02-05T00:00:00"/>
    <s v="IL"/>
    <s v="500/1000"/>
    <n v="1000"/>
    <n v="1358.91"/>
    <n v="0"/>
    <n v="451470"/>
    <s v="MALE"/>
    <s v="Masters"/>
    <s v="craft-repair"/>
    <s v="dancing"/>
    <s v="unmarried"/>
    <n v="0"/>
    <n v="0"/>
    <d v="2015-01-09T00:00:00"/>
    <s v="Vehicle Theft"/>
    <s v="?"/>
    <s v="Trivial Damage"/>
    <s v="Police"/>
    <x v="4"/>
    <x v="5"/>
    <s v="8336 1st Ridge"/>
    <n v="4"/>
    <n v="1"/>
    <s v="NO"/>
    <n v="0"/>
    <n v="2"/>
    <s v="?"/>
    <n v="7370"/>
    <n v="670"/>
    <n v="1340"/>
    <n v="5360"/>
    <s v="Suburu"/>
    <s v="Impreza"/>
    <n v="1997"/>
    <s v="N"/>
    <n v="5.4194762888720573"/>
    <n v="-6011.09"/>
    <n v="0.18435897435897436"/>
    <n v="18"/>
    <n v="292"/>
    <x v="2"/>
    <x v="0"/>
  </r>
  <r>
    <n v="34"/>
    <n v="34"/>
    <n v="409074"/>
    <d v="1992-03-19T00:00:00"/>
    <s v="OH"/>
    <s v="500/1000"/>
    <n v="500"/>
    <n v="1295.8699999999999"/>
    <n v="0"/>
    <n v="438529"/>
    <s v="FEMALE"/>
    <s v="PhD"/>
    <s v="priv-house-serv"/>
    <s v="chess"/>
    <s v="husband"/>
    <n v="0"/>
    <n v="0"/>
    <d v="2015-01-13T00:00:00"/>
    <s v="Multi-vehicle Collision"/>
    <s v="Side Collision"/>
    <s v="Major Damage"/>
    <s v="Ambulance"/>
    <x v="5"/>
    <x v="0"/>
    <s v="3998 4th Hwy"/>
    <n v="4"/>
    <n v="3"/>
    <s v="?"/>
    <n v="1"/>
    <n v="0"/>
    <s v="NO"/>
    <n v="50800"/>
    <n v="5080"/>
    <n v="5080"/>
    <n v="40640"/>
    <s v="Audi"/>
    <s v="A3"/>
    <n v="1997"/>
    <s v="Y"/>
    <n v="39.1712353589797"/>
    <n v="-49504.13"/>
    <n v="2.5508749827759292E-2"/>
    <n v="18"/>
    <n v="34"/>
    <x v="0"/>
    <x v="0"/>
  </r>
  <r>
    <n v="290"/>
    <n v="48"/>
    <n v="824728"/>
    <d v="2013-04-24T00:00:00"/>
    <s v="IL"/>
    <s v="250/500"/>
    <n v="500"/>
    <n v="1161.03"/>
    <n v="5000000"/>
    <n v="469742"/>
    <s v="MALE"/>
    <s v="Associate"/>
    <s v="adm-clerical"/>
    <s v="video-games"/>
    <s v="not-in-family"/>
    <n v="45300"/>
    <n v="0"/>
    <d v="2015-02-13T00:00:00"/>
    <s v="Multi-vehicle Collision"/>
    <s v="Side Collision"/>
    <s v="Minor Damage"/>
    <s v="Fire"/>
    <x v="1"/>
    <x v="6"/>
    <s v="3966 Oak Hwy"/>
    <n v="20"/>
    <n v="2"/>
    <s v="?"/>
    <n v="1"/>
    <n v="1"/>
    <s v="?"/>
    <n v="41520"/>
    <n v="5190"/>
    <n v="5190"/>
    <n v="31140"/>
    <s v="Nissan"/>
    <s v="Ultima"/>
    <n v="2014"/>
    <s v="N"/>
    <n v="35.730574942127141"/>
    <n v="-40358.97"/>
    <n v="2.7962476818959081E-2"/>
    <n v="1"/>
    <n v="290"/>
    <x v="0"/>
    <x v="0"/>
  </r>
  <r>
    <n v="182"/>
    <n v="38"/>
    <n v="606037"/>
    <d v="2009-04-10T00:00:00"/>
    <s v="OH"/>
    <s v="500/1000"/>
    <n v="2000"/>
    <n v="1441.06"/>
    <n v="0"/>
    <n v="435534"/>
    <s v="FEMALE"/>
    <s v="Masters"/>
    <s v="armed-forces"/>
    <s v="movies"/>
    <s v="husband"/>
    <n v="53800"/>
    <n v="-78300"/>
    <d v="2015-01-08T00:00:00"/>
    <s v="Single Vehicle Collision"/>
    <s v="Side Collision"/>
    <s v="Total Loss"/>
    <s v="Police"/>
    <x v="2"/>
    <x v="1"/>
    <s v="7601 Andromedia Lane"/>
    <n v="18"/>
    <n v="1"/>
    <s v="?"/>
    <n v="2"/>
    <n v="3"/>
    <s v="YES"/>
    <n v="89650"/>
    <n v="8150"/>
    <n v="16300"/>
    <n v="65200"/>
    <s v="Dodge"/>
    <s v="RAM"/>
    <n v="2005"/>
    <s v="N"/>
    <n v="62.16800965285772"/>
    <n v="-88208.94"/>
    <n v="1.6074109602793051E-2"/>
    <n v="10"/>
    <n v="182"/>
    <x v="0"/>
    <x v="0"/>
  </r>
  <r>
    <n v="362"/>
    <n v="55"/>
    <n v="636843"/>
    <d v="2008-12-01T00:00:00"/>
    <s v="OH"/>
    <s v="100/300"/>
    <n v="1000"/>
    <n v="1097.99"/>
    <n v="0"/>
    <n v="442239"/>
    <s v="FEMALE"/>
    <s v="JD"/>
    <s v="other-service"/>
    <s v="base-jumping"/>
    <s v="unmarried"/>
    <n v="44400"/>
    <n v="-71500"/>
    <d v="2015-02-17T00:00:00"/>
    <s v="Multi-vehicle Collision"/>
    <s v="Rear Collision"/>
    <s v="Total Loss"/>
    <s v="Police"/>
    <x v="2"/>
    <x v="4"/>
    <s v="5160 2nd Hwy"/>
    <n v="0"/>
    <n v="3"/>
    <s v="NO"/>
    <n v="0"/>
    <n v="3"/>
    <s v="NO"/>
    <n v="39690"/>
    <n v="0"/>
    <n v="0"/>
    <n v="39690"/>
    <s v="Suburu"/>
    <s v="Legacy"/>
    <n v="1998"/>
    <s v="N"/>
    <n v="36.114978298255672"/>
    <n v="-38592.01"/>
    <n v="2.7663450152427504E-2"/>
    <n v="17"/>
    <n v="362"/>
    <x v="0"/>
    <x v="0"/>
  </r>
  <r>
    <n v="143"/>
    <n v="32"/>
    <n v="111874"/>
    <d v="2000-07-05T00:00:00"/>
    <s v="IL"/>
    <s v="500/1000"/>
    <n v="1000"/>
    <n v="1464.42"/>
    <n v="0"/>
    <n v="468986"/>
    <s v="FEMALE"/>
    <s v="High School"/>
    <s v="exec-managerial"/>
    <s v="golf"/>
    <s v="husband"/>
    <n v="79900"/>
    <n v="0"/>
    <d v="2015-01-15T00:00:00"/>
    <s v="Single Vehicle Collision"/>
    <s v="Rear Collision"/>
    <s v="Major Damage"/>
    <s v="Ambulance"/>
    <x v="0"/>
    <x v="3"/>
    <s v="3288 Tree Lane"/>
    <n v="1"/>
    <n v="1"/>
    <s v="?"/>
    <n v="2"/>
    <n v="0"/>
    <s v="NO"/>
    <n v="62260"/>
    <n v="5660"/>
    <n v="5660"/>
    <n v="50940"/>
    <s v="Saab"/>
    <s v="92x"/>
    <n v="1995"/>
    <s v="N"/>
    <n v="42.486113196216785"/>
    <n v="-60795.58"/>
    <n v="2.3520663015370778E-2"/>
    <n v="20"/>
    <n v="143"/>
    <x v="0"/>
    <x v="0"/>
  </r>
  <r>
    <n v="183"/>
    <n v="38"/>
    <n v="439844"/>
    <d v="2014-06-11T00:00:00"/>
    <s v="IL"/>
    <s v="250/500"/>
    <n v="500"/>
    <n v="1543.68"/>
    <n v="0"/>
    <n v="606988"/>
    <s v="FEMALE"/>
    <s v="Masters"/>
    <s v="prof-specialty"/>
    <s v="paintball"/>
    <s v="not-in-family"/>
    <n v="20200"/>
    <n v="0"/>
    <d v="2015-01-24T00:00:00"/>
    <s v="Single Vehicle Collision"/>
    <s v="Side Collision"/>
    <s v="Major Damage"/>
    <s v="Police"/>
    <x v="5"/>
    <x v="4"/>
    <s v="5874 1st Hwy"/>
    <n v="17"/>
    <n v="1"/>
    <s v="NO"/>
    <n v="0"/>
    <n v="1"/>
    <s v="YES"/>
    <n v="51920"/>
    <n v="9440"/>
    <n v="4720"/>
    <n v="37760"/>
    <s v="Audi"/>
    <s v="A3"/>
    <n v="2001"/>
    <s v="Y"/>
    <n v="33.612139731206462"/>
    <n v="-50376.32"/>
    <n v="2.9731322586236782E-2"/>
    <n v="14"/>
    <n v="183"/>
    <x v="0"/>
    <x v="0"/>
  </r>
  <r>
    <n v="254"/>
    <n v="40"/>
    <n v="463513"/>
    <d v="1995-04-23T00:00:00"/>
    <s v="IL"/>
    <s v="250/500"/>
    <n v="500"/>
    <n v="1390.89"/>
    <n v="5000000"/>
    <n v="453719"/>
    <s v="MALE"/>
    <s v="College"/>
    <s v="armed-forces"/>
    <s v="bungie-jumping"/>
    <s v="wife"/>
    <n v="0"/>
    <n v="-74400"/>
    <d v="2015-02-28T00:00:00"/>
    <s v="Single Vehicle Collision"/>
    <s v="Front Collision"/>
    <s v="Minor Damage"/>
    <s v="Other"/>
    <x v="2"/>
    <x v="1"/>
    <s v="6467 Best Ave"/>
    <n v="23"/>
    <n v="1"/>
    <s v="?"/>
    <n v="2"/>
    <n v="2"/>
    <s v="?"/>
    <n v="53460"/>
    <n v="9720"/>
    <n v="4860"/>
    <n v="38880"/>
    <s v="Volkswagen"/>
    <s v="Jetta"/>
    <n v="2009"/>
    <s v="N"/>
    <n v="38.408207545136463"/>
    <n v="-52069.11"/>
    <n v="2.6016909522829729E-2"/>
    <n v="6"/>
    <n v="254"/>
    <x v="0"/>
    <x v="0"/>
  </r>
  <r>
    <n v="249"/>
    <n v="43"/>
    <n v="577858"/>
    <d v="1990-09-16T00:00:00"/>
    <s v="OH"/>
    <s v="100/300"/>
    <n v="2000"/>
    <n v="1148.58"/>
    <n v="0"/>
    <n v="475524"/>
    <s v="FEMALE"/>
    <s v="MD"/>
    <s v="adm-clerical"/>
    <s v="golf"/>
    <s v="not-in-family"/>
    <n v="0"/>
    <n v="-71200"/>
    <d v="2015-02-16T00:00:00"/>
    <s v="Multi-vehicle Collision"/>
    <s v="Rear Collision"/>
    <s v="Total Loss"/>
    <s v="Fire"/>
    <x v="0"/>
    <x v="2"/>
    <s v="6309 5th Ave"/>
    <n v="4"/>
    <n v="3"/>
    <s v="YES"/>
    <n v="2"/>
    <n v="1"/>
    <s v="YES"/>
    <n v="57100"/>
    <n v="5710"/>
    <n v="5710"/>
    <n v="45680"/>
    <s v="Honda"/>
    <s v="CRV"/>
    <n v="2014"/>
    <s v="N"/>
    <n v="49.670314375685038"/>
    <n v="-55951.42"/>
    <n v="2.0114884152641808E-2"/>
    <n v="1"/>
    <n v="249"/>
    <x v="0"/>
    <x v="0"/>
  </r>
  <r>
    <n v="169"/>
    <n v="36"/>
    <n v="607351"/>
    <d v="1998-12-11T00:00:00"/>
    <s v="IN"/>
    <s v="250/500"/>
    <n v="500"/>
    <n v="1616.26"/>
    <n v="0"/>
    <n v="617804"/>
    <s v="MALE"/>
    <s v="High School"/>
    <s v="exec-managerial"/>
    <s v="yachting"/>
    <s v="unmarried"/>
    <n v="50700"/>
    <n v="-57600"/>
    <d v="2015-02-09T00:00:00"/>
    <s v="Multi-vehicle Collision"/>
    <s v="Front Collision"/>
    <s v="Total Loss"/>
    <s v="Ambulance"/>
    <x v="2"/>
    <x v="3"/>
    <s v="8212 Rock Ave"/>
    <n v="0"/>
    <n v="3"/>
    <s v="NO"/>
    <n v="2"/>
    <n v="3"/>
    <s v="?"/>
    <n v="77440"/>
    <n v="14080"/>
    <n v="7040"/>
    <n v="56320"/>
    <s v="Dodge"/>
    <s v="Neon"/>
    <n v="2004"/>
    <s v="N"/>
    <n v="47.88345720539678"/>
    <n v="-75823.740000000005"/>
    <n v="2.0870856523030435E-2"/>
    <n v="11"/>
    <n v="169"/>
    <x v="0"/>
    <x v="0"/>
  </r>
  <r>
    <n v="235"/>
    <n v="40"/>
    <n v="682754"/>
    <d v="1995-10-09T00:00:00"/>
    <s v="IL"/>
    <s v="500/1000"/>
    <n v="500"/>
    <n v="1398.94"/>
    <n v="0"/>
    <n v="613399"/>
    <s v="MALE"/>
    <s v="College"/>
    <s v="craft-repair"/>
    <s v="bungie-jumping"/>
    <s v="husband"/>
    <n v="0"/>
    <n v="0"/>
    <d v="2015-01-24T00:00:00"/>
    <s v="Single Vehicle Collision"/>
    <s v="Side Collision"/>
    <s v="Minor Damage"/>
    <s v="Ambulance"/>
    <x v="2"/>
    <x v="1"/>
    <s v="4107 MLK Ridge"/>
    <n v="11"/>
    <n v="1"/>
    <s v="NO"/>
    <n v="1"/>
    <n v="2"/>
    <s v="NO"/>
    <n v="68300"/>
    <n v="6830"/>
    <n v="13660"/>
    <n v="47810"/>
    <s v="Suburu"/>
    <s v="Forrestor"/>
    <n v="2003"/>
    <s v="N"/>
    <n v="48.787805191651067"/>
    <n v="-66901.06"/>
    <n v="2.0481984158357856E-2"/>
    <n v="12"/>
    <n v="235"/>
    <x v="0"/>
    <x v="0"/>
  </r>
  <r>
    <n v="112"/>
    <n v="32"/>
    <n v="757352"/>
    <d v="1999-12-21T00:00:00"/>
    <s v="OH"/>
    <s v="500/1000"/>
    <n v="1000"/>
    <n v="1238.92"/>
    <n v="0"/>
    <n v="453400"/>
    <s v="MALE"/>
    <s v="Associate"/>
    <s v="other-service"/>
    <s v="base-jumping"/>
    <s v="other-relative"/>
    <n v="57800"/>
    <n v="-53700"/>
    <d v="2015-02-11T00:00:00"/>
    <s v="Parked Car"/>
    <s v="?"/>
    <s v="Trivial Damage"/>
    <s v="None"/>
    <x v="2"/>
    <x v="2"/>
    <s v="4558 3rd Hwy"/>
    <n v="4"/>
    <n v="1"/>
    <s v="?"/>
    <n v="0"/>
    <n v="2"/>
    <s v="?"/>
    <n v="5060"/>
    <n v="460"/>
    <n v="920"/>
    <n v="3680"/>
    <s v="Honda"/>
    <s v="CRV"/>
    <n v="2012"/>
    <s v="N"/>
    <n v="4.0809084457061742"/>
    <n v="-3821.08"/>
    <n v="0.24479747085556217"/>
    <n v="3"/>
    <n v="112"/>
    <x v="1"/>
    <x v="1"/>
  </r>
  <r>
    <n v="16"/>
    <n v="32"/>
    <n v="307469"/>
    <d v="2002-07-28T00:00:00"/>
    <s v="IL"/>
    <s v="100/300"/>
    <n v="1000"/>
    <n v="968.46"/>
    <n v="0"/>
    <n v="615767"/>
    <s v="MALE"/>
    <s v="MD"/>
    <s v="tech-support"/>
    <s v="chess"/>
    <s v="not-in-family"/>
    <n v="50800"/>
    <n v="-66200"/>
    <d v="2015-01-27T00:00:00"/>
    <s v="Multi-vehicle Collision"/>
    <s v="Side Collision"/>
    <s v="Total Loss"/>
    <s v="Ambulance"/>
    <x v="4"/>
    <x v="0"/>
    <s v="1762 Maple Hwy"/>
    <n v="0"/>
    <n v="3"/>
    <s v="?"/>
    <n v="0"/>
    <n v="2"/>
    <s v="?"/>
    <n v="59400"/>
    <n v="6600"/>
    <n v="13200"/>
    <n v="39600"/>
    <s v="Dodge"/>
    <s v="RAM"/>
    <n v="1995"/>
    <s v="Y"/>
    <n v="61.271223155158538"/>
    <n v="-58431.54"/>
    <n v="1.6303765929866501E-2"/>
    <n v="20"/>
    <n v="16"/>
    <x v="0"/>
    <x v="0"/>
  </r>
  <r>
    <n v="128"/>
    <n v="31"/>
    <n v="526296"/>
    <d v="1993-08-03T00:00:00"/>
    <s v="IL"/>
    <s v="100/300"/>
    <n v="500"/>
    <n v="1045.1199999999999"/>
    <n v="0"/>
    <n v="615311"/>
    <s v="FEMALE"/>
    <s v="High School"/>
    <s v="transport-moving"/>
    <s v="cross-fit"/>
    <s v="other-relative"/>
    <n v="0"/>
    <n v="-28300"/>
    <d v="2015-01-19T00:00:00"/>
    <s v="Multi-vehicle Collision"/>
    <s v="Side Collision"/>
    <s v="Major Damage"/>
    <s v="Ambulance"/>
    <x v="2"/>
    <x v="3"/>
    <s v="5532 Francis Lane"/>
    <n v="2"/>
    <n v="3"/>
    <s v="NO"/>
    <n v="0"/>
    <n v="2"/>
    <s v="?"/>
    <n v="69930"/>
    <n v="0"/>
    <n v="15540"/>
    <n v="54390"/>
    <s v="Ford"/>
    <s v="Escape"/>
    <n v="2013"/>
    <s v="Y"/>
    <n v="66.847015638741254"/>
    <n v="-68884.88"/>
    <n v="1.4945017231270823E-2"/>
    <n v="2"/>
    <n v="128"/>
    <x v="0"/>
    <x v="0"/>
  </r>
  <r>
    <n v="103"/>
    <n v="27"/>
    <n v="658816"/>
    <d v="2007-12-16T00:00:00"/>
    <s v="IN"/>
    <s v="100/300"/>
    <n v="1000"/>
    <n v="1537.33"/>
    <n v="0"/>
    <n v="468470"/>
    <s v="FEMALE"/>
    <s v="College"/>
    <s v="handlers-cleaners"/>
    <s v="board-games"/>
    <s v="husband"/>
    <n v="0"/>
    <n v="-74800"/>
    <d v="2015-02-20T00:00:00"/>
    <s v="Multi-vehicle Collision"/>
    <s v="Front Collision"/>
    <s v="Minor Damage"/>
    <s v="Police"/>
    <x v="2"/>
    <x v="3"/>
    <s v="6158 Sky Ridge"/>
    <n v="11"/>
    <n v="3"/>
    <s v="YES"/>
    <n v="1"/>
    <n v="1"/>
    <s v="NO"/>
    <n v="77700"/>
    <n v="7770"/>
    <n v="15540"/>
    <n v="54390"/>
    <s v="Jeep"/>
    <s v="Wrangler"/>
    <n v="2008"/>
    <s v="N"/>
    <n v="50.509318546735749"/>
    <n v="-76162.67"/>
    <n v="1.9785202249649296E-2"/>
    <n v="7"/>
    <n v="103"/>
    <x v="0"/>
    <x v="0"/>
  </r>
  <r>
    <n v="356"/>
    <n v="54"/>
    <n v="913337"/>
    <d v="2008-02-10T00:00:00"/>
    <s v="OH"/>
    <s v="500/1000"/>
    <n v="500"/>
    <n v="912.3"/>
    <n v="0"/>
    <n v="461383"/>
    <s v="MALE"/>
    <s v="College"/>
    <s v="prof-specialty"/>
    <s v="yachting"/>
    <s v="wife"/>
    <n v="58500"/>
    <n v="-44000"/>
    <d v="2015-01-10T00:00:00"/>
    <s v="Multi-vehicle Collision"/>
    <s v="Front Collision"/>
    <s v="Major Damage"/>
    <s v="Other"/>
    <x v="0"/>
    <x v="5"/>
    <s v="9214 Elm Ridge"/>
    <n v="23"/>
    <n v="3"/>
    <s v="NO"/>
    <n v="2"/>
    <n v="1"/>
    <s v="?"/>
    <n v="68750"/>
    <n v="12500"/>
    <n v="12500"/>
    <n v="43750"/>
    <s v="Audi"/>
    <s v="A5"/>
    <n v="2007"/>
    <s v="Y"/>
    <n v="75.276469944158549"/>
    <n v="-67837.7"/>
    <n v="1.3269625169088448E-2"/>
    <n v="8"/>
    <n v="356"/>
    <x v="0"/>
    <x v="0"/>
  </r>
  <r>
    <n v="109"/>
    <n v="29"/>
    <n v="488464"/>
    <d v="2006-10-01T00:00:00"/>
    <s v="OH"/>
    <s v="100/300"/>
    <n v="2000"/>
    <n v="1007.28"/>
    <n v="6000000"/>
    <n v="457727"/>
    <s v="FEMALE"/>
    <s v="High School"/>
    <s v="adm-clerical"/>
    <s v="movies"/>
    <s v="husband"/>
    <n v="0"/>
    <n v="0"/>
    <d v="2015-02-21T00:00:00"/>
    <s v="Multi-vehicle Collision"/>
    <s v="Side Collision"/>
    <s v="Minor Damage"/>
    <s v="Police"/>
    <x v="2"/>
    <x v="1"/>
    <s v="1833 Solo Ave"/>
    <n v="17"/>
    <n v="3"/>
    <s v="NO"/>
    <n v="1"/>
    <n v="3"/>
    <s v="YES"/>
    <n v="91080"/>
    <n v="16560"/>
    <n v="16560"/>
    <n v="57960"/>
    <s v="Jeep"/>
    <s v="Wrangler"/>
    <n v="1995"/>
    <s v="N"/>
    <n v="90.332050620859292"/>
    <n v="-90072.72"/>
    <n v="1.1059167114985563E-2"/>
    <n v="20"/>
    <n v="109"/>
    <x v="0"/>
    <x v="0"/>
  </r>
  <r>
    <n v="2"/>
    <n v="20"/>
    <n v="480094"/>
    <d v="2003-03-09T00:00:00"/>
    <s v="IN"/>
    <s v="500/1000"/>
    <n v="1000"/>
    <n v="1189.98"/>
    <n v="4000000"/>
    <n v="613327"/>
    <s v="FEMALE"/>
    <s v="High School"/>
    <s v="craft-repair"/>
    <s v="golf"/>
    <s v="other-relative"/>
    <n v="0"/>
    <n v="-54700"/>
    <d v="2015-02-01T00:00:00"/>
    <s v="Single Vehicle Collision"/>
    <s v="Side Collision"/>
    <s v="Minor Damage"/>
    <s v="Other"/>
    <x v="4"/>
    <x v="0"/>
    <s v="1953 Sky Lane"/>
    <n v="22"/>
    <n v="1"/>
    <s v="NO"/>
    <n v="1"/>
    <n v="3"/>
    <s v="YES"/>
    <n v="48360"/>
    <n v="4030"/>
    <n v="8060"/>
    <n v="36270"/>
    <s v="Audi"/>
    <s v="A5"/>
    <n v="2000"/>
    <s v="N"/>
    <n v="40.605215872642695"/>
    <n v="-47170.02"/>
    <n v="2.4606190938979755E-2"/>
    <n v="15"/>
    <n v="2"/>
    <x v="0"/>
    <x v="0"/>
  </r>
  <r>
    <n v="198"/>
    <n v="34"/>
    <n v="263108"/>
    <d v="2003-05-29T00:00:00"/>
    <s v="OH"/>
    <s v="250/500"/>
    <n v="1000"/>
    <n v="1576.41"/>
    <n v="0"/>
    <n v="614941"/>
    <s v="MALE"/>
    <s v="Associate"/>
    <s v="handlers-cleaners"/>
    <s v="kayaking"/>
    <s v="other-relative"/>
    <n v="0"/>
    <n v="-55100"/>
    <d v="2015-02-25T00:00:00"/>
    <s v="Single Vehicle Collision"/>
    <s v="Side Collision"/>
    <s v="Major Damage"/>
    <s v="Other"/>
    <x v="4"/>
    <x v="4"/>
    <s v="6834 1st Drive"/>
    <n v="18"/>
    <n v="1"/>
    <s v="YES"/>
    <n v="1"/>
    <n v="1"/>
    <s v="YES"/>
    <n v="95000"/>
    <n v="9500"/>
    <n v="9500"/>
    <n v="76000"/>
    <s v="Ford"/>
    <s v="F150"/>
    <n v="2001"/>
    <s v="N"/>
    <n v="60.225306039647265"/>
    <n v="-93423.59"/>
    <n v="1.6593614804054694E-2"/>
    <n v="14"/>
    <n v="198"/>
    <x v="0"/>
    <x v="0"/>
  </r>
  <r>
    <n v="107"/>
    <n v="32"/>
    <n v="298412"/>
    <d v="2002-05-06T00:00:00"/>
    <s v="OH"/>
    <s v="100/300"/>
    <n v="500"/>
    <n v="1172.82"/>
    <n v="4000000"/>
    <n v="440680"/>
    <s v="MALE"/>
    <s v="Associate"/>
    <s v="machine-op-inspct"/>
    <s v="yachting"/>
    <s v="other-relative"/>
    <n v="82100"/>
    <n v="0"/>
    <d v="2015-02-24T00:00:00"/>
    <s v="Vehicle Theft"/>
    <s v="?"/>
    <s v="Trivial Damage"/>
    <s v="Police"/>
    <x v="0"/>
    <x v="2"/>
    <s v="9562 4th Ridge"/>
    <n v="8"/>
    <n v="1"/>
    <s v="?"/>
    <n v="1"/>
    <n v="3"/>
    <s v="NO"/>
    <n v="3900"/>
    <n v="780"/>
    <n v="390"/>
    <n v="2730"/>
    <s v="Ford"/>
    <s v="F150"/>
    <n v="2010"/>
    <s v="N"/>
    <n v="3.322485559966605"/>
    <n v="-2727.1800000000003"/>
    <n v="0.30064598820815175"/>
    <n v="5"/>
    <n v="107"/>
    <x v="1"/>
    <x v="1"/>
  </r>
  <r>
    <n v="252"/>
    <n v="39"/>
    <n v="261905"/>
    <d v="2004-02-28T00:00:00"/>
    <s v="IL"/>
    <s v="500/1000"/>
    <n v="500"/>
    <n v="1312.22"/>
    <n v="9000000"/>
    <n v="609949"/>
    <s v="MALE"/>
    <s v="High School"/>
    <s v="transport-moving"/>
    <s v="cross-fit"/>
    <s v="other-relative"/>
    <n v="0"/>
    <n v="-33300"/>
    <d v="2015-02-21T00:00:00"/>
    <s v="Multi-vehicle Collision"/>
    <s v="Front Collision"/>
    <s v="Minor Damage"/>
    <s v="Other"/>
    <x v="5"/>
    <x v="1"/>
    <s v="4835 Britain Ridge"/>
    <n v="15"/>
    <n v="3"/>
    <s v="?"/>
    <n v="0"/>
    <n v="3"/>
    <s v="NO"/>
    <n v="59400"/>
    <n v="11880"/>
    <n v="5940"/>
    <n v="41580"/>
    <s v="Jeep"/>
    <s v="Grand Cherokee"/>
    <n v="2010"/>
    <s v="Y"/>
    <n v="45.232329693425321"/>
    <n v="-58087.78"/>
    <n v="2.2090873891011935E-2"/>
    <n v="5"/>
    <n v="252"/>
    <x v="0"/>
    <x v="0"/>
  </r>
  <r>
    <n v="303"/>
    <n v="43"/>
    <n v="674485"/>
    <d v="1999-01-14T00:00:00"/>
    <s v="OH"/>
    <s v="500/1000"/>
    <n v="1000"/>
    <n v="671.01"/>
    <n v="7000000"/>
    <n v="479655"/>
    <s v="FEMALE"/>
    <s v="Associate"/>
    <s v="machine-op-inspct"/>
    <s v="camping"/>
    <s v="other-relative"/>
    <n v="42900"/>
    <n v="-61500"/>
    <d v="2015-01-08T00:00:00"/>
    <s v="Single Vehicle Collision"/>
    <s v="Rear Collision"/>
    <s v="Minor Damage"/>
    <s v="Fire"/>
    <x v="5"/>
    <x v="3"/>
    <s v="8548 Cherokee Ridge"/>
    <n v="20"/>
    <n v="1"/>
    <s v="?"/>
    <n v="2"/>
    <n v="0"/>
    <s v="?"/>
    <n v="60210"/>
    <n v="6690"/>
    <n v="6690"/>
    <n v="46830"/>
    <s v="Nissan"/>
    <s v="Maxima"/>
    <n v="2013"/>
    <s v="N"/>
    <n v="89.59688099879466"/>
    <n v="-59538.99"/>
    <n v="1.1144309179385827E-2"/>
    <n v="2"/>
    <n v="303"/>
    <x v="0"/>
    <x v="0"/>
  </r>
  <r>
    <n v="101"/>
    <n v="32"/>
    <n v="223404"/>
    <d v="2002-01-23T00:00:00"/>
    <s v="IL"/>
    <s v="250/500"/>
    <n v="500"/>
    <n v="895.14"/>
    <n v="0"/>
    <n v="439964"/>
    <s v="MALE"/>
    <s v="JD"/>
    <s v="sales"/>
    <s v="video-games"/>
    <s v="other-relative"/>
    <n v="52600"/>
    <n v="-30400"/>
    <d v="2015-01-10T00:00:00"/>
    <s v="Single Vehicle Collision"/>
    <s v="Front Collision"/>
    <s v="Minor Damage"/>
    <s v="Ambulance"/>
    <x v="0"/>
    <x v="0"/>
    <s v="2352 MLK Drive"/>
    <n v="4"/>
    <n v="1"/>
    <s v="?"/>
    <n v="0"/>
    <n v="3"/>
    <s v="YES"/>
    <n v="43600"/>
    <n v="8720"/>
    <n v="4360"/>
    <n v="30520"/>
    <s v="Suburu"/>
    <s v="Legacy"/>
    <n v="2010"/>
    <s v="N"/>
    <n v="48.653112236927264"/>
    <n v="-42704.86"/>
    <n v="2.0530263067360839E-2"/>
    <n v="5"/>
    <n v="101"/>
    <x v="0"/>
    <x v="0"/>
  </r>
  <r>
    <n v="446"/>
    <n v="57"/>
    <n v="991480"/>
    <d v="1992-12-09T00:00:00"/>
    <s v="IN"/>
    <s v="100/300"/>
    <n v="2000"/>
    <n v="1373.21"/>
    <n v="0"/>
    <n v="478486"/>
    <s v="MALE"/>
    <s v="College"/>
    <s v="adm-clerical"/>
    <s v="sleeping"/>
    <s v="unmarried"/>
    <n v="42700"/>
    <n v="-64900"/>
    <d v="2015-02-14T00:00:00"/>
    <s v="Multi-vehicle Collision"/>
    <s v="Front Collision"/>
    <s v="Total Loss"/>
    <s v="Police"/>
    <x v="0"/>
    <x v="6"/>
    <s v="9734 2nd Ridge"/>
    <n v="10"/>
    <n v="3"/>
    <s v="NO"/>
    <n v="0"/>
    <n v="0"/>
    <s v="NO"/>
    <n v="62800"/>
    <n v="6280"/>
    <n v="12560"/>
    <n v="43960"/>
    <s v="Jeep"/>
    <s v="Wrangler"/>
    <n v="2012"/>
    <s v="N"/>
    <n v="45.698983415926243"/>
    <n v="-61426.79"/>
    <n v="2.186605308832662E-2"/>
    <n v="3"/>
    <n v="446"/>
    <x v="0"/>
    <x v="0"/>
  </r>
  <r>
    <n v="330"/>
    <n v="48"/>
    <n v="804219"/>
    <d v="1998-06-24T00:00:00"/>
    <s v="OH"/>
    <s v="250/500"/>
    <n v="1000"/>
    <n v="1625.65"/>
    <n v="0"/>
    <n v="466498"/>
    <s v="MALE"/>
    <s v="College"/>
    <s v="farming-fishing"/>
    <s v="skydiving"/>
    <s v="husband"/>
    <n v="0"/>
    <n v="0"/>
    <d v="2015-02-26T00:00:00"/>
    <s v="Single Vehicle Collision"/>
    <s v="Side Collision"/>
    <s v="Major Damage"/>
    <s v="Ambulance"/>
    <x v="1"/>
    <x v="3"/>
    <s v="3122 Apache Drive"/>
    <n v="10"/>
    <n v="1"/>
    <s v="YES"/>
    <n v="1"/>
    <n v="3"/>
    <s v="?"/>
    <n v="59500"/>
    <n v="11900"/>
    <n v="5950"/>
    <n v="41650"/>
    <s v="Dodge"/>
    <s v="Neon"/>
    <n v="2006"/>
    <s v="N"/>
    <n v="36.578243629545383"/>
    <n v="-57874.35"/>
    <n v="2.7321389556478042E-2"/>
    <n v="9"/>
    <n v="330"/>
    <x v="0"/>
    <x v="0"/>
  </r>
  <r>
    <n v="211"/>
    <n v="37"/>
    <n v="483088"/>
    <d v="2011-01-06T00:00:00"/>
    <s v="OH"/>
    <s v="250/500"/>
    <n v="2000"/>
    <n v="1295.6300000000001"/>
    <n v="4000000"/>
    <n v="430878"/>
    <s v="FEMALE"/>
    <s v="PhD"/>
    <s v="armed-forces"/>
    <s v="skydiving"/>
    <s v="not-in-family"/>
    <n v="42200"/>
    <n v="-33800"/>
    <d v="2015-01-30T00:00:00"/>
    <s v="Multi-vehicle Collision"/>
    <s v="Front Collision"/>
    <s v="Total Loss"/>
    <s v="Police"/>
    <x v="4"/>
    <x v="5"/>
    <s v="9816 Britain St"/>
    <n v="22"/>
    <n v="3"/>
    <s v="YES"/>
    <n v="1"/>
    <n v="0"/>
    <s v="?"/>
    <n v="53460"/>
    <n v="5940"/>
    <n v="5940"/>
    <n v="41580"/>
    <s v="Honda"/>
    <s v="CRV"/>
    <n v="2009"/>
    <s v="N"/>
    <n v="41.22995765947109"/>
    <n v="-52164.37"/>
    <n v="2.4235049849422947E-2"/>
    <n v="6"/>
    <n v="211"/>
    <x v="0"/>
    <x v="0"/>
  </r>
  <r>
    <n v="172"/>
    <n v="33"/>
    <n v="100804"/>
    <d v="2012-02-24T00:00:00"/>
    <s v="IL"/>
    <s v="100/300"/>
    <n v="1000"/>
    <n v="1459.96"/>
    <n v="6000000"/>
    <n v="600127"/>
    <s v="FEMALE"/>
    <s v="High School"/>
    <s v="adm-clerical"/>
    <s v="reading"/>
    <s v="wife"/>
    <n v="41300"/>
    <n v="-42000"/>
    <d v="2015-01-07T00:00:00"/>
    <s v="Multi-vehicle Collision"/>
    <s v="Side Collision"/>
    <s v="Total Loss"/>
    <s v="Ambulance"/>
    <x v="2"/>
    <x v="5"/>
    <s v="8214 Flute St"/>
    <n v="15"/>
    <n v="3"/>
    <s v="NO"/>
    <n v="0"/>
    <n v="1"/>
    <s v="NO"/>
    <n v="41690"/>
    <n v="7580"/>
    <n v="7580"/>
    <n v="26530"/>
    <s v="Saab"/>
    <n v="95"/>
    <n v="1999"/>
    <s v="N"/>
    <n v="28.536031102836489"/>
    <n v="-40230.04"/>
    <n v="3.5018589143939939E-2"/>
    <n v="16"/>
    <n v="172"/>
    <x v="0"/>
    <x v="0"/>
  </r>
  <r>
    <n v="316"/>
    <n v="46"/>
    <n v="941807"/>
    <d v="2011-06-25T00:00:00"/>
    <s v="OH"/>
    <s v="100/300"/>
    <n v="500"/>
    <n v="1219.94"/>
    <n v="7000000"/>
    <n v="431968"/>
    <s v="FEMALE"/>
    <s v="Masters"/>
    <s v="prof-specialty"/>
    <s v="paintball"/>
    <s v="wife"/>
    <n v="0"/>
    <n v="-51000"/>
    <d v="2015-02-27T00:00:00"/>
    <s v="Single Vehicle Collision"/>
    <s v="Side Collision"/>
    <s v="Minor Damage"/>
    <s v="Ambulance"/>
    <x v="2"/>
    <x v="2"/>
    <s v="6259 Lincoln Hwy"/>
    <n v="13"/>
    <n v="1"/>
    <s v="?"/>
    <n v="0"/>
    <n v="1"/>
    <s v="YES"/>
    <n v="63100"/>
    <n v="6310"/>
    <n v="12620"/>
    <n v="44170"/>
    <s v="Accura"/>
    <s v="TL"/>
    <n v="2000"/>
    <s v="N"/>
    <n v="51.681491309974277"/>
    <n v="-61880.06"/>
    <n v="1.9333132596947751E-2"/>
    <n v="15"/>
    <n v="316"/>
    <x v="0"/>
    <x v="0"/>
  </r>
  <r>
    <n v="435"/>
    <n v="60"/>
    <n v="593466"/>
    <d v="2006-11-21T00:00:00"/>
    <s v="OH"/>
    <s v="500/1000"/>
    <n v="500"/>
    <n v="1064.49"/>
    <n v="5000000"/>
    <n v="462804"/>
    <s v="MALE"/>
    <s v="Associate"/>
    <s v="priv-house-serv"/>
    <s v="chess"/>
    <s v="other-relative"/>
    <n v="73500"/>
    <n v="-43300"/>
    <d v="2015-02-13T00:00:00"/>
    <s v="Single Vehicle Collision"/>
    <s v="Front Collision"/>
    <s v="Total Loss"/>
    <s v="Ambulance"/>
    <x v="4"/>
    <x v="2"/>
    <s v="4492 Andromedia Ave"/>
    <n v="23"/>
    <n v="1"/>
    <s v="NO"/>
    <n v="2"/>
    <n v="1"/>
    <s v="?"/>
    <n v="62880"/>
    <n v="5240"/>
    <n v="10480"/>
    <n v="47160"/>
    <s v="Mercedes"/>
    <s v="E400"/>
    <n v="2007"/>
    <s v="Y"/>
    <n v="59.01510103332739"/>
    <n v="-61815.51"/>
    <n v="1.6928642992318825E-2"/>
    <n v="8"/>
    <n v="435"/>
    <x v="0"/>
    <x v="0"/>
  </r>
  <r>
    <n v="344"/>
    <n v="51"/>
    <n v="437442"/>
    <d v="2008-06-27T00:00:00"/>
    <s v="IL"/>
    <s v="100/300"/>
    <n v="1000"/>
    <n v="959.83"/>
    <n v="0"/>
    <n v="435809"/>
    <s v="FEMALE"/>
    <s v="Masters"/>
    <s v="sales"/>
    <s v="paintball"/>
    <s v="not-in-family"/>
    <n v="0"/>
    <n v="-38700"/>
    <d v="2015-02-02T00:00:00"/>
    <s v="Multi-vehicle Collision"/>
    <s v="Side Collision"/>
    <s v="Major Damage"/>
    <s v="Fire"/>
    <x v="2"/>
    <x v="5"/>
    <s v="6179 3rd Ridge"/>
    <n v="18"/>
    <n v="3"/>
    <s v="?"/>
    <n v="2"/>
    <n v="2"/>
    <s v="YES"/>
    <n v="75400"/>
    <n v="17400"/>
    <n v="11600"/>
    <n v="46400"/>
    <s v="BMW"/>
    <s v="X6"/>
    <n v="2006"/>
    <s v="Y"/>
    <n v="78.473819510215122"/>
    <n v="-74440.17"/>
    <n v="1.2729672020264983E-2"/>
    <n v="9"/>
    <n v="344"/>
    <x v="0"/>
    <x v="0"/>
  </r>
  <r>
    <n v="204"/>
    <n v="40"/>
    <n v="942106"/>
    <d v="1993-08-30T00:00:00"/>
    <s v="OH"/>
    <s v="250/500"/>
    <n v="2000"/>
    <n v="1767.02"/>
    <n v="0"/>
    <n v="453193"/>
    <s v="MALE"/>
    <s v="JD"/>
    <s v="machine-op-inspct"/>
    <s v="hiking"/>
    <s v="husband"/>
    <n v="0"/>
    <n v="-49300"/>
    <d v="2015-02-27T00:00:00"/>
    <s v="Single Vehicle Collision"/>
    <s v="Rear Collision"/>
    <s v="Total Loss"/>
    <s v="Ambulance"/>
    <x v="0"/>
    <x v="2"/>
    <s v="3799 Embaracadero Drive"/>
    <n v="7"/>
    <n v="1"/>
    <s v="YES"/>
    <n v="1"/>
    <n v="1"/>
    <s v="NO"/>
    <n v="46200"/>
    <n v="4200"/>
    <n v="8400"/>
    <n v="33600"/>
    <s v="Audi"/>
    <s v="A5"/>
    <n v="1997"/>
    <s v="N"/>
    <n v="26.13092612074524"/>
    <n v="-44432.98"/>
    <n v="3.8246358303932818E-2"/>
    <n v="18"/>
    <n v="204"/>
    <x v="0"/>
    <x v="0"/>
  </r>
  <r>
    <n v="278"/>
    <n v="47"/>
    <n v="794951"/>
    <d v="2008-04-21T00:00:00"/>
    <s v="IN"/>
    <s v="500/1000"/>
    <n v="500"/>
    <n v="1285.01"/>
    <n v="0"/>
    <n v="459630"/>
    <s v="MALE"/>
    <s v="Masters"/>
    <s v="machine-op-inspct"/>
    <s v="sleeping"/>
    <s v="not-in-family"/>
    <n v="0"/>
    <n v="-39800"/>
    <d v="2015-02-02T00:00:00"/>
    <s v="Single Vehicle Collision"/>
    <s v="Rear Collision"/>
    <s v="Major Damage"/>
    <s v="Ambulance"/>
    <x v="1"/>
    <x v="4"/>
    <s v="5071 1st Lane"/>
    <n v="21"/>
    <n v="1"/>
    <s v="NO"/>
    <n v="2"/>
    <n v="2"/>
    <s v="YES"/>
    <n v="58500"/>
    <n v="5850"/>
    <n v="5850"/>
    <n v="46800"/>
    <s v="Toyota"/>
    <s v="Camry"/>
    <n v="2010"/>
    <s v="N"/>
    <n v="45.489537406396529"/>
    <n v="-57214.99"/>
    <n v="2.1965607425514094E-2"/>
    <n v="5"/>
    <n v="278"/>
    <x v="0"/>
    <x v="0"/>
  </r>
  <r>
    <n v="434"/>
    <n v="57"/>
    <n v="182450"/>
    <d v="2000-06-23T00:00:00"/>
    <s v="OH"/>
    <s v="500/1000"/>
    <n v="2000"/>
    <n v="1422.95"/>
    <n v="0"/>
    <n v="608982"/>
    <s v="MALE"/>
    <s v="JD"/>
    <s v="transport-moving"/>
    <s v="bungie-jumping"/>
    <s v="husband"/>
    <n v="0"/>
    <n v="0"/>
    <d v="2015-01-17T00:00:00"/>
    <s v="Multi-vehicle Collision"/>
    <s v="Rear Collision"/>
    <s v="Major Damage"/>
    <s v="Other"/>
    <x v="0"/>
    <x v="0"/>
    <s v="6574 4th Drive"/>
    <n v="15"/>
    <n v="3"/>
    <s v="NO"/>
    <n v="1"/>
    <n v="3"/>
    <s v="NO"/>
    <n v="66240"/>
    <n v="11040"/>
    <n v="11040"/>
    <n v="44160"/>
    <s v="Nissan"/>
    <s v="Maxima"/>
    <n v="2003"/>
    <s v="N"/>
    <n v="46.51848730643632"/>
    <n v="-64817.05"/>
    <n v="2.148140879515708E-2"/>
    <n v="12"/>
    <n v="434"/>
    <x v="0"/>
    <x v="0"/>
  </r>
  <r>
    <n v="209"/>
    <n v="36"/>
    <n v="730973"/>
    <d v="2010-01-11T00:00:00"/>
    <s v="IN"/>
    <s v="100/300"/>
    <n v="2000"/>
    <n v="1223.3900000000001"/>
    <n v="0"/>
    <n v="452218"/>
    <s v="FEMALE"/>
    <s v="MD"/>
    <s v="craft-repair"/>
    <s v="camping"/>
    <s v="wife"/>
    <n v="0"/>
    <n v="0"/>
    <d v="2015-01-12T00:00:00"/>
    <s v="Multi-vehicle Collision"/>
    <s v="Rear Collision"/>
    <s v="Total Loss"/>
    <s v="Ambulance"/>
    <x v="6"/>
    <x v="4"/>
    <s v="2711 Britain Ave"/>
    <n v="17"/>
    <n v="3"/>
    <s v="?"/>
    <n v="1"/>
    <n v="3"/>
    <s v="?"/>
    <n v="65440"/>
    <n v="8180"/>
    <n v="8180"/>
    <n v="49080"/>
    <s v="Jeep"/>
    <s v="Wrangler"/>
    <n v="2014"/>
    <s v="N"/>
    <n v="53.447022599008484"/>
    <n v="-64216.61"/>
    <n v="1.869454928867224E-2"/>
    <n v="1"/>
    <n v="209"/>
    <x v="0"/>
    <x v="0"/>
  </r>
  <r>
    <n v="250"/>
    <n v="43"/>
    <n v="687755"/>
    <d v="1990-03-28T00:00:00"/>
    <s v="IL"/>
    <s v="500/1000"/>
    <n v="2000"/>
    <n v="1539.06"/>
    <n v="0"/>
    <n v="434150"/>
    <s v="MALE"/>
    <s v="Masters"/>
    <s v="sales"/>
    <s v="exercise"/>
    <s v="other-relative"/>
    <n v="37800"/>
    <n v="0"/>
    <d v="2015-01-20T00:00:00"/>
    <s v="Single Vehicle Collision"/>
    <s v="Front Collision"/>
    <s v="Minor Damage"/>
    <s v="Fire"/>
    <x v="0"/>
    <x v="4"/>
    <s v="4214 MLK Ridge"/>
    <n v="2"/>
    <n v="1"/>
    <s v="NO"/>
    <n v="0"/>
    <n v="3"/>
    <s v="?"/>
    <n v="64200"/>
    <n v="10700"/>
    <n v="10700"/>
    <n v="42800"/>
    <s v="Ford"/>
    <s v="F150"/>
    <n v="2002"/>
    <s v="N"/>
    <n v="41.686687531654613"/>
    <n v="-62660.94"/>
    <n v="2.3972523792464291E-2"/>
    <n v="13"/>
    <n v="250"/>
    <x v="0"/>
    <x v="0"/>
  </r>
  <r>
    <n v="61"/>
    <n v="25"/>
    <n v="757644"/>
    <d v="1998-01-29T00:00:00"/>
    <s v="IN"/>
    <s v="100/300"/>
    <n v="2000"/>
    <n v="988.06"/>
    <n v="0"/>
    <n v="460579"/>
    <s v="FEMALE"/>
    <s v="Masters"/>
    <s v="other-service"/>
    <s v="dancing"/>
    <s v="not-in-family"/>
    <n v="0"/>
    <n v="0"/>
    <d v="2015-02-05T00:00:00"/>
    <s v="Multi-vehicle Collision"/>
    <s v="Rear Collision"/>
    <s v="Minor Damage"/>
    <s v="Ambulance"/>
    <x v="4"/>
    <x v="5"/>
    <s v="7976 Britain Drive"/>
    <n v="1"/>
    <n v="3"/>
    <s v="YES"/>
    <n v="1"/>
    <n v="0"/>
    <s v="NO"/>
    <n v="32320"/>
    <n v="4040"/>
    <n v="4040"/>
    <n v="24240"/>
    <s v="Dodge"/>
    <s v="RAM"/>
    <n v="2000"/>
    <s v="N"/>
    <n v="32.677491759852792"/>
    <n v="-31331.94"/>
    <n v="3.0570217505646483E-2"/>
    <n v="15"/>
    <n v="61"/>
    <x v="0"/>
    <x v="0"/>
  </r>
  <r>
    <n v="80"/>
    <n v="28"/>
    <n v="998865"/>
    <d v="2014-12-05T00:00:00"/>
    <s v="IL"/>
    <s v="500/1000"/>
    <n v="1000"/>
    <n v="1740.57"/>
    <n v="0"/>
    <n v="442142"/>
    <s v="FEMALE"/>
    <s v="College"/>
    <s v="farming-fishing"/>
    <s v="golf"/>
    <s v="wife"/>
    <n v="0"/>
    <n v="-18600"/>
    <d v="2015-01-20T00:00:00"/>
    <s v="Single Vehicle Collision"/>
    <s v="Rear Collision"/>
    <s v="Major Damage"/>
    <s v="Police"/>
    <x v="0"/>
    <x v="5"/>
    <s v="4995 Weaver Ridge"/>
    <n v="3"/>
    <n v="1"/>
    <s v="?"/>
    <n v="0"/>
    <n v="1"/>
    <s v="?"/>
    <n v="33480"/>
    <n v="3720"/>
    <n v="3720"/>
    <n v="26040"/>
    <s v="Dodge"/>
    <s v="Neon"/>
    <n v="2011"/>
    <s v="N"/>
    <n v="19.224033487026073"/>
    <n v="-31739.43"/>
    <n v="5.1986798482721544E-2"/>
    <n v="4"/>
    <n v="80"/>
    <x v="2"/>
    <x v="0"/>
  </r>
  <r>
    <n v="25"/>
    <n v="38"/>
    <n v="944953"/>
    <d v="1995-12-07T00:00:00"/>
    <s v="OH"/>
    <s v="250/500"/>
    <n v="1000"/>
    <n v="1540.91"/>
    <n v="7000000"/>
    <n v="608807"/>
    <s v="MALE"/>
    <s v="College"/>
    <s v="adm-clerical"/>
    <s v="polo"/>
    <s v="wife"/>
    <n v="40900"/>
    <n v="0"/>
    <d v="2015-02-24T00:00:00"/>
    <s v="Vehicle Theft"/>
    <s v="?"/>
    <s v="Trivial Damage"/>
    <s v="None"/>
    <x v="1"/>
    <x v="5"/>
    <s v="1515 Embaracadero St"/>
    <n v="0"/>
    <n v="1"/>
    <s v="NO"/>
    <n v="1"/>
    <n v="1"/>
    <s v="YES"/>
    <n v="4320"/>
    <n v="480"/>
    <n v="960"/>
    <n v="2880"/>
    <s v="Toyota"/>
    <s v="Corolla"/>
    <n v="1995"/>
    <s v="N"/>
    <n v="2.8017199447438563"/>
    <n v="-2779.09"/>
    <n v="0.35660958111548252"/>
    <n v="20"/>
    <n v="25"/>
    <x v="1"/>
    <x v="1"/>
  </r>
  <r>
    <n v="4"/>
    <n v="29"/>
    <n v="386429"/>
    <d v="2002-05-27T00:00:00"/>
    <s v="IL"/>
    <s v="250/500"/>
    <n v="500"/>
    <n v="1381.88"/>
    <n v="5000000"/>
    <n v="433153"/>
    <s v="MALE"/>
    <s v="High School"/>
    <s v="tech-support"/>
    <s v="exercise"/>
    <s v="other-relative"/>
    <n v="0"/>
    <n v="-77800"/>
    <d v="2015-02-21T00:00:00"/>
    <s v="Vehicle Theft"/>
    <s v="?"/>
    <s v="Trivial Damage"/>
    <s v="Police"/>
    <x v="0"/>
    <x v="4"/>
    <s v="2968 Andromedia Ave"/>
    <n v="4"/>
    <n v="1"/>
    <s v="NO"/>
    <n v="0"/>
    <n v="2"/>
    <s v="?"/>
    <n v="4200"/>
    <n v="840"/>
    <n v="420"/>
    <n v="2940"/>
    <s v="Jeep"/>
    <s v="Wrangler"/>
    <n v="2008"/>
    <s v="N"/>
    <n v="3.0371398819854214"/>
    <n v="-2818.12"/>
    <n v="0.32894072839800048"/>
    <n v="7"/>
    <n v="4"/>
    <x v="1"/>
    <x v="1"/>
  </r>
  <r>
    <n v="32"/>
    <n v="29"/>
    <n v="108270"/>
    <d v="2002-08-09T00:00:00"/>
    <s v="OH"/>
    <s v="100/300"/>
    <n v="500"/>
    <n v="1446.98"/>
    <n v="0"/>
    <n v="436560"/>
    <s v="MALE"/>
    <s v="MD"/>
    <s v="adm-clerical"/>
    <s v="sleeping"/>
    <s v="own-child"/>
    <n v="0"/>
    <n v="-45700"/>
    <d v="2015-02-11T00:00:00"/>
    <s v="Multi-vehicle Collision"/>
    <s v="Front Collision"/>
    <s v="Minor Damage"/>
    <s v="Ambulance"/>
    <x v="2"/>
    <x v="2"/>
    <s v="9236 2nd Hwy"/>
    <n v="11"/>
    <n v="3"/>
    <s v="YES"/>
    <n v="2"/>
    <n v="0"/>
    <s v="NO"/>
    <n v="57970"/>
    <n v="10540"/>
    <n v="5270"/>
    <n v="42160"/>
    <s v="Saab"/>
    <n v="93"/>
    <n v="2006"/>
    <s v="N"/>
    <n v="40.035083357504938"/>
    <n v="-56523.02"/>
    <n v="2.4960411240102811E-2"/>
    <n v="9"/>
    <n v="32"/>
    <x v="0"/>
    <x v="0"/>
  </r>
  <r>
    <n v="125"/>
    <n v="31"/>
    <n v="205134"/>
    <d v="2012-12-02T00:00:00"/>
    <s v="IN"/>
    <s v="500/1000"/>
    <n v="500"/>
    <n v="1220.8599999999999"/>
    <n v="0"/>
    <n v="436784"/>
    <s v="MALE"/>
    <s v="JD"/>
    <s v="other-service"/>
    <s v="paintball"/>
    <s v="husband"/>
    <n v="55400"/>
    <n v="-40400"/>
    <d v="2015-01-24T00:00:00"/>
    <s v="Parked Car"/>
    <s v="?"/>
    <s v="Trivial Damage"/>
    <s v="None"/>
    <x v="2"/>
    <x v="2"/>
    <s v="9639 Britain Ridge"/>
    <n v="4"/>
    <n v="1"/>
    <s v="YES"/>
    <n v="1"/>
    <n v="2"/>
    <s v="?"/>
    <n v="4320"/>
    <n v="0"/>
    <n v="960"/>
    <n v="3360"/>
    <s v="Saab"/>
    <n v="93"/>
    <n v="2003"/>
    <s v="N"/>
    <n v="3.5355932758253812"/>
    <n v="-3099.1400000000003"/>
    <n v="0.28254107845406151"/>
    <n v="12"/>
    <n v="125"/>
    <x v="1"/>
    <x v="1"/>
  </r>
  <r>
    <n v="276"/>
    <n v="45"/>
    <n v="749325"/>
    <d v="2000-03-22T00:00:00"/>
    <s v="IL"/>
    <s v="500/1000"/>
    <n v="500"/>
    <n v="948.1"/>
    <n v="0"/>
    <n v="430621"/>
    <s v="FEMALE"/>
    <s v="High School"/>
    <s v="machine-op-inspct"/>
    <s v="reading"/>
    <s v="wife"/>
    <n v="44500"/>
    <n v="-61400"/>
    <d v="2015-01-06T00:00:00"/>
    <s v="Multi-vehicle Collision"/>
    <s v="Front Collision"/>
    <s v="Minor Damage"/>
    <s v="Fire"/>
    <x v="0"/>
    <x v="0"/>
    <s v="9422 Washington Ridge"/>
    <n v="11"/>
    <n v="3"/>
    <s v="?"/>
    <n v="0"/>
    <n v="2"/>
    <s v="?"/>
    <n v="69300"/>
    <n v="13860"/>
    <n v="6930"/>
    <n v="48510"/>
    <s v="Ford"/>
    <s v="Escape"/>
    <n v="2010"/>
    <s v="N"/>
    <n v="73.016541987145715"/>
    <n v="-68351.899999999994"/>
    <n v="1.3680899265522864E-2"/>
    <n v="5"/>
    <n v="276"/>
    <x v="0"/>
    <x v="0"/>
  </r>
  <r>
    <n v="148"/>
    <n v="30"/>
    <n v="774303"/>
    <d v="2002-04-13T00:00:00"/>
    <s v="OH"/>
    <s v="100/300"/>
    <n v="500"/>
    <n v="1471.24"/>
    <n v="0"/>
    <n v="601574"/>
    <s v="FEMALE"/>
    <s v="Masters"/>
    <s v="farming-fishing"/>
    <s v="camping"/>
    <s v="own-child"/>
    <n v="57500"/>
    <n v="-93600"/>
    <d v="2015-01-15T00:00:00"/>
    <s v="Multi-vehicle Collision"/>
    <s v="Side Collision"/>
    <s v="Minor Damage"/>
    <s v="Police"/>
    <x v="5"/>
    <x v="1"/>
    <s v="1213 4th Lane"/>
    <n v="4"/>
    <n v="3"/>
    <s v="NO"/>
    <n v="2"/>
    <n v="2"/>
    <s v="NO"/>
    <n v="32480"/>
    <n v="4060"/>
    <n v="4060"/>
    <n v="24360"/>
    <s v="Dodge"/>
    <s v="Neon"/>
    <n v="1997"/>
    <s v="N"/>
    <n v="22.06162038798022"/>
    <n v="-31008.76"/>
    <n v="4.5295403466642035E-2"/>
    <n v="18"/>
    <n v="148"/>
    <x v="0"/>
    <x v="0"/>
  </r>
  <r>
    <n v="222"/>
    <n v="38"/>
    <n v="698470"/>
    <d v="2008-06-17T00:00:00"/>
    <s v="IN"/>
    <s v="100/300"/>
    <n v="2000"/>
    <n v="1157.97"/>
    <n v="0"/>
    <n v="433853"/>
    <s v="MALE"/>
    <s v="MD"/>
    <s v="machine-op-inspct"/>
    <s v="hiking"/>
    <s v="not-in-family"/>
    <n v="0"/>
    <n v="-64500"/>
    <d v="2015-02-22T00:00:00"/>
    <s v="Single Vehicle Collision"/>
    <s v="Front Collision"/>
    <s v="Total Loss"/>
    <s v="Police"/>
    <x v="2"/>
    <x v="4"/>
    <s v="3872 5th Drive"/>
    <n v="20"/>
    <n v="1"/>
    <s v="?"/>
    <n v="2"/>
    <n v="2"/>
    <s v="YES"/>
    <n v="60480"/>
    <n v="6720"/>
    <n v="6720"/>
    <n v="47040"/>
    <s v="Accura"/>
    <s v="TL"/>
    <n v="2001"/>
    <s v="N"/>
    <n v="52.184267064721261"/>
    <n v="-59322.03"/>
    <n v="1.914601279740745E-2"/>
    <n v="14"/>
    <n v="222"/>
    <x v="0"/>
    <x v="0"/>
  </r>
  <r>
    <n v="32"/>
    <n v="38"/>
    <n v="719989"/>
    <d v="1994-04-07T00:00:00"/>
    <s v="IL"/>
    <s v="250/500"/>
    <n v="2000"/>
    <n v="566.11"/>
    <n v="5000000"/>
    <n v="453164"/>
    <s v="MALE"/>
    <s v="Associate"/>
    <s v="armed-forces"/>
    <s v="polo"/>
    <s v="unmarried"/>
    <n v="0"/>
    <n v="0"/>
    <d v="2015-01-21T00:00:00"/>
    <s v="Parked Car"/>
    <s v="?"/>
    <s v="Trivial Damage"/>
    <s v="Police"/>
    <x v="5"/>
    <x v="3"/>
    <s v="9397 5th Hwy"/>
    <n v="22"/>
    <n v="1"/>
    <s v="YES"/>
    <n v="0"/>
    <n v="0"/>
    <s v="NO"/>
    <n v="2640"/>
    <n v="440"/>
    <n v="440"/>
    <n v="1760"/>
    <s v="Honda"/>
    <s v="CRV"/>
    <n v="2015"/>
    <s v="N"/>
    <n v="4.6551815344465801"/>
    <n v="-2073.89"/>
    <n v="0.21435441120787582"/>
    <n v="0"/>
    <n v="32"/>
    <x v="1"/>
    <x v="1"/>
  </r>
  <r>
    <n v="78"/>
    <n v="27"/>
    <n v="309323"/>
    <d v="1992-02-29T00:00:00"/>
    <s v="OH"/>
    <s v="500/1000"/>
    <n v="500"/>
    <n v="1060.8800000000001"/>
    <n v="0"/>
    <n v="613931"/>
    <s v="MALE"/>
    <s v="JD"/>
    <s v="other-service"/>
    <s v="skydiving"/>
    <s v="other-relative"/>
    <n v="0"/>
    <n v="-66500"/>
    <d v="2015-02-03T00:00:00"/>
    <s v="Parked Car"/>
    <s v="?"/>
    <s v="Trivial Damage"/>
    <s v="Police"/>
    <x v="0"/>
    <x v="5"/>
    <s v="8876 1st St"/>
    <n v="4"/>
    <n v="1"/>
    <s v="NO"/>
    <n v="0"/>
    <n v="3"/>
    <s v="NO"/>
    <n v="6050"/>
    <n v="550"/>
    <n v="1100"/>
    <n v="4400"/>
    <s v="Volkswagen"/>
    <s v="Passat"/>
    <n v="2009"/>
    <s v="N"/>
    <n v="5.697442272196481"/>
    <n v="-4989.12"/>
    <n v="0.17532308709304248"/>
    <n v="6"/>
    <n v="78"/>
    <x v="2"/>
    <x v="1"/>
  </r>
  <r>
    <n v="238"/>
    <n v="43"/>
    <n v="444035"/>
    <d v="1996-05-11T00:00:00"/>
    <s v="OH"/>
    <s v="250/500"/>
    <n v="1000"/>
    <n v="1524.45"/>
    <n v="4000000"/>
    <n v="607458"/>
    <s v="MALE"/>
    <s v="High School"/>
    <s v="handlers-cleaners"/>
    <s v="chess"/>
    <s v="wife"/>
    <n v="0"/>
    <n v="-44800"/>
    <d v="2015-02-16T00:00:00"/>
    <s v="Multi-vehicle Collision"/>
    <s v="Rear Collision"/>
    <s v="Total Loss"/>
    <s v="Ambulance"/>
    <x v="5"/>
    <x v="4"/>
    <s v="3397 5th Ave"/>
    <n v="21"/>
    <n v="4"/>
    <s v="NO"/>
    <n v="0"/>
    <n v="0"/>
    <s v="NO"/>
    <n v="42700"/>
    <n v="4270"/>
    <n v="4270"/>
    <n v="34160"/>
    <s v="Saab"/>
    <s v="92x"/>
    <n v="1995"/>
    <s v="Y"/>
    <n v="27.991740142253104"/>
    <n v="-41175.550000000003"/>
    <n v="3.5700569073323814E-2"/>
    <n v="20"/>
    <n v="238"/>
    <x v="0"/>
    <x v="0"/>
  </r>
  <r>
    <n v="313"/>
    <n v="47"/>
    <n v="431478"/>
    <d v="2013-04-03T00:00:00"/>
    <s v="IN"/>
    <s v="250/500"/>
    <n v="1000"/>
    <n v="1556.17"/>
    <n v="0"/>
    <n v="463835"/>
    <s v="MALE"/>
    <s v="College"/>
    <s v="prof-specialty"/>
    <s v="reading"/>
    <s v="wife"/>
    <n v="63900"/>
    <n v="-53300"/>
    <d v="2015-02-07T00:00:00"/>
    <s v="Single Vehicle Collision"/>
    <s v="Front Collision"/>
    <s v="Major Damage"/>
    <s v="Ambulance"/>
    <x v="0"/>
    <x v="4"/>
    <s v="3263 Pine Ridge"/>
    <n v="20"/>
    <n v="1"/>
    <s v="YES"/>
    <n v="1"/>
    <n v="3"/>
    <s v="NO"/>
    <n v="40260"/>
    <n v="3660"/>
    <n v="7320"/>
    <n v="29280"/>
    <s v="Accura"/>
    <s v="MDX"/>
    <n v="1996"/>
    <s v="Y"/>
    <n v="25.854595195129626"/>
    <n v="-38703.83"/>
    <n v="3.8652045403740592E-2"/>
    <n v="19"/>
    <n v="313"/>
    <x v="0"/>
    <x v="0"/>
  </r>
  <r>
    <n v="334"/>
    <n v="50"/>
    <n v="797634"/>
    <d v="2009-11-12T00:00:00"/>
    <s v="OH"/>
    <s v="500/1000"/>
    <n v="500"/>
    <n v="1216.24"/>
    <n v="0"/>
    <n v="613945"/>
    <s v="MALE"/>
    <s v="Masters"/>
    <s v="priv-house-serv"/>
    <s v="polo"/>
    <s v="wife"/>
    <n v="26700"/>
    <n v="-47200"/>
    <d v="2015-01-14T00:00:00"/>
    <s v="Single Vehicle Collision"/>
    <s v="Rear Collision"/>
    <s v="Major Damage"/>
    <s v="Fire"/>
    <x v="2"/>
    <x v="0"/>
    <s v="8639 5th Hwy"/>
    <n v="7"/>
    <n v="1"/>
    <s v="NO"/>
    <n v="2"/>
    <n v="0"/>
    <s v="?"/>
    <n v="50000"/>
    <n v="5000"/>
    <n v="10000"/>
    <n v="35000"/>
    <s v="Chevrolet"/>
    <s v="Silverado"/>
    <n v="2008"/>
    <s v="N"/>
    <n v="41.076533797772008"/>
    <n v="-48783.76"/>
    <n v="2.4324313513729726E-2"/>
    <n v="7"/>
    <n v="334"/>
    <x v="0"/>
    <x v="0"/>
  </r>
  <r>
    <n v="190"/>
    <n v="35"/>
    <n v="284836"/>
    <d v="2008-11-05T00:00:00"/>
    <s v="IN"/>
    <s v="250/500"/>
    <n v="500"/>
    <n v="1484.72"/>
    <n v="5000000"/>
    <n v="432699"/>
    <s v="FEMALE"/>
    <s v="High School"/>
    <s v="tech-support"/>
    <s v="golf"/>
    <s v="husband"/>
    <n v="0"/>
    <n v="0"/>
    <d v="2015-02-02T00:00:00"/>
    <s v="Parked Car"/>
    <s v="?"/>
    <s v="Trivial Damage"/>
    <s v="None"/>
    <x v="2"/>
    <x v="1"/>
    <s v="5743 4th Ridge"/>
    <n v="4"/>
    <n v="1"/>
    <s v="NO"/>
    <n v="0"/>
    <n v="1"/>
    <s v="NO"/>
    <n v="3840"/>
    <n v="640"/>
    <n v="320"/>
    <n v="2880"/>
    <s v="Saab"/>
    <s v="92x"/>
    <n v="1998"/>
    <s v="N"/>
    <n v="2.584605443825216"/>
    <n v="-2355.2799999999997"/>
    <n v="0.38654517052850823"/>
    <n v="17"/>
    <n v="190"/>
    <x v="1"/>
    <x v="1"/>
  </r>
  <r>
    <n v="194"/>
    <n v="41"/>
    <n v="238196"/>
    <d v="1993-02-15T00:00:00"/>
    <s v="IL"/>
    <s v="250/500"/>
    <n v="500"/>
    <n v="1203.81"/>
    <n v="0"/>
    <n v="613119"/>
    <s v="MALE"/>
    <s v="JD"/>
    <s v="transport-moving"/>
    <s v="video-games"/>
    <s v="not-in-family"/>
    <n v="52500"/>
    <n v="-51300"/>
    <d v="2015-02-06T00:00:00"/>
    <s v="Multi-vehicle Collision"/>
    <s v="Rear Collision"/>
    <s v="Minor Damage"/>
    <s v="Police"/>
    <x v="4"/>
    <x v="3"/>
    <s v="3555 Francis Ridge"/>
    <n v="17"/>
    <n v="3"/>
    <s v="?"/>
    <n v="0"/>
    <n v="2"/>
    <s v="?"/>
    <n v="95900"/>
    <n v="13700"/>
    <n v="20550"/>
    <n v="61650"/>
    <s v="Saab"/>
    <n v="95"/>
    <n v="1999"/>
    <s v="N"/>
    <n v="79.597612901619343"/>
    <n v="-94696.19"/>
    <n v="1.2552632402164731E-2"/>
    <n v="16"/>
    <n v="194"/>
    <x v="0"/>
    <x v="0"/>
  </r>
  <r>
    <n v="290"/>
    <n v="47"/>
    <n v="885789"/>
    <d v="2008-07-21T00:00:00"/>
    <s v="IN"/>
    <s v="250/500"/>
    <n v="1000"/>
    <n v="1393.34"/>
    <n v="0"/>
    <n v="472922"/>
    <s v="MALE"/>
    <s v="High School"/>
    <s v="exec-managerial"/>
    <s v="bungie-jumping"/>
    <s v="other-relative"/>
    <n v="0"/>
    <n v="-61400"/>
    <d v="2015-01-15T00:00:00"/>
    <s v="Multi-vehicle Collision"/>
    <s v="Side Collision"/>
    <s v="Minor Damage"/>
    <s v="Ambulance"/>
    <x v="4"/>
    <x v="5"/>
    <s v="4939 Oak Lane"/>
    <n v="20"/>
    <n v="3"/>
    <s v="YES"/>
    <n v="1"/>
    <n v="3"/>
    <s v="YES"/>
    <n v="56160"/>
    <n v="6240"/>
    <n v="12480"/>
    <n v="37440"/>
    <s v="Audi"/>
    <s v="A5"/>
    <n v="2002"/>
    <s v="N"/>
    <n v="40.277120358018848"/>
    <n v="-54766.66"/>
    <n v="2.480974341624971E-2"/>
    <n v="13"/>
    <n v="290"/>
    <x v="0"/>
    <x v="0"/>
  </r>
  <r>
    <n v="26"/>
    <n v="42"/>
    <n v="287436"/>
    <d v="2010-09-11T00:00:00"/>
    <s v="OH"/>
    <s v="100/300"/>
    <n v="1000"/>
    <n v="1484.48"/>
    <n v="0"/>
    <n v="613849"/>
    <s v="MALE"/>
    <s v="PhD"/>
    <s v="armed-forces"/>
    <s v="sleeping"/>
    <s v="not-in-family"/>
    <n v="50700"/>
    <n v="-36300"/>
    <d v="2015-02-24T00:00:00"/>
    <s v="Single Vehicle Collision"/>
    <s v="Side Collision"/>
    <s v="Major Damage"/>
    <s v="Police"/>
    <x v="0"/>
    <x v="1"/>
    <s v="3100 Best St"/>
    <n v="10"/>
    <n v="1"/>
    <s v="NO"/>
    <n v="2"/>
    <n v="3"/>
    <s v="?"/>
    <n v="63030"/>
    <n v="5730"/>
    <n v="11460"/>
    <n v="45840"/>
    <s v="Saab"/>
    <s v="92x"/>
    <n v="1996"/>
    <s v="N"/>
    <n v="42.430729461184264"/>
    <n v="-61545.52"/>
    <n v="2.3551585727657819E-2"/>
    <n v="19"/>
    <n v="26"/>
    <x v="0"/>
    <x v="0"/>
  </r>
  <r>
    <n v="254"/>
    <n v="41"/>
    <n v="496067"/>
    <d v="1995-12-22T00:00:00"/>
    <s v="IL"/>
    <s v="250/500"/>
    <n v="500"/>
    <n v="1581.27"/>
    <n v="5000000"/>
    <n v="603827"/>
    <s v="FEMALE"/>
    <s v="PhD"/>
    <s v="handlers-cleaners"/>
    <s v="skydiving"/>
    <s v="own-child"/>
    <n v="42200"/>
    <n v="-48000"/>
    <d v="2015-01-07T00:00:00"/>
    <s v="Single Vehicle Collision"/>
    <s v="Front Collision"/>
    <s v="Minor Damage"/>
    <s v="Police"/>
    <x v="2"/>
    <x v="1"/>
    <s v="3029 5th Ave"/>
    <n v="8"/>
    <n v="1"/>
    <s v="YES"/>
    <n v="2"/>
    <n v="2"/>
    <s v="NO"/>
    <n v="63470"/>
    <n v="5770"/>
    <n v="11540"/>
    <n v="46160"/>
    <s v="BMW"/>
    <s v="X6"/>
    <n v="1999"/>
    <s v="N"/>
    <n v="40.113255007046838"/>
    <n v="-61888.73"/>
    <n v="2.4913267476485323E-2"/>
    <n v="16"/>
    <n v="254"/>
    <x v="0"/>
    <x v="0"/>
  </r>
  <r>
    <n v="199"/>
    <n v="38"/>
    <n v="206004"/>
    <d v="1991-09-26T00:00:00"/>
    <s v="IL"/>
    <s v="250/500"/>
    <n v="1000"/>
    <n v="1281.25"/>
    <n v="0"/>
    <n v="467780"/>
    <s v="FEMALE"/>
    <s v="High School"/>
    <s v="tech-support"/>
    <s v="movies"/>
    <s v="other-relative"/>
    <n v="0"/>
    <n v="-53100"/>
    <d v="2015-02-04T00:00:00"/>
    <s v="Single Vehicle Collision"/>
    <s v="Front Collision"/>
    <s v="Major Damage"/>
    <s v="Police"/>
    <x v="4"/>
    <x v="0"/>
    <s v="8941 Solo Ridge"/>
    <n v="6"/>
    <n v="1"/>
    <s v="?"/>
    <n v="0"/>
    <n v="2"/>
    <s v="NO"/>
    <n v="44440"/>
    <n v="8080"/>
    <n v="4040"/>
    <n v="32320"/>
    <s v="BMW"/>
    <s v="X6"/>
    <n v="2007"/>
    <s v="Y"/>
    <n v="34.657828036654315"/>
    <n v="-43158.75"/>
    <n v="2.8830359352849846E-2"/>
    <n v="8"/>
    <n v="199"/>
    <x v="0"/>
    <x v="0"/>
  </r>
  <r>
    <n v="137"/>
    <n v="35"/>
    <n v="153027"/>
    <d v="2010-03-11T00:00:00"/>
    <s v="IN"/>
    <s v="250/500"/>
    <n v="500"/>
    <n v="1667.83"/>
    <n v="0"/>
    <n v="460586"/>
    <s v="MALE"/>
    <s v="JD"/>
    <s v="prof-specialty"/>
    <s v="paintball"/>
    <s v="husband"/>
    <n v="48500"/>
    <n v="-67400"/>
    <d v="2015-02-04T00:00:00"/>
    <s v="Parked Car"/>
    <s v="?"/>
    <s v="Minor Damage"/>
    <s v="Police"/>
    <x v="4"/>
    <x v="6"/>
    <s v="4447 Francis Hwy"/>
    <n v="4"/>
    <n v="1"/>
    <s v="YES"/>
    <n v="1"/>
    <n v="1"/>
    <s v="NO"/>
    <n v="6600"/>
    <n v="1200"/>
    <n v="1200"/>
    <n v="4200"/>
    <s v="Jeep"/>
    <s v="Grand Cherokee"/>
    <n v="2005"/>
    <s v="N"/>
    <n v="3.9548665831750389"/>
    <n v="-4932.17"/>
    <n v="0.25266323284350856"/>
    <n v="10"/>
    <n v="137"/>
    <x v="1"/>
    <x v="1"/>
  </r>
  <r>
    <n v="134"/>
    <n v="36"/>
    <n v="469426"/>
    <d v="1990-07-15T00:00:00"/>
    <s v="OH"/>
    <s v="250/500"/>
    <n v="1000"/>
    <n v="1497.41"/>
    <n v="0"/>
    <n v="613842"/>
    <s v="MALE"/>
    <s v="PhD"/>
    <s v="machine-op-inspct"/>
    <s v="kayaking"/>
    <s v="husband"/>
    <n v="14100"/>
    <n v="-44500"/>
    <d v="2015-01-25T00:00:00"/>
    <s v="Multi-vehicle Collision"/>
    <s v="Side Collision"/>
    <s v="Minor Damage"/>
    <s v="Ambulance"/>
    <x v="4"/>
    <x v="6"/>
    <s v="7701 Tree St"/>
    <n v="17"/>
    <n v="3"/>
    <s v="NO"/>
    <n v="2"/>
    <n v="0"/>
    <s v="YES"/>
    <n v="77200"/>
    <n v="9650"/>
    <n v="9650"/>
    <n v="57900"/>
    <s v="Ford"/>
    <s v="Escape"/>
    <n v="1996"/>
    <s v="N"/>
    <n v="51.521279222642669"/>
    <n v="-75702.59"/>
    <n v="1.939625134389451E-2"/>
    <n v="19"/>
    <n v="134"/>
    <x v="0"/>
    <x v="0"/>
  </r>
  <r>
    <n v="73"/>
    <n v="30"/>
    <n v="654974"/>
    <d v="2009-05-10T00:00:00"/>
    <s v="OH"/>
    <s v="100/300"/>
    <n v="500"/>
    <n v="803.36"/>
    <n v="0"/>
    <n v="435371"/>
    <s v="FEMALE"/>
    <s v="High School"/>
    <s v="protective-serv"/>
    <s v="reading"/>
    <s v="husband"/>
    <n v="0"/>
    <n v="0"/>
    <d v="2015-02-25T00:00:00"/>
    <s v="Multi-vehicle Collision"/>
    <s v="Rear Collision"/>
    <s v="Total Loss"/>
    <s v="Other"/>
    <x v="4"/>
    <x v="3"/>
    <s v="4653 Pine St"/>
    <n v="15"/>
    <n v="3"/>
    <s v="?"/>
    <n v="0"/>
    <n v="0"/>
    <s v="YES"/>
    <n v="57000"/>
    <n v="0"/>
    <n v="11400"/>
    <n v="45600"/>
    <s v="Audi"/>
    <s v="A3"/>
    <n v="2013"/>
    <s v="N"/>
    <n v="70.863792331791728"/>
    <n v="-56196.639999999999"/>
    <n v="1.4093787828283714E-2"/>
    <n v="2"/>
    <n v="73"/>
    <x v="0"/>
    <x v="0"/>
  </r>
  <r>
    <n v="289"/>
    <n v="45"/>
    <n v="943425"/>
    <d v="1999-10-28T00:00:00"/>
    <s v="OH"/>
    <s v="250/500"/>
    <n v="2000"/>
    <n v="1221.4100000000001"/>
    <n v="0"/>
    <n v="466289"/>
    <s v="FEMALE"/>
    <s v="Masters"/>
    <s v="farming-fishing"/>
    <s v="movies"/>
    <s v="wife"/>
    <n v="46700"/>
    <n v="-72500"/>
    <d v="2015-02-27T00:00:00"/>
    <s v="Vehicle Theft"/>
    <s v="?"/>
    <s v="Trivial Damage"/>
    <s v="Police"/>
    <x v="4"/>
    <x v="1"/>
    <s v="8742 4th St"/>
    <n v="9"/>
    <n v="1"/>
    <s v="NO"/>
    <n v="2"/>
    <n v="1"/>
    <s v="NO"/>
    <n v="2700"/>
    <n v="300"/>
    <n v="300"/>
    <n v="2100"/>
    <s v="Honda"/>
    <s v="Accord"/>
    <n v="2006"/>
    <s v="N"/>
    <n v="2.2087515645323581"/>
    <n v="-1478.59"/>
    <n v="0.45220659015179565"/>
    <n v="9"/>
    <n v="289"/>
    <x v="1"/>
    <x v="1"/>
  </r>
  <r>
    <n v="176"/>
    <n v="36"/>
    <n v="641845"/>
    <d v="1995-03-30T00:00:00"/>
    <s v="OH"/>
    <s v="250/500"/>
    <n v="500"/>
    <n v="1865.83"/>
    <n v="5000000"/>
    <n v="436173"/>
    <s v="MALE"/>
    <s v="College"/>
    <s v="transport-moving"/>
    <s v="kayaking"/>
    <s v="unmarried"/>
    <n v="32800"/>
    <n v="-50600"/>
    <d v="2015-02-11T00:00:00"/>
    <s v="Single Vehicle Collision"/>
    <s v="Rear Collision"/>
    <s v="Total Loss"/>
    <s v="Police"/>
    <x v="4"/>
    <x v="4"/>
    <s v="7316 Texas Ave"/>
    <n v="17"/>
    <n v="1"/>
    <s v="?"/>
    <n v="2"/>
    <n v="1"/>
    <s v="YES"/>
    <n v="47300"/>
    <n v="4300"/>
    <n v="8600"/>
    <n v="34400"/>
    <s v="Volkswagen"/>
    <s v="Jetta"/>
    <n v="2006"/>
    <s v="N"/>
    <n v="25.337068720772649"/>
    <n v="-45434.17"/>
    <n v="3.944588909325384E-2"/>
    <n v="9"/>
    <n v="176"/>
    <x v="0"/>
    <x v="0"/>
  </r>
  <r>
    <n v="145"/>
    <n v="37"/>
    <n v="794534"/>
    <d v="1991-12-14T00:00:00"/>
    <s v="OH"/>
    <s v="250/500"/>
    <n v="2000"/>
    <n v="1434.27"/>
    <n v="0"/>
    <n v="457234"/>
    <s v="FEMALE"/>
    <s v="Associate"/>
    <s v="tech-support"/>
    <s v="sleeping"/>
    <s v="unmarried"/>
    <n v="0"/>
    <n v="-35900"/>
    <d v="2015-01-04T00:00:00"/>
    <s v="Single Vehicle Collision"/>
    <s v="Rear Collision"/>
    <s v="Major Damage"/>
    <s v="Other"/>
    <x v="1"/>
    <x v="2"/>
    <s v="2950 MLK Ave"/>
    <n v="13"/>
    <n v="1"/>
    <s v="?"/>
    <n v="2"/>
    <n v="3"/>
    <s v="?"/>
    <n v="55110"/>
    <n v="5010"/>
    <n v="10020"/>
    <n v="40080"/>
    <s v="Nissan"/>
    <s v="Maxima"/>
    <n v="2002"/>
    <s v="N"/>
    <n v="38.396956670173559"/>
    <n v="-53675.73"/>
    <n v="2.602511295385676E-2"/>
    <n v="13"/>
    <n v="145"/>
    <x v="0"/>
    <x v="0"/>
  </r>
  <r>
    <n v="164"/>
    <n v="31"/>
    <n v="357808"/>
    <d v="2011-01-31T00:00:00"/>
    <s v="IN"/>
    <s v="500/1000"/>
    <n v="500"/>
    <n v="1114.68"/>
    <n v="0"/>
    <n v="474758"/>
    <s v="FEMALE"/>
    <s v="Associate"/>
    <s v="other-service"/>
    <s v="reading"/>
    <s v="husband"/>
    <n v="44500"/>
    <n v="-55900"/>
    <d v="2015-01-26T00:00:00"/>
    <s v="Vehicle Theft"/>
    <s v="?"/>
    <s v="Trivial Damage"/>
    <s v="Police"/>
    <x v="0"/>
    <x v="3"/>
    <s v="8233 Tree Drive"/>
    <n v="5"/>
    <n v="1"/>
    <s v="YES"/>
    <n v="1"/>
    <n v="0"/>
    <s v="NO"/>
    <n v="4320"/>
    <n v="480"/>
    <n v="480"/>
    <n v="3360"/>
    <s v="Mercedes"/>
    <s v="E400"/>
    <n v="2002"/>
    <s v="N"/>
    <n v="3.8720780152014913"/>
    <n v="-3205.3199999999997"/>
    <n v="0.25796806294839159"/>
    <n v="13"/>
    <n v="164"/>
    <x v="1"/>
    <x v="1"/>
  </r>
  <r>
    <n v="186"/>
    <n v="38"/>
    <n v="536052"/>
    <d v="2006-04-21T00:00:00"/>
    <s v="OH"/>
    <s v="250/500"/>
    <n v="2000"/>
    <n v="1218.56"/>
    <n v="0"/>
    <n v="477373"/>
    <s v="FEMALE"/>
    <s v="Masters"/>
    <s v="transport-moving"/>
    <s v="video-games"/>
    <s v="husband"/>
    <n v="39300"/>
    <n v="-60300"/>
    <d v="2015-03-01T00:00:00"/>
    <s v="Multi-vehicle Collision"/>
    <s v="Front Collision"/>
    <s v="Total Loss"/>
    <s v="Police"/>
    <x v="1"/>
    <x v="2"/>
    <s v="4642 Rock Ridge"/>
    <n v="23"/>
    <n v="3"/>
    <s v="YES"/>
    <n v="2"/>
    <n v="2"/>
    <s v="?"/>
    <n v="68760"/>
    <n v="11460"/>
    <n v="5730"/>
    <n v="51570"/>
    <s v="Saab"/>
    <n v="95"/>
    <n v="1998"/>
    <s v="Y"/>
    <n v="56.380989865197286"/>
    <n v="-67541.440000000002"/>
    <n v="1.7721673623129389E-2"/>
    <n v="17"/>
    <n v="186"/>
    <x v="0"/>
    <x v="0"/>
  </r>
  <r>
    <n v="85"/>
    <n v="31"/>
    <n v="873384"/>
    <d v="2004-03-10T00:00:00"/>
    <s v="IL"/>
    <s v="250/500"/>
    <n v="2000"/>
    <n v="1234.69"/>
    <n v="9000000"/>
    <n v="613471"/>
    <s v="FEMALE"/>
    <s v="MD"/>
    <s v="tech-support"/>
    <s v="paintball"/>
    <s v="husband"/>
    <n v="0"/>
    <n v="0"/>
    <d v="2015-02-06T00:00:00"/>
    <s v="Multi-vehicle Collision"/>
    <s v="Front Collision"/>
    <s v="Major Damage"/>
    <s v="Other"/>
    <x v="4"/>
    <x v="2"/>
    <s v="7733 Britain Lane"/>
    <n v="1"/>
    <n v="2"/>
    <s v="NO"/>
    <n v="2"/>
    <n v="1"/>
    <s v="?"/>
    <n v="74400"/>
    <n v="14880"/>
    <n v="7440"/>
    <n v="52080"/>
    <s v="BMW"/>
    <s v="M5"/>
    <n v="2003"/>
    <s v="Y"/>
    <n v="60.209275789235164"/>
    <n v="-73165.31"/>
    <n v="1.6595072646873026E-2"/>
    <n v="12"/>
    <n v="85"/>
    <x v="0"/>
    <x v="0"/>
  </r>
  <r>
    <n v="162"/>
    <n v="33"/>
    <n v="790225"/>
    <d v="1991-01-05T00:00:00"/>
    <s v="OH"/>
    <s v="250/500"/>
    <n v="500"/>
    <n v="964.92"/>
    <n v="0"/>
    <n v="601581"/>
    <s v="FEMALE"/>
    <s v="Associate"/>
    <s v="exec-managerial"/>
    <s v="base-jumping"/>
    <s v="other-relative"/>
    <n v="45700"/>
    <n v="0"/>
    <d v="2015-02-09T00:00:00"/>
    <s v="Multi-vehicle Collision"/>
    <s v="Rear Collision"/>
    <s v="Major Damage"/>
    <s v="Fire"/>
    <x v="2"/>
    <x v="4"/>
    <s v="2753 Cherokee Ave"/>
    <n v="17"/>
    <n v="4"/>
    <s v="NO"/>
    <n v="2"/>
    <n v="1"/>
    <s v="NO"/>
    <n v="35300"/>
    <n v="3530"/>
    <n v="3530"/>
    <n v="28240"/>
    <s v="Mercedes"/>
    <s v="E400"/>
    <n v="1996"/>
    <s v="Y"/>
    <n v="36.545469604108"/>
    <n v="-34335.08"/>
    <n v="2.7334069856378006E-2"/>
    <n v="19"/>
    <n v="162"/>
    <x v="0"/>
    <x v="0"/>
  </r>
  <r>
    <n v="396"/>
    <n v="57"/>
    <n v="587498"/>
    <d v="1996-10-15T00:00:00"/>
    <s v="IL"/>
    <s v="500/1000"/>
    <n v="500"/>
    <n v="1351.72"/>
    <n v="0"/>
    <n v="612102"/>
    <s v="MALE"/>
    <s v="High School"/>
    <s v="tech-support"/>
    <s v="camping"/>
    <s v="wife"/>
    <n v="0"/>
    <n v="-49400"/>
    <d v="2015-02-05T00:00:00"/>
    <s v="Parked Car"/>
    <s v="?"/>
    <s v="Minor Damage"/>
    <s v="None"/>
    <x v="2"/>
    <x v="3"/>
    <s v="3995 Lincoln Hwy"/>
    <n v="3"/>
    <n v="1"/>
    <s v="YES"/>
    <n v="1"/>
    <n v="3"/>
    <s v="?"/>
    <n v="2640"/>
    <n v="480"/>
    <n v="480"/>
    <n v="1680"/>
    <s v="Volkswagen"/>
    <s v="Passat"/>
    <n v="2000"/>
    <s v="N"/>
    <n v="1.9516233958247087"/>
    <n v="-1288.28"/>
    <n v="0.51182127981825065"/>
    <n v="15"/>
    <n v="396"/>
    <x v="1"/>
    <x v="1"/>
  </r>
  <r>
    <n v="270"/>
    <n v="41"/>
    <n v="639027"/>
    <d v="1994-06-21T00:00:00"/>
    <s v="IL"/>
    <s v="250/500"/>
    <n v="1000"/>
    <n v="817.28"/>
    <n v="0"/>
    <n v="460263"/>
    <s v="MALE"/>
    <s v="High School"/>
    <s v="sales"/>
    <s v="cross-fit"/>
    <s v="unmarried"/>
    <n v="62200"/>
    <n v="0"/>
    <d v="2015-01-03T00:00:00"/>
    <s v="Multi-vehicle Collision"/>
    <s v="Rear Collision"/>
    <s v="Total Loss"/>
    <s v="Ambulance"/>
    <x v="0"/>
    <x v="0"/>
    <s v="4095 MLK St"/>
    <n v="17"/>
    <n v="3"/>
    <s v="?"/>
    <n v="1"/>
    <n v="1"/>
    <s v="NO"/>
    <n v="60190"/>
    <n v="4630"/>
    <n v="9260"/>
    <n v="46300"/>
    <s v="Mercedes"/>
    <s v="ML350"/>
    <n v="2014"/>
    <s v="Y"/>
    <n v="73.556728748105783"/>
    <n v="-59372.72"/>
    <n v="1.3578109684172052E-2"/>
    <n v="1"/>
    <n v="270"/>
    <x v="0"/>
    <x v="0"/>
  </r>
  <r>
    <n v="168"/>
    <n v="39"/>
    <n v="217899"/>
    <d v="1994-06-13T00:00:00"/>
    <s v="IL"/>
    <s v="500/1000"/>
    <n v="1000"/>
    <n v="1389.59"/>
    <n v="0"/>
    <n v="479134"/>
    <s v="FEMALE"/>
    <s v="Masters"/>
    <s v="machine-op-inspct"/>
    <s v="exercise"/>
    <s v="own-child"/>
    <n v="0"/>
    <n v="-42600"/>
    <d v="2015-02-24T00:00:00"/>
    <s v="Multi-vehicle Collision"/>
    <s v="Rear Collision"/>
    <s v="Major Damage"/>
    <s v="Fire"/>
    <x v="2"/>
    <x v="5"/>
    <s v="5782 Rock Drive"/>
    <n v="23"/>
    <n v="3"/>
    <s v="YES"/>
    <n v="1"/>
    <n v="3"/>
    <s v="NO"/>
    <n v="41580"/>
    <n v="3780"/>
    <n v="7560"/>
    <n v="30240"/>
    <s v="Chevrolet"/>
    <s v="Malibu"/>
    <n v="2015"/>
    <s v="Y"/>
    <n v="29.900977283023753"/>
    <n v="-40190.410000000003"/>
    <n v="3.3418869195065051E-2"/>
    <n v="0"/>
    <n v="168"/>
    <x v="0"/>
    <x v="0"/>
  </r>
  <r>
    <n v="274"/>
    <n v="45"/>
    <n v="589094"/>
    <d v="2003-05-27T00:00:00"/>
    <s v="IN"/>
    <s v="250/500"/>
    <n v="1000"/>
    <n v="1353.53"/>
    <n v="0"/>
    <n v="451467"/>
    <s v="FEMALE"/>
    <s v="JD"/>
    <s v="tech-support"/>
    <s v="cross-fit"/>
    <s v="unmarried"/>
    <n v="54700"/>
    <n v="-47900"/>
    <d v="2015-01-14T00:00:00"/>
    <s v="Single Vehicle Collision"/>
    <s v="Side Collision"/>
    <s v="Minor Damage"/>
    <s v="Ambulance"/>
    <x v="2"/>
    <x v="0"/>
    <s v="2900 Sky Drive"/>
    <n v="13"/>
    <n v="1"/>
    <s v="YES"/>
    <n v="0"/>
    <n v="0"/>
    <s v="NO"/>
    <n v="58500"/>
    <n v="11700"/>
    <n v="0"/>
    <n v="46800"/>
    <s v="Accura"/>
    <s v="MDX"/>
    <n v="1995"/>
    <s v="Y"/>
    <n v="43.188412216783682"/>
    <n v="-57146.47"/>
    <n v="2.3136869455222989E-2"/>
    <n v="20"/>
    <n v="274"/>
    <x v="0"/>
    <x v="0"/>
  </r>
  <r>
    <n v="263"/>
    <n v="43"/>
    <n v="458829"/>
    <d v="1996-07-06T00:00:00"/>
    <s v="IN"/>
    <s v="500/1000"/>
    <n v="1000"/>
    <n v="1294.04"/>
    <n v="0"/>
    <n v="602670"/>
    <s v="FEMALE"/>
    <s v="Masters"/>
    <s v="handlers-cleaners"/>
    <s v="movies"/>
    <s v="not-in-family"/>
    <n v="0"/>
    <n v="0"/>
    <d v="2015-01-08T00:00:00"/>
    <s v="Single Vehicle Collision"/>
    <s v="Rear Collision"/>
    <s v="Minor Damage"/>
    <s v="Fire"/>
    <x v="0"/>
    <x v="1"/>
    <s v="1515 Pine Lane"/>
    <n v="17"/>
    <n v="1"/>
    <s v="YES"/>
    <n v="2"/>
    <n v="3"/>
    <s v="YES"/>
    <n v="79320"/>
    <n v="13220"/>
    <n v="6610"/>
    <n v="59490"/>
    <s v="Nissan"/>
    <s v="Ultima"/>
    <n v="1997"/>
    <s v="N"/>
    <n v="61.249073387694587"/>
    <n v="-78025.960000000006"/>
    <n v="1.631396477603661E-2"/>
    <n v="18"/>
    <n v="263"/>
    <x v="0"/>
    <x v="0"/>
  </r>
  <r>
    <n v="152"/>
    <n v="33"/>
    <n v="626208"/>
    <d v="2005-05-08T00:00:00"/>
    <s v="OH"/>
    <s v="100/300"/>
    <n v="1000"/>
    <n v="840.81"/>
    <n v="0"/>
    <n v="613607"/>
    <s v="FEMALE"/>
    <s v="High School"/>
    <s v="farming-fishing"/>
    <s v="chess"/>
    <s v="husband"/>
    <n v="0"/>
    <n v="0"/>
    <d v="2015-02-14T00:00:00"/>
    <s v="Single Vehicle Collision"/>
    <s v="Rear Collision"/>
    <s v="Minor Damage"/>
    <s v="Ambulance"/>
    <x v="2"/>
    <x v="2"/>
    <s v="4876 Washington Drive"/>
    <n v="2"/>
    <n v="1"/>
    <s v="YES"/>
    <n v="0"/>
    <n v="2"/>
    <s v="?"/>
    <n v="82610"/>
    <n v="7510"/>
    <n v="7510"/>
    <n v="67590"/>
    <s v="Ford"/>
    <s v="Escape"/>
    <n v="2002"/>
    <s v="Y"/>
    <n v="98.133783157719677"/>
    <n v="-81769.19"/>
    <n v="1.0177942404764499E-2"/>
    <n v="13"/>
    <n v="152"/>
    <x v="0"/>
    <x v="0"/>
  </r>
  <r>
    <n v="46"/>
    <n v="41"/>
    <n v="315041"/>
    <d v="2010-11-02T00:00:00"/>
    <s v="OH"/>
    <s v="100/300"/>
    <n v="2000"/>
    <n v="998.19"/>
    <n v="0"/>
    <n v="611556"/>
    <s v="FEMALE"/>
    <s v="MD"/>
    <s v="priv-house-serv"/>
    <s v="video-games"/>
    <s v="husband"/>
    <n v="43700"/>
    <n v="-66300"/>
    <d v="2015-01-23T00:00:00"/>
    <s v="Multi-vehicle Collision"/>
    <s v="Rear Collision"/>
    <s v="Total Loss"/>
    <s v="Ambulance"/>
    <x v="0"/>
    <x v="4"/>
    <s v="5779 2nd Lane"/>
    <n v="23"/>
    <n v="3"/>
    <s v="NO"/>
    <n v="1"/>
    <n v="3"/>
    <s v="?"/>
    <n v="78600"/>
    <n v="13100"/>
    <n v="19650"/>
    <n v="45850"/>
    <s v="Dodge"/>
    <s v="RAM"/>
    <n v="2004"/>
    <s v="Y"/>
    <n v="78.663717611265128"/>
    <n v="-77601.81"/>
    <n v="1.2699456749914123E-2"/>
    <n v="11"/>
    <n v="46"/>
    <x v="0"/>
    <x v="0"/>
  </r>
  <r>
    <n v="276"/>
    <n v="46"/>
    <n v="283267"/>
    <d v="2012-07-29T00:00:00"/>
    <s v="OH"/>
    <s v="100/300"/>
    <n v="2000"/>
    <n v="1090.32"/>
    <n v="0"/>
    <n v="435518"/>
    <s v="MALE"/>
    <s v="College"/>
    <s v="handlers-cleaners"/>
    <s v="chess"/>
    <s v="husband"/>
    <n v="0"/>
    <n v="-70400"/>
    <d v="2015-01-05T00:00:00"/>
    <s v="Single Vehicle Collision"/>
    <s v="Front Collision"/>
    <s v="Minor Damage"/>
    <s v="Ambulance"/>
    <x v="0"/>
    <x v="0"/>
    <s v="6706 Francis Drive"/>
    <n v="17"/>
    <n v="1"/>
    <s v="NO"/>
    <n v="1"/>
    <n v="2"/>
    <s v="?"/>
    <n v="51390"/>
    <n v="5710"/>
    <n v="5710"/>
    <n v="39970"/>
    <s v="Volkswagen"/>
    <s v="Jetta"/>
    <n v="2007"/>
    <s v="Y"/>
    <n v="47.089762855990912"/>
    <n v="-50299.68"/>
    <n v="2.1216166254791693E-2"/>
    <n v="8"/>
    <n v="276"/>
    <x v="0"/>
    <x v="0"/>
  </r>
  <r>
    <n v="234"/>
    <n v="44"/>
    <n v="442494"/>
    <d v="2002-06-06T00:00:00"/>
    <s v="IN"/>
    <s v="500/1000"/>
    <n v="500"/>
    <n v="1780.67"/>
    <n v="0"/>
    <n v="465942"/>
    <s v="MALE"/>
    <s v="Associate"/>
    <s v="other-service"/>
    <s v="exercise"/>
    <s v="other-relative"/>
    <n v="0"/>
    <n v="0"/>
    <d v="2015-02-19T00:00:00"/>
    <s v="Single Vehicle Collision"/>
    <s v="Side Collision"/>
    <s v="Major Damage"/>
    <s v="Ambulance"/>
    <x v="5"/>
    <x v="3"/>
    <s v="6384 5th Ridge"/>
    <n v="3"/>
    <n v="1"/>
    <s v="NO"/>
    <n v="1"/>
    <n v="0"/>
    <s v="NO"/>
    <n v="70200"/>
    <n v="7020"/>
    <n v="7020"/>
    <n v="56160"/>
    <s v="Ford"/>
    <s v="F150"/>
    <n v="2012"/>
    <s v="Y"/>
    <n v="39.401235919109595"/>
    <n v="-68419.33"/>
    <n v="2.5365308186493071E-2"/>
    <n v="3"/>
    <n v="234"/>
    <x v="0"/>
    <x v="0"/>
  </r>
  <r>
    <n v="64"/>
    <n v="30"/>
    <n v="159243"/>
    <d v="1991-09-19T00:00:00"/>
    <s v="IL"/>
    <s v="250/500"/>
    <n v="2000"/>
    <n v="1681.01"/>
    <n v="0"/>
    <n v="446174"/>
    <s v="MALE"/>
    <s v="JD"/>
    <s v="protective-serv"/>
    <s v="base-jumping"/>
    <s v="own-child"/>
    <n v="0"/>
    <n v="-51100"/>
    <d v="2015-02-07T00:00:00"/>
    <s v="Parked Car"/>
    <s v="?"/>
    <s v="Minor Damage"/>
    <s v="None"/>
    <x v="0"/>
    <x v="1"/>
    <s v="3006 Lincoln Ridge"/>
    <n v="16"/>
    <n v="1"/>
    <s v="NO"/>
    <n v="2"/>
    <n v="1"/>
    <s v="NO"/>
    <n v="4900"/>
    <n v="490"/>
    <n v="1470"/>
    <n v="2940"/>
    <s v="Jeep"/>
    <s v="Wrangler"/>
    <n v="2015"/>
    <s v="N"/>
    <n v="2.9131812533813712"/>
    <n v="-3218.99"/>
    <n v="0.3429932666802693"/>
    <n v="0"/>
    <n v="64"/>
    <x v="1"/>
    <x v="1"/>
  </r>
  <r>
    <n v="456"/>
    <n v="62"/>
    <n v="669800"/>
    <d v="2009-06-24T00:00:00"/>
    <s v="OH"/>
    <s v="250/500"/>
    <n v="1000"/>
    <n v="1395.77"/>
    <n v="0"/>
    <n v="611651"/>
    <s v="FEMALE"/>
    <s v="MD"/>
    <s v="protective-serv"/>
    <s v="chess"/>
    <s v="own-child"/>
    <n v="82600"/>
    <n v="-49500"/>
    <d v="2015-02-07T00:00:00"/>
    <s v="Multi-vehicle Collision"/>
    <s v="Side Collision"/>
    <s v="Major Damage"/>
    <s v="Other"/>
    <x v="6"/>
    <x v="4"/>
    <s v="5352 Lincoln Drive"/>
    <n v="13"/>
    <n v="3"/>
    <s v="?"/>
    <n v="1"/>
    <n v="3"/>
    <s v="NO"/>
    <n v="66480"/>
    <n v="5540"/>
    <n v="11080"/>
    <n v="49860"/>
    <s v="Saab"/>
    <s v="92x"/>
    <n v="2012"/>
    <s v="Y"/>
    <n v="47.595523958847913"/>
    <n v="-65084.23"/>
    <n v="2.0995021133857792E-2"/>
    <n v="3"/>
    <n v="456"/>
    <x v="0"/>
    <x v="0"/>
  </r>
  <r>
    <n v="58"/>
    <n v="23"/>
    <n v="520179"/>
    <d v="1992-05-29T00:00:00"/>
    <s v="OH"/>
    <s v="500/1000"/>
    <n v="2000"/>
    <n v="1471.44"/>
    <n v="5000000"/>
    <n v="446657"/>
    <s v="MALE"/>
    <s v="High School"/>
    <s v="transport-moving"/>
    <s v="reading"/>
    <s v="own-child"/>
    <n v="57500"/>
    <n v="0"/>
    <d v="2015-01-20T00:00:00"/>
    <s v="Single Vehicle Collision"/>
    <s v="Rear Collision"/>
    <s v="Major Damage"/>
    <s v="Fire"/>
    <x v="5"/>
    <x v="1"/>
    <s v="6110 Rock Ridge"/>
    <n v="8"/>
    <n v="1"/>
    <s v="NO"/>
    <n v="2"/>
    <n v="1"/>
    <s v="NO"/>
    <n v="50380"/>
    <n v="4580"/>
    <n v="9160"/>
    <n v="36640"/>
    <s v="Chevrolet"/>
    <s v="Tahoe"/>
    <n v="2007"/>
    <s v="Y"/>
    <n v="34.215316073999617"/>
    <n v="-48908.56"/>
    <n v="2.9206248387288861E-2"/>
    <n v="8"/>
    <n v="58"/>
    <x v="0"/>
    <x v="0"/>
  </r>
  <r>
    <n v="475"/>
    <n v="61"/>
    <n v="607974"/>
    <d v="2004-08-12T00:00:00"/>
    <s v="IL"/>
    <s v="500/1000"/>
    <n v="500"/>
    <n v="1265.72"/>
    <n v="0"/>
    <n v="612506"/>
    <s v="FEMALE"/>
    <s v="Masters"/>
    <s v="handlers-cleaners"/>
    <s v="paintball"/>
    <s v="wife"/>
    <n v="0"/>
    <n v="-59500"/>
    <d v="2015-02-18T00:00:00"/>
    <s v="Single Vehicle Collision"/>
    <s v="Front Collision"/>
    <s v="Major Damage"/>
    <s v="Fire"/>
    <x v="0"/>
    <x v="0"/>
    <s v="7797 Tree Ridge"/>
    <n v="23"/>
    <n v="1"/>
    <s v="YES"/>
    <n v="0"/>
    <n v="2"/>
    <s v="?"/>
    <n v="64350"/>
    <n v="9900"/>
    <n v="9900"/>
    <n v="44550"/>
    <s v="Mercedes"/>
    <s v="E400"/>
    <n v="1998"/>
    <s v="N"/>
    <n v="50.800492610837438"/>
    <n v="-63084.28"/>
    <n v="1.9669002812699104E-2"/>
    <n v="17"/>
    <n v="475"/>
    <x v="0"/>
    <x v="0"/>
  </r>
  <r>
    <n v="96"/>
    <n v="29"/>
    <n v="465065"/>
    <d v="2006-12-24T00:00:00"/>
    <s v="IN"/>
    <s v="250/500"/>
    <n v="1000"/>
    <n v="1274.7"/>
    <n v="5000000"/>
    <n v="618493"/>
    <s v="MALE"/>
    <s v="College"/>
    <s v="prof-specialty"/>
    <s v="hiking"/>
    <s v="other-relative"/>
    <n v="47500"/>
    <n v="-58700"/>
    <d v="2015-01-11T00:00:00"/>
    <s v="Multi-vehicle Collision"/>
    <s v="Rear Collision"/>
    <s v="Major Damage"/>
    <s v="Ambulance"/>
    <x v="5"/>
    <x v="3"/>
    <s v="4910 1st Lane"/>
    <n v="15"/>
    <n v="3"/>
    <s v="YES"/>
    <n v="2"/>
    <n v="3"/>
    <s v="YES"/>
    <n v="55400"/>
    <n v="5540"/>
    <n v="11080"/>
    <n v="38780"/>
    <s v="Chevrolet"/>
    <s v="Silverado"/>
    <n v="2004"/>
    <s v="Y"/>
    <n v="43.427138041859372"/>
    <n v="-54125.3"/>
    <n v="2.3008609952888937E-2"/>
    <n v="11"/>
    <n v="96"/>
    <x v="0"/>
    <x v="0"/>
  </r>
  <r>
    <n v="99"/>
    <n v="28"/>
    <n v="369941"/>
    <d v="2007-07-24T00:00:00"/>
    <s v="OH"/>
    <s v="100/300"/>
    <n v="500"/>
    <n v="1330.39"/>
    <n v="0"/>
    <n v="612664"/>
    <s v="MALE"/>
    <s v="MD"/>
    <s v="prof-specialty"/>
    <s v="basketball"/>
    <s v="wife"/>
    <n v="0"/>
    <n v="0"/>
    <d v="2015-01-22T00:00:00"/>
    <s v="Single Vehicle Collision"/>
    <s v="Front Collision"/>
    <s v="Total Loss"/>
    <s v="Other"/>
    <x v="2"/>
    <x v="0"/>
    <s v="8766 Lincoln Lane"/>
    <n v="3"/>
    <n v="1"/>
    <s v="NO"/>
    <n v="2"/>
    <n v="2"/>
    <s v="YES"/>
    <n v="49900"/>
    <n v="4990"/>
    <n v="9980"/>
    <n v="34930"/>
    <s v="Dodge"/>
    <s v="Neon"/>
    <n v="1998"/>
    <s v="N"/>
    <n v="37.47962655570494"/>
    <n v="-48569.61"/>
    <n v="2.6660587964169057E-2"/>
    <n v="17"/>
    <n v="99"/>
    <x v="0"/>
    <x v="0"/>
  </r>
  <r>
    <n v="38"/>
    <n v="28"/>
    <n v="447226"/>
    <d v="1994-08-17T00:00:00"/>
    <s v="OH"/>
    <s v="500/1000"/>
    <n v="500"/>
    <n v="1122.95"/>
    <n v="4000000"/>
    <n v="473653"/>
    <s v="MALE"/>
    <s v="Masters"/>
    <s v="priv-house-serv"/>
    <s v="golf"/>
    <s v="other-relative"/>
    <n v="78000"/>
    <n v="0"/>
    <d v="2015-02-23T00:00:00"/>
    <s v="Multi-vehicle Collision"/>
    <s v="Side Collision"/>
    <s v="Minor Damage"/>
    <s v="Ambulance"/>
    <x v="4"/>
    <x v="6"/>
    <s v="6399 Oak Drive"/>
    <n v="4"/>
    <n v="3"/>
    <s v="NO"/>
    <n v="0"/>
    <n v="3"/>
    <s v="YES"/>
    <n v="74880"/>
    <n v="12480"/>
    <n v="12480"/>
    <n v="49920"/>
    <s v="Accura"/>
    <s v="TL"/>
    <n v="2000"/>
    <s v="N"/>
    <n v="66.622180701988526"/>
    <n v="-73757.05"/>
    <n v="1.4996461051535103E-2"/>
    <n v="15"/>
    <n v="38"/>
    <x v="0"/>
    <x v="0"/>
  </r>
  <r>
    <n v="259"/>
    <n v="44"/>
    <n v="831668"/>
    <d v="1996-04-10T00:00:00"/>
    <s v="OH"/>
    <s v="250/500"/>
    <n v="2000"/>
    <n v="1655.79"/>
    <n v="0"/>
    <n v="454529"/>
    <s v="FEMALE"/>
    <s v="Masters"/>
    <s v="exec-managerial"/>
    <s v="exercise"/>
    <s v="husband"/>
    <n v="0"/>
    <n v="0"/>
    <d v="2015-01-15T00:00:00"/>
    <s v="Single Vehicle Collision"/>
    <s v="Front Collision"/>
    <s v="Minor Damage"/>
    <s v="Other"/>
    <x v="2"/>
    <x v="5"/>
    <s v="3127 Flute St"/>
    <n v="8"/>
    <n v="1"/>
    <s v="YES"/>
    <n v="0"/>
    <n v="0"/>
    <s v="YES"/>
    <n v="105820"/>
    <n v="16280"/>
    <n v="16280"/>
    <n v="73260"/>
    <s v="Audi"/>
    <s v="A3"/>
    <n v="2002"/>
    <s v="N"/>
    <n v="63.870496562630144"/>
    <n v="-104164.21"/>
    <n v="1.5647083282146264E-2"/>
    <n v="13"/>
    <n v="259"/>
    <x v="0"/>
    <x v="0"/>
  </r>
  <r>
    <n v="241"/>
    <n v="43"/>
    <n v="922937"/>
    <d v="1992-12-11T00:00:00"/>
    <s v="IN"/>
    <s v="250/500"/>
    <n v="1000"/>
    <n v="935.77"/>
    <n v="0"/>
    <n v="437422"/>
    <s v="MALE"/>
    <s v="Associate"/>
    <s v="prof-specialty"/>
    <s v="golf"/>
    <s v="own-child"/>
    <n v="0"/>
    <n v="-36000"/>
    <d v="2015-02-20T00:00:00"/>
    <s v="Vehicle Theft"/>
    <s v="?"/>
    <s v="Trivial Damage"/>
    <s v="Police"/>
    <x v="6"/>
    <x v="5"/>
    <s v="8920 Best Ave"/>
    <n v="21"/>
    <n v="1"/>
    <s v="NO"/>
    <n v="1"/>
    <n v="0"/>
    <s v="YES"/>
    <n v="7150"/>
    <n v="1300"/>
    <n v="650"/>
    <n v="5200"/>
    <s v="Volkswagen"/>
    <s v="Jetta"/>
    <n v="2003"/>
    <s v="N"/>
    <n v="7.6326099255953972"/>
    <n v="-6214.23"/>
    <n v="0.13085862117186406"/>
    <n v="12"/>
    <n v="241"/>
    <x v="2"/>
    <x v="0"/>
  </r>
  <r>
    <n v="437"/>
    <n v="58"/>
    <n v="640474"/>
    <d v="2010-08-01T00:00:00"/>
    <s v="IN"/>
    <s v="500/1000"/>
    <n v="2000"/>
    <n v="1192.04"/>
    <n v="0"/>
    <n v="619470"/>
    <s v="MALE"/>
    <s v="Associate"/>
    <s v="craft-repair"/>
    <s v="dancing"/>
    <s v="own-child"/>
    <n v="66100"/>
    <n v="-31400"/>
    <d v="2015-01-19T00:00:00"/>
    <s v="Single Vehicle Collision"/>
    <s v="Front Collision"/>
    <s v="Total Loss"/>
    <s v="Ambulance"/>
    <x v="0"/>
    <x v="6"/>
    <s v="7314 Tree Drive"/>
    <n v="23"/>
    <n v="1"/>
    <s v="YES"/>
    <n v="0"/>
    <n v="0"/>
    <s v="NO"/>
    <n v="55800"/>
    <n v="11160"/>
    <n v="11160"/>
    <n v="33480"/>
    <s v="Dodge"/>
    <s v="RAM"/>
    <n v="2004"/>
    <s v="N"/>
    <n v="46.771273385636697"/>
    <n v="-54607.96"/>
    <n v="2.1362341176681419E-2"/>
    <n v="11"/>
    <n v="437"/>
    <x v="0"/>
    <x v="0"/>
  </r>
  <r>
    <n v="130"/>
    <n v="34"/>
    <n v="153298"/>
    <d v="2009-03-23T00:00:00"/>
    <s v="OH"/>
    <s v="100/300"/>
    <n v="500"/>
    <n v="990.11"/>
    <n v="0"/>
    <n v="442666"/>
    <s v="MALE"/>
    <s v="Masters"/>
    <s v="sales"/>
    <s v="kayaking"/>
    <s v="other-relative"/>
    <n v="0"/>
    <n v="-41200"/>
    <d v="2015-01-10T00:00:00"/>
    <s v="Parked Car"/>
    <s v="?"/>
    <s v="Trivial Damage"/>
    <s v="None"/>
    <x v="2"/>
    <x v="1"/>
    <s v="8872 Oak Ridge"/>
    <n v="8"/>
    <n v="1"/>
    <s v="?"/>
    <n v="1"/>
    <n v="3"/>
    <s v="YES"/>
    <n v="5830"/>
    <n v="1060"/>
    <n v="1060"/>
    <n v="3710"/>
    <s v="Dodge"/>
    <s v="RAM"/>
    <n v="2015"/>
    <s v="N"/>
    <n v="5.8822935900152356"/>
    <n v="-4839.8900000000003"/>
    <n v="0.16980106328245584"/>
    <n v="0"/>
    <n v="130"/>
    <x v="2"/>
    <x v="1"/>
  </r>
  <r>
    <n v="269"/>
    <n v="41"/>
    <n v="334749"/>
    <d v="1996-07-29T00:00:00"/>
    <s v="OH"/>
    <s v="100/300"/>
    <n v="2000"/>
    <n v="1422.21"/>
    <n v="0"/>
    <n v="620507"/>
    <s v="FEMALE"/>
    <s v="Associate"/>
    <s v="handlers-cleaners"/>
    <s v="polo"/>
    <s v="unmarried"/>
    <n v="0"/>
    <n v="-46400"/>
    <d v="2015-01-16T00:00:00"/>
    <s v="Single Vehicle Collision"/>
    <s v="Side Collision"/>
    <s v="Major Damage"/>
    <s v="Ambulance"/>
    <x v="4"/>
    <x v="1"/>
    <s v="5022 1st St"/>
    <n v="21"/>
    <n v="1"/>
    <s v="YES"/>
    <n v="2"/>
    <n v="1"/>
    <s v="NO"/>
    <n v="85900"/>
    <n v="17180"/>
    <n v="17180"/>
    <n v="51540"/>
    <s v="Suburu"/>
    <s v="Forrestor"/>
    <n v="2005"/>
    <s v="Y"/>
    <n v="60.356518012099407"/>
    <n v="-84477.79"/>
    <n v="1.6556384675382126E-2"/>
    <n v="10"/>
    <n v="269"/>
    <x v="0"/>
    <x v="0"/>
  </r>
  <r>
    <n v="103"/>
    <n v="29"/>
    <n v="221283"/>
    <d v="1994-08-23T00:00:00"/>
    <s v="OH"/>
    <s v="500/1000"/>
    <n v="500"/>
    <n v="914.85"/>
    <n v="0"/>
    <n v="614867"/>
    <s v="MALE"/>
    <s v="Associate"/>
    <s v="prof-specialty"/>
    <s v="base-jumping"/>
    <s v="other-relative"/>
    <n v="72100"/>
    <n v="0"/>
    <d v="2015-02-12T00:00:00"/>
    <s v="Parked Car"/>
    <s v="?"/>
    <s v="Minor Damage"/>
    <s v="Police"/>
    <x v="3"/>
    <x v="0"/>
    <s v="3423 Francis Ave"/>
    <n v="5"/>
    <n v="1"/>
    <s v="NO"/>
    <n v="2"/>
    <n v="3"/>
    <s v="NO"/>
    <n v="7110"/>
    <n v="790"/>
    <n v="1580"/>
    <n v="4740"/>
    <s v="Accura"/>
    <s v="MDX"/>
    <n v="2005"/>
    <s v="N"/>
    <n v="7.7632800131025821"/>
    <n v="-6195.15"/>
    <n v="0.12865279144986641"/>
    <n v="10"/>
    <n v="103"/>
    <x v="2"/>
    <x v="0"/>
  </r>
  <r>
    <n v="284"/>
    <n v="43"/>
    <n v="961496"/>
    <d v="1992-01-05T00:00:00"/>
    <s v="IL"/>
    <s v="250/500"/>
    <n v="500"/>
    <n v="1123.8399999999999"/>
    <n v="0"/>
    <n v="609898"/>
    <s v="MALE"/>
    <s v="PhD"/>
    <s v="prof-specialty"/>
    <s v="kayaking"/>
    <s v="other-relative"/>
    <n v="48200"/>
    <n v="0"/>
    <d v="2015-01-23T00:00:00"/>
    <s v="Multi-vehicle Collision"/>
    <s v="Side Collision"/>
    <s v="Total Loss"/>
    <s v="Fire"/>
    <x v="4"/>
    <x v="0"/>
    <s v="9529 4th Drive"/>
    <n v="12"/>
    <n v="3"/>
    <s v="NO"/>
    <n v="0"/>
    <n v="0"/>
    <s v="YES"/>
    <n v="36960"/>
    <n v="6720"/>
    <n v="3360"/>
    <n v="26880"/>
    <s v="Chevrolet"/>
    <s v="Tahoe"/>
    <n v="2007"/>
    <s v="N"/>
    <n v="32.858006472031583"/>
    <n v="-35836.160000000003"/>
    <n v="3.0406103730959658E-2"/>
    <n v="8"/>
    <n v="284"/>
    <x v="0"/>
    <x v="0"/>
  </r>
  <r>
    <n v="189"/>
    <n v="39"/>
    <n v="804751"/>
    <d v="1997-09-11T00:00:00"/>
    <s v="OH"/>
    <s v="250/500"/>
    <n v="2000"/>
    <n v="838.02"/>
    <n v="0"/>
    <n v="450702"/>
    <s v="FEMALE"/>
    <s v="College"/>
    <s v="tech-support"/>
    <s v="movies"/>
    <s v="own-child"/>
    <n v="0"/>
    <n v="0"/>
    <d v="2015-02-13T00:00:00"/>
    <s v="Multi-vehicle Collision"/>
    <s v="Rear Collision"/>
    <s v="Minor Damage"/>
    <s v="Police"/>
    <x v="1"/>
    <x v="6"/>
    <s v="1818 Tree St"/>
    <n v="7"/>
    <n v="3"/>
    <s v="?"/>
    <n v="2"/>
    <n v="0"/>
    <s v="YES"/>
    <n v="64400"/>
    <n v="6440"/>
    <n v="6440"/>
    <n v="51520"/>
    <s v="Dodge"/>
    <s v="Neon"/>
    <n v="1997"/>
    <s v="N"/>
    <n v="76.756215584848988"/>
    <n v="-63561.98"/>
    <n v="1.3012530861322029E-2"/>
    <n v="18"/>
    <n v="189"/>
    <x v="0"/>
    <x v="0"/>
  </r>
  <r>
    <n v="267"/>
    <n v="43"/>
    <n v="369226"/>
    <d v="2002-02-10T00:00:00"/>
    <s v="OH"/>
    <s v="250/500"/>
    <n v="500"/>
    <n v="1300.68"/>
    <n v="0"/>
    <n v="600418"/>
    <s v="MALE"/>
    <s v="PhD"/>
    <s v="adm-clerical"/>
    <s v="sleeping"/>
    <s v="unmarried"/>
    <n v="49000"/>
    <n v="0"/>
    <d v="2015-01-27T00:00:00"/>
    <s v="Parked Car"/>
    <s v="?"/>
    <s v="Minor Damage"/>
    <s v="None"/>
    <x v="5"/>
    <x v="5"/>
    <s v="4431 Rock St"/>
    <n v="0"/>
    <n v="1"/>
    <s v="NO"/>
    <n v="1"/>
    <n v="3"/>
    <s v="YES"/>
    <n v="1920"/>
    <n v="480"/>
    <n v="0"/>
    <n v="1440"/>
    <s v="Chevrolet"/>
    <s v="Tahoe"/>
    <n v="2011"/>
    <s v="N"/>
    <n v="1.4750169012353265"/>
    <n v="-619.31999999999994"/>
    <n v="0.67708485163977095"/>
    <n v="4"/>
    <n v="267"/>
    <x v="1"/>
    <x v="1"/>
  </r>
  <r>
    <n v="39"/>
    <n v="22"/>
    <n v="691115"/>
    <d v="1993-01-28T00:00:00"/>
    <s v="IN"/>
    <s v="500/1000"/>
    <n v="500"/>
    <n v="1173.21"/>
    <n v="0"/>
    <n v="431202"/>
    <s v="MALE"/>
    <s v="JD"/>
    <s v="farming-fishing"/>
    <s v="polo"/>
    <s v="not-in-family"/>
    <n v="0"/>
    <n v="0"/>
    <d v="2015-02-14T00:00:00"/>
    <s v="Single Vehicle Collision"/>
    <s v="Rear Collision"/>
    <s v="Major Damage"/>
    <s v="Police"/>
    <x v="0"/>
    <x v="5"/>
    <s v="4782 Sky Lane"/>
    <n v="14"/>
    <n v="1"/>
    <s v="YES"/>
    <n v="0"/>
    <n v="1"/>
    <s v="YES"/>
    <n v="86130"/>
    <n v="15660"/>
    <n v="7830"/>
    <n v="62640"/>
    <s v="Suburu"/>
    <s v="Legacy"/>
    <n v="2009"/>
    <s v="Y"/>
    <n v="73.35144480118548"/>
    <n v="-84956.79"/>
    <n v="1.3621228129244987E-2"/>
    <n v="6"/>
    <n v="39"/>
    <x v="0"/>
    <x v="0"/>
  </r>
  <r>
    <n v="140"/>
    <n v="32"/>
    <n v="713172"/>
    <d v="1996-10-23T00:00:00"/>
    <s v="IL"/>
    <s v="250/500"/>
    <n v="1000"/>
    <n v="985.97"/>
    <n v="5000000"/>
    <n v="457793"/>
    <s v="FEMALE"/>
    <s v="College"/>
    <s v="protective-serv"/>
    <s v="cross-fit"/>
    <s v="other-relative"/>
    <n v="0"/>
    <n v="0"/>
    <d v="2015-02-01T00:00:00"/>
    <s v="Single Vehicle Collision"/>
    <s v="Side Collision"/>
    <s v="Major Damage"/>
    <s v="Fire"/>
    <x v="1"/>
    <x v="6"/>
    <s v="7112 Weaver Ave"/>
    <n v="13"/>
    <n v="1"/>
    <s v="?"/>
    <n v="2"/>
    <n v="3"/>
    <s v="?"/>
    <n v="82170"/>
    <n v="14940"/>
    <n v="7470"/>
    <n v="59760"/>
    <s v="Chevrolet"/>
    <s v="Silverado"/>
    <n v="1995"/>
    <s v="Y"/>
    <n v="83.254810176601111"/>
    <n v="-81184.03"/>
    <n v="1.1999002081026153E-2"/>
    <n v="20"/>
    <n v="140"/>
    <x v="0"/>
    <x v="0"/>
  </r>
  <r>
    <n v="243"/>
    <n v="41"/>
    <n v="621756"/>
    <d v="1997-04-21T00:00:00"/>
    <s v="IN"/>
    <s v="100/300"/>
    <n v="1000"/>
    <n v="1129.23"/>
    <n v="0"/>
    <n v="470190"/>
    <s v="FEMALE"/>
    <s v="College"/>
    <s v="farming-fishing"/>
    <s v="camping"/>
    <s v="own-child"/>
    <n v="17300"/>
    <n v="-60400"/>
    <d v="2015-02-23T00:00:00"/>
    <s v="Single Vehicle Collision"/>
    <s v="Front Collision"/>
    <s v="Major Damage"/>
    <s v="Fire"/>
    <x v="4"/>
    <x v="4"/>
    <s v="4020 Best Drive"/>
    <n v="1"/>
    <n v="1"/>
    <s v="?"/>
    <n v="1"/>
    <n v="0"/>
    <s v="YES"/>
    <n v="50300"/>
    <n v="10060"/>
    <n v="5030"/>
    <n v="35210"/>
    <s v="Suburu"/>
    <s v="Legacy"/>
    <n v="1999"/>
    <s v="Y"/>
    <n v="44.504215956044341"/>
    <n v="-49170.77"/>
    <n v="2.2449454285203077E-2"/>
    <n v="16"/>
    <n v="243"/>
    <x v="0"/>
    <x v="0"/>
  </r>
  <r>
    <n v="116"/>
    <n v="31"/>
    <n v="615116"/>
    <d v="2008-11-09T00:00:00"/>
    <s v="IN"/>
    <s v="250/500"/>
    <n v="500"/>
    <n v="1194.83"/>
    <n v="0"/>
    <n v="603733"/>
    <s v="FEMALE"/>
    <s v="MD"/>
    <s v="prof-specialty"/>
    <s v="camping"/>
    <s v="husband"/>
    <n v="28600"/>
    <n v="0"/>
    <d v="2015-01-20T00:00:00"/>
    <s v="Single Vehicle Collision"/>
    <s v="Side Collision"/>
    <s v="Major Damage"/>
    <s v="Police"/>
    <x v="0"/>
    <x v="1"/>
    <s v="2037 5th Drive"/>
    <n v="23"/>
    <n v="1"/>
    <s v="NO"/>
    <n v="0"/>
    <n v="0"/>
    <s v="NO"/>
    <n v="44200"/>
    <n v="4420"/>
    <n v="8840"/>
    <n v="30940"/>
    <s v="Suburu"/>
    <s v="Forrestor"/>
    <n v="1997"/>
    <s v="N"/>
    <n v="36.961775503206979"/>
    <n v="-43005.17"/>
    <n v="2.7031741363317572E-2"/>
    <n v="18"/>
    <n v="116"/>
    <x v="0"/>
    <x v="0"/>
  </r>
  <r>
    <n v="219"/>
    <n v="43"/>
    <n v="947598"/>
    <d v="2002-06-20T00:00:00"/>
    <s v="IN"/>
    <s v="100/300"/>
    <n v="1000"/>
    <n v="1114.29"/>
    <n v="0"/>
    <n v="465136"/>
    <s v="FEMALE"/>
    <s v="High School"/>
    <s v="transport-moving"/>
    <s v="polo"/>
    <s v="other-relative"/>
    <n v="51300"/>
    <n v="0"/>
    <d v="2015-01-08T00:00:00"/>
    <s v="Single Vehicle Collision"/>
    <s v="Side Collision"/>
    <s v="Major Damage"/>
    <s v="Ambulance"/>
    <x v="1"/>
    <x v="6"/>
    <s v="4699 Texas Ridge"/>
    <n v="1"/>
    <n v="1"/>
    <s v="?"/>
    <n v="2"/>
    <n v="2"/>
    <s v="YES"/>
    <n v="66660"/>
    <n v="6060"/>
    <n v="6060"/>
    <n v="54540"/>
    <s v="Toyota"/>
    <s v="Highlander"/>
    <n v="2006"/>
    <s v="N"/>
    <n v="59.769208008679357"/>
    <n v="-65545.710000000006"/>
    <n v="1.6715770840521445E-2"/>
    <n v="9"/>
    <n v="219"/>
    <x v="0"/>
    <x v="0"/>
  </r>
  <r>
    <n v="96"/>
    <n v="26"/>
    <n v="658002"/>
    <d v="2005-10-21T00:00:00"/>
    <s v="OH"/>
    <s v="250/500"/>
    <n v="2000"/>
    <n v="1509.04"/>
    <n v="0"/>
    <n v="611723"/>
    <s v="FEMALE"/>
    <s v="Associate"/>
    <s v="prof-specialty"/>
    <s v="bungie-jumping"/>
    <s v="husband"/>
    <n v="10000"/>
    <n v="0"/>
    <d v="2015-02-23T00:00:00"/>
    <s v="Single Vehicle Collision"/>
    <s v="Front Collision"/>
    <s v="Total Loss"/>
    <s v="Ambulance"/>
    <x v="0"/>
    <x v="1"/>
    <s v="1832 Elm Hwy"/>
    <n v="9"/>
    <n v="1"/>
    <s v="YES"/>
    <n v="2"/>
    <n v="3"/>
    <s v="NO"/>
    <n v="78320"/>
    <n v="7120"/>
    <n v="14240"/>
    <n v="56960"/>
    <s v="Saab"/>
    <s v="92x"/>
    <n v="2007"/>
    <s v="N"/>
    <n v="51.866175730444226"/>
    <n v="-76810.960000000006"/>
    <n v="1.9267374012078498E-2"/>
    <n v="8"/>
    <n v="96"/>
    <x v="0"/>
    <x v="0"/>
  </r>
  <r>
    <n v="149"/>
    <n v="34"/>
    <n v="374545"/>
    <d v="2005-08-28T00:00:00"/>
    <s v="IN"/>
    <s v="250/500"/>
    <n v="500"/>
    <n v="664.86"/>
    <n v="0"/>
    <n v="608963"/>
    <s v="FEMALE"/>
    <s v="PhD"/>
    <s v="craft-repair"/>
    <s v="skydiving"/>
    <s v="wife"/>
    <n v="0"/>
    <n v="-60000"/>
    <d v="2015-02-04T00:00:00"/>
    <s v="Single Vehicle Collision"/>
    <s v="Rear Collision"/>
    <s v="Total Loss"/>
    <s v="Fire"/>
    <x v="4"/>
    <x v="0"/>
    <s v="5226 Maple St"/>
    <n v="3"/>
    <n v="1"/>
    <s v="?"/>
    <n v="0"/>
    <n v="1"/>
    <s v="NO"/>
    <n v="105040"/>
    <n v="16160"/>
    <n v="16160"/>
    <n v="72720"/>
    <s v="Dodge"/>
    <s v="RAM"/>
    <n v="1999"/>
    <s v="N"/>
    <n v="157.75087856306129"/>
    <n v="-104375.14"/>
    <n v="6.329528469835588E-3"/>
    <n v="16"/>
    <n v="149"/>
    <x v="0"/>
    <x v="0"/>
  </r>
  <r>
    <n v="246"/>
    <n v="43"/>
    <n v="805806"/>
    <d v="2013-01-16T00:00:00"/>
    <s v="IN"/>
    <s v="250/500"/>
    <n v="1000"/>
    <n v="1267.4000000000001"/>
    <n v="6000000"/>
    <n v="454139"/>
    <s v="MALE"/>
    <s v="JD"/>
    <s v="adm-clerical"/>
    <s v="basketball"/>
    <s v="husband"/>
    <n v="0"/>
    <n v="0"/>
    <d v="2015-02-09T00:00:00"/>
    <s v="Single Vehicle Collision"/>
    <s v="Side Collision"/>
    <s v="Minor Damage"/>
    <s v="Fire"/>
    <x v="2"/>
    <x v="4"/>
    <s v="3771 4th St"/>
    <n v="0"/>
    <n v="1"/>
    <s v="NO"/>
    <n v="2"/>
    <n v="1"/>
    <s v="?"/>
    <n v="50700"/>
    <n v="5070"/>
    <n v="5070"/>
    <n v="40560"/>
    <s v="Accura"/>
    <s v="RSX"/>
    <n v="2006"/>
    <s v="N"/>
    <n v="39.971617786187316"/>
    <n v="-49432.6"/>
    <n v="2.4997534565393189E-2"/>
    <n v="9"/>
    <n v="246"/>
    <x v="0"/>
    <x v="0"/>
  </r>
  <r>
    <n v="293"/>
    <n v="45"/>
    <n v="235097"/>
    <d v="1992-04-28T00:00:00"/>
    <s v="IL"/>
    <s v="100/300"/>
    <n v="1000"/>
    <n v="1119.23"/>
    <n v="0"/>
    <n v="447560"/>
    <s v="FEMALE"/>
    <s v="MD"/>
    <s v="exec-managerial"/>
    <s v="exercise"/>
    <s v="unmarried"/>
    <n v="51500"/>
    <n v="0"/>
    <d v="2015-02-18T00:00:00"/>
    <s v="Multi-vehicle Collision"/>
    <s v="Front Collision"/>
    <s v="Total Loss"/>
    <s v="Fire"/>
    <x v="4"/>
    <x v="5"/>
    <s v="8701 5th Lane"/>
    <n v="13"/>
    <n v="3"/>
    <s v="NO"/>
    <n v="1"/>
    <n v="1"/>
    <s v="NO"/>
    <n v="51210"/>
    <n v="11380"/>
    <n v="5690"/>
    <n v="34140"/>
    <s v="Jeep"/>
    <s v="Wrangler"/>
    <n v="2015"/>
    <s v="N"/>
    <n v="45.713826624889528"/>
    <n v="-50090.77"/>
    <n v="2.1855265470309113E-2"/>
    <n v="0"/>
    <n v="293"/>
    <x v="0"/>
    <x v="0"/>
  </r>
  <r>
    <n v="339"/>
    <n v="48"/>
    <n v="290971"/>
    <d v="2005-10-10T00:00:00"/>
    <s v="OH"/>
    <s v="100/300"/>
    <n v="500"/>
    <n v="1698.51"/>
    <n v="0"/>
    <n v="444378"/>
    <s v="MALE"/>
    <s v="JD"/>
    <s v="other-service"/>
    <s v="dancing"/>
    <s v="unmarried"/>
    <n v="0"/>
    <n v="0"/>
    <d v="2015-02-10T00:00:00"/>
    <s v="Multi-vehicle Collision"/>
    <s v="Rear Collision"/>
    <s v="Total Loss"/>
    <s v="Fire"/>
    <x v="0"/>
    <x v="4"/>
    <s v="7574 4th St"/>
    <n v="18"/>
    <n v="3"/>
    <s v="NO"/>
    <n v="2"/>
    <n v="1"/>
    <s v="?"/>
    <n v="51840"/>
    <n v="8640"/>
    <n v="8640"/>
    <n v="34560"/>
    <s v="Volkswagen"/>
    <s v="Jetta"/>
    <n v="2001"/>
    <s v="N"/>
    <n v="30.50290966219675"/>
    <n v="-50141.49"/>
    <n v="3.2763835574159447E-2"/>
    <n v="14"/>
    <n v="339"/>
    <x v="0"/>
    <x v="0"/>
  </r>
  <r>
    <n v="160"/>
    <n v="33"/>
    <n v="180286"/>
    <d v="2009-02-08T00:00:00"/>
    <s v="IL"/>
    <s v="500/1000"/>
    <n v="1000"/>
    <n v="1422.78"/>
    <n v="0"/>
    <n v="616583"/>
    <s v="FEMALE"/>
    <s v="High School"/>
    <s v="exec-managerial"/>
    <s v="exercise"/>
    <s v="husband"/>
    <n v="61600"/>
    <n v="0"/>
    <d v="2015-01-20T00:00:00"/>
    <s v="Multi-vehicle Collision"/>
    <s v="Front Collision"/>
    <s v="Total Loss"/>
    <s v="Ambulance"/>
    <x v="5"/>
    <x v="1"/>
    <s v="1989 Solo Lane"/>
    <n v="17"/>
    <n v="3"/>
    <s v="?"/>
    <n v="2"/>
    <n v="3"/>
    <s v="YES"/>
    <n v="52800"/>
    <n v="5280"/>
    <n v="5280"/>
    <n v="42240"/>
    <s v="Nissan"/>
    <s v="Pathfinder"/>
    <n v="2006"/>
    <s v="N"/>
    <n v="37.084381013920691"/>
    <n v="-51377.22"/>
    <n v="2.6946080566655935E-2"/>
    <n v="9"/>
    <n v="160"/>
    <x v="0"/>
    <x v="0"/>
  </r>
  <r>
    <n v="224"/>
    <n v="42"/>
    <n v="662088"/>
    <d v="2005-03-06T00:00:00"/>
    <s v="OH"/>
    <s v="500/1000"/>
    <n v="500"/>
    <n v="1212.75"/>
    <n v="0"/>
    <n v="455913"/>
    <s v="FEMALE"/>
    <s v="College"/>
    <s v="prof-specialty"/>
    <s v="kayaking"/>
    <s v="own-child"/>
    <n v="0"/>
    <n v="-51400"/>
    <d v="2015-01-27T00:00:00"/>
    <s v="Single Vehicle Collision"/>
    <s v="Front Collision"/>
    <s v="Minor Damage"/>
    <s v="Fire"/>
    <x v="4"/>
    <x v="3"/>
    <s v="6331 MLK Ave"/>
    <n v="11"/>
    <n v="1"/>
    <s v="?"/>
    <n v="0"/>
    <n v="0"/>
    <s v="YES"/>
    <n v="55200"/>
    <n v="9200"/>
    <n v="13800"/>
    <n v="32200"/>
    <s v="Honda"/>
    <s v="Civic"/>
    <n v="1998"/>
    <s v="N"/>
    <n v="45.478887744593202"/>
    <n v="-53987.25"/>
    <n v="2.1969710693646855E-2"/>
    <n v="17"/>
    <n v="224"/>
    <x v="0"/>
    <x v="0"/>
  </r>
  <r>
    <n v="194"/>
    <n v="34"/>
    <n v="884365"/>
    <d v="1994-05-17T00:00:00"/>
    <s v="IN"/>
    <s v="100/300"/>
    <n v="1000"/>
    <n v="1423.34"/>
    <n v="0"/>
    <n v="454399"/>
    <s v="MALE"/>
    <s v="Associate"/>
    <s v="sales"/>
    <s v="camping"/>
    <s v="not-in-family"/>
    <n v="55300"/>
    <n v="-37900"/>
    <d v="2015-01-21T00:00:00"/>
    <s v="Vehicle Theft"/>
    <s v="?"/>
    <s v="Minor Damage"/>
    <s v="None"/>
    <x v="4"/>
    <x v="1"/>
    <s v="8453 Elm St"/>
    <n v="0"/>
    <n v="1"/>
    <s v="YES"/>
    <n v="0"/>
    <n v="3"/>
    <s v="NO"/>
    <n v="9100"/>
    <n v="1400"/>
    <n v="1400"/>
    <n v="6300"/>
    <s v="Chevrolet"/>
    <s v="Malibu"/>
    <n v="2003"/>
    <s v="N"/>
    <n v="6.3889239928668724"/>
    <n v="-7676.66"/>
    <n v="0.15639380287880453"/>
    <n v="12"/>
    <n v="194"/>
    <x v="2"/>
    <x v="0"/>
  </r>
  <r>
    <n v="385"/>
    <n v="51"/>
    <n v="178081"/>
    <d v="1990-07-20T00:00:00"/>
    <s v="IN"/>
    <s v="250/500"/>
    <n v="1000"/>
    <n v="976.37"/>
    <n v="0"/>
    <n v="602842"/>
    <s v="FEMALE"/>
    <s v="MD"/>
    <s v="craft-repair"/>
    <s v="reading"/>
    <s v="husband"/>
    <n v="0"/>
    <n v="-61000"/>
    <d v="2015-02-18T00:00:00"/>
    <s v="Multi-vehicle Collision"/>
    <s v="Rear Collision"/>
    <s v="Minor Damage"/>
    <s v="Other"/>
    <x v="4"/>
    <x v="1"/>
    <s v="1422 Flute Ave"/>
    <n v="14"/>
    <n v="3"/>
    <s v="?"/>
    <n v="1"/>
    <n v="3"/>
    <s v="?"/>
    <n v="67600"/>
    <n v="13520"/>
    <n v="6760"/>
    <n v="47320"/>
    <s v="Suburu"/>
    <s v="Legacy"/>
    <n v="2007"/>
    <s v="N"/>
    <n v="69.165208672253087"/>
    <n v="-66623.63"/>
    <n v="1.4443129539503854E-2"/>
    <n v="8"/>
    <n v="385"/>
    <x v="0"/>
    <x v="0"/>
  </r>
  <r>
    <n v="100"/>
    <n v="33"/>
    <n v="507452"/>
    <d v="2005-04-17T00:00:00"/>
    <s v="OH"/>
    <s v="250/500"/>
    <n v="500"/>
    <n v="1124.5899999999999"/>
    <n v="6000000"/>
    <n v="459428"/>
    <s v="MALE"/>
    <s v="College"/>
    <s v="adm-clerical"/>
    <s v="golf"/>
    <s v="not-in-family"/>
    <n v="67300"/>
    <n v="0"/>
    <d v="2015-02-26T00:00:00"/>
    <s v="Single Vehicle Collision"/>
    <s v="Rear Collision"/>
    <s v="Minor Damage"/>
    <s v="Other"/>
    <x v="5"/>
    <x v="0"/>
    <s v="5058 4th Lane"/>
    <n v="4"/>
    <n v="1"/>
    <s v="NO"/>
    <n v="1"/>
    <n v="2"/>
    <s v="NO"/>
    <n v="40800"/>
    <n v="6800"/>
    <n v="6800"/>
    <n v="27200"/>
    <s v="BMW"/>
    <s v="X5"/>
    <n v="2004"/>
    <s v="N"/>
    <n v="36.247656784441936"/>
    <n v="-39675.410000000003"/>
    <n v="2.7562804833214872E-2"/>
    <n v="11"/>
    <n v="100"/>
    <x v="0"/>
    <x v="0"/>
  </r>
  <r>
    <n v="371"/>
    <n v="50"/>
    <n v="990624"/>
    <d v="1994-02-10T00:00:00"/>
    <s v="IN"/>
    <s v="250/500"/>
    <n v="1000"/>
    <n v="1569.33"/>
    <n v="0"/>
    <n v="613114"/>
    <s v="MALE"/>
    <s v="PhD"/>
    <s v="machine-op-inspct"/>
    <s v="board-games"/>
    <s v="not-in-family"/>
    <n v="79600"/>
    <n v="0"/>
    <d v="2015-01-29T00:00:00"/>
    <s v="Multi-vehicle Collision"/>
    <s v="Side Collision"/>
    <s v="Major Damage"/>
    <s v="Other"/>
    <x v="4"/>
    <x v="3"/>
    <s v="3098 Oak Lane"/>
    <n v="2"/>
    <n v="3"/>
    <s v="NO"/>
    <n v="2"/>
    <n v="1"/>
    <s v="YES"/>
    <n v="84500"/>
    <n v="13000"/>
    <n v="13000"/>
    <n v="58500"/>
    <s v="Volkswagen"/>
    <s v="Passat"/>
    <n v="2011"/>
    <s v="Y"/>
    <n v="53.810345596148579"/>
    <n v="-82930.67"/>
    <n v="1.8571732878900842E-2"/>
    <n v="4"/>
    <n v="371"/>
    <x v="0"/>
    <x v="0"/>
  </r>
  <r>
    <n v="175"/>
    <n v="39"/>
    <n v="892148"/>
    <d v="1995-03-29T00:00:00"/>
    <s v="IN"/>
    <s v="500/1000"/>
    <n v="500"/>
    <n v="1359.36"/>
    <n v="5000000"/>
    <n v="450709"/>
    <s v="MALE"/>
    <s v="PhD"/>
    <s v="exec-managerial"/>
    <s v="hiking"/>
    <s v="husband"/>
    <n v="0"/>
    <n v="-43600"/>
    <d v="2015-02-08T00:00:00"/>
    <s v="Multi-vehicle Collision"/>
    <s v="Front Collision"/>
    <s v="Major Damage"/>
    <s v="Other"/>
    <x v="0"/>
    <x v="2"/>
    <s v="9103 MLK Lane"/>
    <n v="9"/>
    <n v="3"/>
    <s v="YES"/>
    <n v="2"/>
    <n v="2"/>
    <s v="YES"/>
    <n v="71610"/>
    <n v="13020"/>
    <n v="6510"/>
    <n v="52080"/>
    <s v="Toyota"/>
    <s v="Highlander"/>
    <n v="2012"/>
    <s v="Y"/>
    <n v="52.640477520656297"/>
    <n v="-70250.64"/>
    <n v="1.8982558545474856E-2"/>
    <n v="3"/>
    <n v="175"/>
    <x v="0"/>
    <x v="0"/>
  </r>
  <r>
    <n v="373"/>
    <n v="55"/>
    <n v="398683"/>
    <d v="2007-04-30T00:00:00"/>
    <s v="IN"/>
    <s v="250/500"/>
    <n v="500"/>
    <n v="1607.36"/>
    <n v="0"/>
    <n v="444626"/>
    <s v="MALE"/>
    <s v="MD"/>
    <s v="sales"/>
    <s v="yachting"/>
    <s v="own-child"/>
    <n v="0"/>
    <n v="0"/>
    <d v="2015-01-19T00:00:00"/>
    <s v="Multi-vehicle Collision"/>
    <s v="Rear Collision"/>
    <s v="Major Damage"/>
    <s v="Other"/>
    <x v="0"/>
    <x v="2"/>
    <s v="8624 Francis Ave"/>
    <n v="21"/>
    <n v="4"/>
    <s v="?"/>
    <n v="0"/>
    <n v="2"/>
    <s v="NO"/>
    <n v="60600"/>
    <n v="6060"/>
    <n v="12120"/>
    <n v="42420"/>
    <s v="Dodge"/>
    <s v="RAM"/>
    <n v="2007"/>
    <s v="Y"/>
    <n v="37.678131761545927"/>
    <n v="-58992.639999999999"/>
    <n v="2.652365472516955E-2"/>
    <n v="8"/>
    <n v="373"/>
    <x v="0"/>
    <x v="0"/>
  </r>
  <r>
    <n v="258"/>
    <n v="41"/>
    <n v="605100"/>
    <d v="2001-02-15T00:00:00"/>
    <s v="IL"/>
    <s v="100/300"/>
    <n v="500"/>
    <n v="1042.25"/>
    <n v="0"/>
    <n v="601206"/>
    <s v="MALE"/>
    <s v="Masters"/>
    <s v="exec-managerial"/>
    <s v="reading"/>
    <s v="unmarried"/>
    <n v="0"/>
    <n v="-44400"/>
    <d v="2015-02-08T00:00:00"/>
    <s v="Multi-vehicle Collision"/>
    <s v="Rear Collision"/>
    <s v="Major Damage"/>
    <s v="Fire"/>
    <x v="5"/>
    <x v="1"/>
    <s v="2905 Embaracadero Drive"/>
    <n v="0"/>
    <n v="3"/>
    <s v="NO"/>
    <n v="2"/>
    <n v="3"/>
    <s v="NO"/>
    <n v="81240"/>
    <n v="6770"/>
    <n v="20310"/>
    <n v="54160"/>
    <s v="Mercedes"/>
    <s v="C300"/>
    <n v="2008"/>
    <s v="Y"/>
    <n v="77.87203450754852"/>
    <n v="-80197.75"/>
    <n v="1.2829113378712719E-2"/>
    <n v="7"/>
    <n v="258"/>
    <x v="0"/>
    <x v="0"/>
  </r>
  <r>
    <n v="255"/>
    <n v="39"/>
    <n v="143109"/>
    <d v="2001-07-09T00:00:00"/>
    <s v="OH"/>
    <s v="250/500"/>
    <n v="500"/>
    <n v="1453.95"/>
    <n v="0"/>
    <n v="470389"/>
    <s v="FEMALE"/>
    <s v="PhD"/>
    <s v="armed-forces"/>
    <s v="bungie-jumping"/>
    <s v="not-in-family"/>
    <n v="38200"/>
    <n v="0"/>
    <d v="2015-01-07T00:00:00"/>
    <s v="Multi-vehicle Collision"/>
    <s v="Side Collision"/>
    <s v="Total Loss"/>
    <s v="Fire"/>
    <x v="4"/>
    <x v="3"/>
    <s v="3443 Maple Ridge"/>
    <n v="17"/>
    <n v="3"/>
    <s v="YES"/>
    <n v="0"/>
    <n v="3"/>
    <s v="NO"/>
    <n v="29300"/>
    <n v="2930"/>
    <n v="5860"/>
    <n v="20510"/>
    <s v="Audi"/>
    <s v="A3"/>
    <n v="2010"/>
    <s v="N"/>
    <n v="20.138149077287878"/>
    <n v="-27846.05"/>
    <n v="4.96211733387939E-2"/>
    <n v="5"/>
    <n v="255"/>
    <x v="0"/>
    <x v="0"/>
  </r>
  <r>
    <n v="37"/>
    <n v="31"/>
    <n v="230223"/>
    <d v="2008-09-06T00:00:00"/>
    <s v="IL"/>
    <s v="500/1000"/>
    <n v="500"/>
    <n v="1969.63"/>
    <n v="0"/>
    <n v="615218"/>
    <s v="FEMALE"/>
    <s v="MD"/>
    <s v="sales"/>
    <s v="skydiving"/>
    <s v="own-child"/>
    <n v="0"/>
    <n v="0"/>
    <d v="2015-02-13T00:00:00"/>
    <s v="Multi-vehicle Collision"/>
    <s v="Side Collision"/>
    <s v="Total Loss"/>
    <s v="Fire"/>
    <x v="4"/>
    <x v="5"/>
    <s v="1618 Maple Hwy"/>
    <n v="21"/>
    <n v="3"/>
    <s v="NO"/>
    <n v="1"/>
    <n v="1"/>
    <s v="YES"/>
    <n v="76450"/>
    <n v="6950"/>
    <n v="13900"/>
    <n v="55600"/>
    <s v="Dodge"/>
    <s v="RAM"/>
    <n v="1995"/>
    <s v="N"/>
    <n v="38.794700172026204"/>
    <n v="-74480.37"/>
    <n v="2.5763299368222786E-2"/>
    <n v="20"/>
    <n v="37"/>
    <x v="0"/>
    <x v="0"/>
  </r>
  <r>
    <n v="322"/>
    <n v="44"/>
    <n v="769602"/>
    <d v="2004-12-19T00:00:00"/>
    <s v="IL"/>
    <s v="100/300"/>
    <n v="1000"/>
    <n v="1156.19"/>
    <n v="0"/>
    <n v="606249"/>
    <s v="FEMALE"/>
    <s v="College"/>
    <s v="machine-op-inspct"/>
    <s v="cross-fit"/>
    <s v="husband"/>
    <n v="49900"/>
    <n v="-62700"/>
    <d v="2015-02-15T00:00:00"/>
    <s v="Multi-vehicle Collision"/>
    <s v="Side Collision"/>
    <s v="Major Damage"/>
    <s v="Fire"/>
    <x v="2"/>
    <x v="6"/>
    <s v="3751 Tree Hwy"/>
    <n v="20"/>
    <n v="3"/>
    <s v="YES"/>
    <n v="0"/>
    <n v="3"/>
    <s v="?"/>
    <n v="49400"/>
    <n v="9880"/>
    <n v="4940"/>
    <n v="34580"/>
    <s v="Jeep"/>
    <s v="Wrangler"/>
    <n v="2010"/>
    <s v="N"/>
    <n v="42.68961881799877"/>
    <n v="-48243.81"/>
    <n v="2.3404182101576892E-2"/>
    <n v="5"/>
    <n v="322"/>
    <x v="0"/>
    <x v="0"/>
  </r>
  <r>
    <n v="204"/>
    <n v="38"/>
    <n v="420815"/>
    <d v="2000-11-15T00:00:00"/>
    <s v="IL"/>
    <s v="100/300"/>
    <n v="2000"/>
    <n v="1124.47"/>
    <n v="0"/>
    <n v="616161"/>
    <s v="FEMALE"/>
    <s v="MD"/>
    <s v="tech-support"/>
    <s v="kayaking"/>
    <s v="wife"/>
    <n v="0"/>
    <n v="-45100"/>
    <d v="2015-02-14T00:00:00"/>
    <s v="Single Vehicle Collision"/>
    <s v="Side Collision"/>
    <s v="Total Loss"/>
    <s v="Ambulance"/>
    <x v="0"/>
    <x v="6"/>
    <s v="6848 Elm Hwy"/>
    <n v="5"/>
    <n v="1"/>
    <s v="NO"/>
    <n v="0"/>
    <n v="1"/>
    <s v="?"/>
    <n v="90530"/>
    <n v="16460"/>
    <n v="16460"/>
    <n v="57610"/>
    <s v="Ford"/>
    <s v="F150"/>
    <n v="2003"/>
    <s v="N"/>
    <n v="80.437506108559091"/>
    <n v="-89405.53"/>
    <n v="1.2420828224586053E-2"/>
    <n v="12"/>
    <n v="204"/>
    <x v="0"/>
    <x v="0"/>
  </r>
  <r>
    <n v="76"/>
    <n v="31"/>
    <n v="973546"/>
    <d v="2007-03-14T00:00:00"/>
    <s v="OH"/>
    <s v="500/1000"/>
    <n v="500"/>
    <n v="1493.5"/>
    <n v="5000000"/>
    <n v="442335"/>
    <s v="FEMALE"/>
    <s v="Associate"/>
    <s v="priv-house-serv"/>
    <s v="movies"/>
    <s v="not-in-family"/>
    <n v="39900"/>
    <n v="-44000"/>
    <d v="2015-01-31T00:00:00"/>
    <s v="Vehicle Theft"/>
    <s v="?"/>
    <s v="Minor Damage"/>
    <s v="Police"/>
    <x v="4"/>
    <x v="6"/>
    <s v="4237 4th St"/>
    <n v="7"/>
    <n v="1"/>
    <s v="NO"/>
    <n v="2"/>
    <n v="1"/>
    <s v="NO"/>
    <n v="8030"/>
    <n v="1460"/>
    <n v="730"/>
    <n v="5840"/>
    <s v="Mercedes"/>
    <s v="E400"/>
    <n v="1995"/>
    <s v="N"/>
    <n v="5.3730344596855133"/>
    <n v="-6536.5"/>
    <n v="0.18596687834640768"/>
    <n v="20"/>
    <n v="76"/>
    <x v="2"/>
    <x v="0"/>
  </r>
  <r>
    <n v="193"/>
    <n v="40"/>
    <n v="608039"/>
    <d v="2004-12-28T00:00:00"/>
    <s v="IL"/>
    <s v="100/300"/>
    <n v="500"/>
    <n v="1155.3800000000001"/>
    <n v="0"/>
    <n v="604952"/>
    <s v="FEMALE"/>
    <s v="PhD"/>
    <s v="handlers-cleaners"/>
    <s v="movies"/>
    <s v="not-in-family"/>
    <n v="34200"/>
    <n v="-32300"/>
    <d v="2015-01-28T00:00:00"/>
    <s v="Single Vehicle Collision"/>
    <s v="Side Collision"/>
    <s v="Minor Damage"/>
    <s v="Fire"/>
    <x v="2"/>
    <x v="0"/>
    <s v="6581 Rock Ridge"/>
    <n v="6"/>
    <n v="1"/>
    <s v="NO"/>
    <n v="0"/>
    <n v="0"/>
    <s v="YES"/>
    <n v="63900"/>
    <n v="6390"/>
    <n v="6390"/>
    <n v="51120"/>
    <s v="Accura"/>
    <s v="TL"/>
    <n v="2001"/>
    <s v="N"/>
    <n v="55.25865200020754"/>
    <n v="-62744.62"/>
    <n v="1.8080781208431793E-2"/>
    <n v="14"/>
    <n v="193"/>
    <x v="0"/>
    <x v="0"/>
  </r>
  <r>
    <n v="405"/>
    <n v="55"/>
    <n v="250162"/>
    <d v="1999-07-05T00:00:00"/>
    <s v="IL"/>
    <s v="250/500"/>
    <n v="500"/>
    <n v="878.19"/>
    <n v="0"/>
    <n v="441533"/>
    <s v="MALE"/>
    <s v="PhD"/>
    <s v="machine-op-inspct"/>
    <s v="golf"/>
    <s v="unmarried"/>
    <n v="57100"/>
    <n v="0"/>
    <d v="2015-03-01T00:00:00"/>
    <s v="Multi-vehicle Collision"/>
    <s v="Rear Collision"/>
    <s v="Minor Damage"/>
    <s v="Fire"/>
    <x v="5"/>
    <x v="5"/>
    <s v="7236 Apache Lane"/>
    <n v="2"/>
    <n v="4"/>
    <s v="YES"/>
    <n v="0"/>
    <n v="2"/>
    <s v="NO"/>
    <n v="38640"/>
    <n v="4830"/>
    <n v="4830"/>
    <n v="28980"/>
    <s v="Chevrolet"/>
    <s v="Tahoe"/>
    <n v="1997"/>
    <s v="N"/>
    <n v="43.949544467066275"/>
    <n v="-37761.81"/>
    <n v="2.2726896301855544E-2"/>
    <n v="18"/>
    <n v="405"/>
    <x v="0"/>
    <x v="0"/>
  </r>
  <r>
    <n v="435"/>
    <n v="58"/>
    <n v="786432"/>
    <d v="1997-11-15T00:00:00"/>
    <s v="IN"/>
    <s v="100/300"/>
    <n v="2000"/>
    <n v="1145.8499999999999"/>
    <n v="0"/>
    <n v="471784"/>
    <s v="MALE"/>
    <s v="JD"/>
    <s v="sales"/>
    <s v="movies"/>
    <s v="not-in-family"/>
    <n v="0"/>
    <n v="-40000"/>
    <d v="2015-01-10T00:00:00"/>
    <s v="Multi-vehicle Collision"/>
    <s v="Rear Collision"/>
    <s v="Total Loss"/>
    <s v="Other"/>
    <x v="2"/>
    <x v="0"/>
    <s v="3846 4th Hwy"/>
    <n v="19"/>
    <n v="3"/>
    <s v="?"/>
    <n v="1"/>
    <n v="1"/>
    <s v="YES"/>
    <n v="41490"/>
    <n v="9220"/>
    <n v="4610"/>
    <n v="27660"/>
    <s v="Mercedes"/>
    <s v="E400"/>
    <n v="2004"/>
    <s v="N"/>
    <n v="36.177355364694598"/>
    <n v="-40344.15"/>
    <n v="2.7616832566098669E-2"/>
    <n v="11"/>
    <n v="435"/>
    <x v="0"/>
    <x v="0"/>
  </r>
  <r>
    <n v="54"/>
    <n v="35"/>
    <n v="445195"/>
    <d v="2010-09-27T00:00:00"/>
    <s v="IN"/>
    <s v="100/300"/>
    <n v="500"/>
    <n v="1261.28"/>
    <n v="0"/>
    <n v="453265"/>
    <s v="FEMALE"/>
    <s v="MD"/>
    <s v="protective-serv"/>
    <s v="hiking"/>
    <s v="unmarried"/>
    <n v="68500"/>
    <n v="-42100"/>
    <d v="2015-02-25T00:00:00"/>
    <s v="Multi-vehicle Collision"/>
    <s v="Side Collision"/>
    <s v="Minor Damage"/>
    <s v="Fire"/>
    <x v="1"/>
    <x v="3"/>
    <s v="5028 Maple Ridge"/>
    <n v="21"/>
    <n v="3"/>
    <s v="YES"/>
    <n v="2"/>
    <n v="0"/>
    <s v="?"/>
    <n v="79090"/>
    <n v="14380"/>
    <n v="7190"/>
    <n v="57520"/>
    <s v="Nissan"/>
    <s v="Maxima"/>
    <n v="2012"/>
    <s v="N"/>
    <n v="62.656462908388001"/>
    <n v="-77828.72"/>
    <n v="1.5947200060689583E-2"/>
    <n v="3"/>
    <n v="54"/>
    <x v="0"/>
    <x v="0"/>
  </r>
  <r>
    <n v="144"/>
    <n v="35"/>
    <n v="938634"/>
    <d v="1993-08-30T00:00:00"/>
    <s v="IL"/>
    <s v="100/300"/>
    <n v="500"/>
    <n v="1427.46"/>
    <n v="0"/>
    <n v="444922"/>
    <s v="MALE"/>
    <s v="High School"/>
    <s v="machine-op-inspct"/>
    <s v="cross-fit"/>
    <s v="wife"/>
    <n v="0"/>
    <n v="0"/>
    <d v="2015-01-30T00:00:00"/>
    <s v="Multi-vehicle Collision"/>
    <s v="Side Collision"/>
    <s v="Major Damage"/>
    <s v="Police"/>
    <x v="4"/>
    <x v="3"/>
    <s v="7426 Rock Drive"/>
    <n v="3"/>
    <n v="3"/>
    <s v="?"/>
    <n v="0"/>
    <n v="0"/>
    <s v="?"/>
    <n v="87900"/>
    <n v="17580"/>
    <n v="8790"/>
    <n v="61530"/>
    <s v="Dodge"/>
    <s v="Neon"/>
    <n v="1995"/>
    <s v="N"/>
    <n v="61.534799714377719"/>
    <n v="-86472.54"/>
    <n v="1.6239405695043289E-2"/>
    <n v="20"/>
    <n v="144"/>
    <x v="0"/>
    <x v="0"/>
  </r>
  <r>
    <n v="92"/>
    <n v="32"/>
    <n v="482495"/>
    <d v="1998-01-29T00:00:00"/>
    <s v="IL"/>
    <s v="500/1000"/>
    <n v="500"/>
    <n v="1592.41"/>
    <n v="0"/>
    <n v="474324"/>
    <s v="MALE"/>
    <s v="Masters"/>
    <s v="prof-specialty"/>
    <s v="yachting"/>
    <s v="husband"/>
    <n v="58900"/>
    <n v="-29100"/>
    <d v="2015-02-06T00:00:00"/>
    <s v="Single Vehicle Collision"/>
    <s v="Rear Collision"/>
    <s v="Total Loss"/>
    <s v="Ambulance"/>
    <x v="4"/>
    <x v="0"/>
    <s v="5771 Best St"/>
    <n v="22"/>
    <n v="1"/>
    <s v="?"/>
    <n v="2"/>
    <n v="3"/>
    <s v="YES"/>
    <n v="53400"/>
    <n v="5340"/>
    <n v="5340"/>
    <n v="42720"/>
    <s v="Jeep"/>
    <s v="Wrangler"/>
    <n v="1996"/>
    <s v="N"/>
    <n v="33.513031799725113"/>
    <n v="-51807.59"/>
    <n v="2.9819853560794744E-2"/>
    <n v="19"/>
    <n v="92"/>
    <x v="0"/>
    <x v="0"/>
  </r>
  <r>
    <n v="173"/>
    <n v="36"/>
    <n v="796005"/>
    <d v="2007-08-18T00:00:00"/>
    <s v="OH"/>
    <s v="250/500"/>
    <n v="1000"/>
    <n v="1274.6300000000001"/>
    <n v="0"/>
    <n v="441298"/>
    <s v="MALE"/>
    <s v="College"/>
    <s v="machine-op-inspct"/>
    <s v="basketball"/>
    <s v="unmarried"/>
    <n v="51000"/>
    <n v="0"/>
    <d v="2015-02-08T00:00:00"/>
    <s v="Single Vehicle Collision"/>
    <s v="Rear Collision"/>
    <s v="Total Loss"/>
    <s v="Fire"/>
    <x v="0"/>
    <x v="3"/>
    <s v="9818 Cherokee Ave"/>
    <n v="22"/>
    <n v="1"/>
    <s v="YES"/>
    <n v="2"/>
    <n v="3"/>
    <s v="NO"/>
    <n v="52030"/>
    <n v="9460"/>
    <n v="9460"/>
    <n v="33110"/>
    <s v="Accura"/>
    <s v="MDX"/>
    <n v="1995"/>
    <s v="N"/>
    <n v="40.78768922022843"/>
    <n v="-50755.37"/>
    <n v="2.4497511099152429E-2"/>
    <n v="20"/>
    <n v="173"/>
    <x v="0"/>
    <x v="0"/>
  </r>
  <r>
    <n v="436"/>
    <n v="60"/>
    <n v="910604"/>
    <d v="1992-04-14T00:00:00"/>
    <s v="IN"/>
    <s v="250/500"/>
    <n v="500"/>
    <n v="1362.31"/>
    <n v="0"/>
    <n v="446606"/>
    <s v="MALE"/>
    <s v="High School"/>
    <s v="prof-specialty"/>
    <s v="bungie-jumping"/>
    <s v="wife"/>
    <n v="67600"/>
    <n v="-65300"/>
    <d v="2015-01-13T00:00:00"/>
    <s v="Single Vehicle Collision"/>
    <s v="Front Collision"/>
    <s v="Minor Damage"/>
    <s v="Ambulance"/>
    <x v="1"/>
    <x v="2"/>
    <s v="7819 2nd Ave"/>
    <n v="16"/>
    <n v="1"/>
    <s v="NO"/>
    <n v="0"/>
    <n v="2"/>
    <s v="NO"/>
    <n v="82060"/>
    <n v="14920"/>
    <n v="7460"/>
    <n v="59680"/>
    <s v="Saab"/>
    <n v="93"/>
    <n v="2005"/>
    <s v="N"/>
    <n v="60.191739222920688"/>
    <n v="-80697.69"/>
    <n v="1.6601186921923933E-2"/>
    <n v="10"/>
    <n v="436"/>
    <x v="0"/>
    <x v="0"/>
  </r>
  <r>
    <n v="155"/>
    <n v="35"/>
    <n v="327488"/>
    <d v="1993-08-09T00:00:00"/>
    <s v="OH"/>
    <s v="250/500"/>
    <n v="1000"/>
    <n v="919.37"/>
    <n v="0"/>
    <n v="459537"/>
    <s v="FEMALE"/>
    <s v="Associate"/>
    <s v="protective-serv"/>
    <s v="hiking"/>
    <s v="not-in-family"/>
    <n v="83600"/>
    <n v="0"/>
    <d v="2015-01-18T00:00:00"/>
    <s v="Single Vehicle Collision"/>
    <s v="Front Collision"/>
    <s v="Minor Damage"/>
    <s v="Ambulance"/>
    <x v="2"/>
    <x v="6"/>
    <s v="1331 Elm Ridge"/>
    <n v="0"/>
    <n v="1"/>
    <s v="?"/>
    <n v="0"/>
    <n v="3"/>
    <s v="?"/>
    <n v="48360"/>
    <n v="8060"/>
    <n v="8060"/>
    <n v="32240"/>
    <s v="Nissan"/>
    <s v="Maxima"/>
    <n v="1997"/>
    <s v="N"/>
    <n v="52.544085530819125"/>
    <n v="-47440.63"/>
    <n v="1.9010566365459773E-2"/>
    <n v="18"/>
    <n v="155"/>
    <x v="0"/>
    <x v="0"/>
  </r>
  <r>
    <n v="78"/>
    <n v="31"/>
    <n v="715202"/>
    <d v="1991-04-02T00:00:00"/>
    <s v="OH"/>
    <s v="250/500"/>
    <n v="1000"/>
    <n v="1377.23"/>
    <n v="0"/>
    <n v="440757"/>
    <s v="FEMALE"/>
    <s v="Masters"/>
    <s v="armed-forces"/>
    <s v="kayaking"/>
    <s v="unmarried"/>
    <n v="72600"/>
    <n v="0"/>
    <d v="2015-03-01T00:00:00"/>
    <s v="Multi-vehicle Collision"/>
    <s v="Side Collision"/>
    <s v="Minor Damage"/>
    <s v="Other"/>
    <x v="2"/>
    <x v="4"/>
    <s v="9240 Britain Ave"/>
    <n v="1"/>
    <n v="3"/>
    <s v="?"/>
    <n v="2"/>
    <n v="1"/>
    <s v="?"/>
    <n v="52290"/>
    <n v="5810"/>
    <n v="11620"/>
    <n v="34860"/>
    <s v="Nissan"/>
    <s v="Maxima"/>
    <n v="1997"/>
    <s v="N"/>
    <n v="37.939966478744473"/>
    <n v="-50912.77"/>
    <n v="2.6337801916199728E-2"/>
    <n v="18"/>
    <n v="78"/>
    <x v="0"/>
    <x v="0"/>
  </r>
  <r>
    <n v="440"/>
    <n v="57"/>
    <n v="648852"/>
    <d v="2007-03-15T00:00:00"/>
    <s v="IL"/>
    <s v="100/300"/>
    <n v="1000"/>
    <n v="995.55"/>
    <n v="5000000"/>
    <n v="604948"/>
    <s v="MALE"/>
    <s v="College"/>
    <s v="protective-serv"/>
    <s v="paintball"/>
    <s v="wife"/>
    <n v="51500"/>
    <n v="-52100"/>
    <d v="2015-02-02T00:00:00"/>
    <s v="Multi-vehicle Collision"/>
    <s v="Rear Collision"/>
    <s v="Major Damage"/>
    <s v="Police"/>
    <x v="0"/>
    <x v="2"/>
    <s v="6668 Andromedia Ridge"/>
    <n v="19"/>
    <n v="3"/>
    <s v="YES"/>
    <n v="0"/>
    <n v="3"/>
    <s v="?"/>
    <n v="68200"/>
    <n v="12400"/>
    <n v="12400"/>
    <n v="43400"/>
    <s v="Jeep"/>
    <s v="Wrangler"/>
    <n v="2007"/>
    <s v="Y"/>
    <n v="68.436104560734535"/>
    <n v="-67204.45"/>
    <n v="1.4597293294819723E-2"/>
    <n v="8"/>
    <n v="440"/>
    <x v="0"/>
    <x v="0"/>
  </r>
  <r>
    <n v="264"/>
    <n v="43"/>
    <n v="516959"/>
    <d v="2010-05-01T00:00:00"/>
    <s v="IL"/>
    <s v="100/300"/>
    <n v="500"/>
    <n v="1508.12"/>
    <n v="6000000"/>
    <n v="433275"/>
    <s v="MALE"/>
    <s v="PhD"/>
    <s v="craft-repair"/>
    <s v="basketball"/>
    <s v="wife"/>
    <n v="0"/>
    <n v="0"/>
    <d v="2015-01-20T00:00:00"/>
    <s v="Multi-vehicle Collision"/>
    <s v="Rear Collision"/>
    <s v="Major Damage"/>
    <s v="Other"/>
    <x v="2"/>
    <x v="0"/>
    <s v="5276 2nd Lane"/>
    <n v="0"/>
    <n v="3"/>
    <s v="?"/>
    <n v="2"/>
    <n v="1"/>
    <s v="NO"/>
    <n v="60750"/>
    <n v="13500"/>
    <n v="6750"/>
    <n v="40500"/>
    <s v="Jeep"/>
    <s v="Wrangler"/>
    <n v="2015"/>
    <s v="Y"/>
    <n v="40.255248091603058"/>
    <n v="-59241.88"/>
    <n v="2.4824611940544188E-2"/>
    <n v="0"/>
    <n v="264"/>
    <x v="0"/>
    <x v="0"/>
  </r>
  <r>
    <n v="66"/>
    <n v="30"/>
    <n v="984456"/>
    <d v="2003-06-24T00:00:00"/>
    <s v="IN"/>
    <s v="500/1000"/>
    <n v="500"/>
    <n v="484.67"/>
    <n v="0"/>
    <n v="608309"/>
    <s v="FEMALE"/>
    <s v="College"/>
    <s v="adm-clerical"/>
    <s v="paintball"/>
    <s v="wife"/>
    <n v="21100"/>
    <n v="-60800"/>
    <d v="2015-01-24T00:00:00"/>
    <s v="Multi-vehicle Collision"/>
    <s v="Front Collision"/>
    <s v="Major Damage"/>
    <s v="Fire"/>
    <x v="0"/>
    <x v="2"/>
    <s v="2889 Weaver St"/>
    <n v="2"/>
    <n v="3"/>
    <s v="?"/>
    <n v="0"/>
    <n v="2"/>
    <s v="YES"/>
    <n v="65560"/>
    <n v="11920"/>
    <n v="11920"/>
    <n v="41720"/>
    <s v="Volkswagen"/>
    <s v="Passat"/>
    <n v="2015"/>
    <s v="Y"/>
    <n v="134.98877838861779"/>
    <n v="-65075.33"/>
    <n v="7.392657219993594E-3"/>
    <n v="0"/>
    <n v="66"/>
    <x v="0"/>
    <x v="0"/>
  </r>
  <r>
    <n v="366"/>
    <n v="50"/>
    <n v="801331"/>
    <d v="1990-07-08T00:00:00"/>
    <s v="IN"/>
    <s v="500/1000"/>
    <n v="1000"/>
    <n v="1561.41"/>
    <n v="0"/>
    <n v="462767"/>
    <s v="FEMALE"/>
    <s v="High School"/>
    <s v="handlers-cleaners"/>
    <s v="basketball"/>
    <s v="husband"/>
    <n v="21200"/>
    <n v="0"/>
    <d v="2015-01-04T00:00:00"/>
    <s v="Multi-vehicle Collision"/>
    <s v="Rear Collision"/>
    <s v="Minor Damage"/>
    <s v="Police"/>
    <x v="2"/>
    <x v="2"/>
    <s v="1879 4th Lane"/>
    <n v="5"/>
    <n v="3"/>
    <s v="YES"/>
    <n v="1"/>
    <n v="3"/>
    <s v="NO"/>
    <n v="70290"/>
    <n v="12780"/>
    <n v="12780"/>
    <n v="44730"/>
    <s v="Mercedes"/>
    <s v="C300"/>
    <n v="2012"/>
    <s v="N"/>
    <n v="44.988191319820018"/>
    <n v="-68728.59"/>
    <n v="2.2213512398457841E-2"/>
    <n v="3"/>
    <n v="366"/>
    <x v="0"/>
    <x v="0"/>
  </r>
  <r>
    <n v="188"/>
    <n v="37"/>
    <n v="786103"/>
    <d v="1994-09-24T00:00:00"/>
    <s v="OH"/>
    <s v="100/300"/>
    <n v="500"/>
    <n v="1457.21"/>
    <n v="0"/>
    <n v="471785"/>
    <s v="FEMALE"/>
    <s v="JD"/>
    <s v="adm-clerical"/>
    <s v="hiking"/>
    <s v="own-child"/>
    <n v="46300"/>
    <n v="0"/>
    <d v="2015-01-17T00:00:00"/>
    <s v="Single Vehicle Collision"/>
    <s v="Rear Collision"/>
    <s v="Total Loss"/>
    <s v="Ambulance"/>
    <x v="0"/>
    <x v="0"/>
    <s v="5499 Elm Hwy"/>
    <n v="6"/>
    <n v="1"/>
    <s v="?"/>
    <n v="2"/>
    <n v="0"/>
    <s v="YES"/>
    <n v="45000"/>
    <n v="5000"/>
    <n v="5000"/>
    <n v="35000"/>
    <s v="Suburu"/>
    <s v="Forrestor"/>
    <n v="2003"/>
    <s v="N"/>
    <n v="30.859752710514947"/>
    <n v="-43542.79"/>
    <n v="3.2381724850558874E-2"/>
    <n v="12"/>
    <n v="188"/>
    <x v="0"/>
    <x v="0"/>
  </r>
  <r>
    <n v="224"/>
    <n v="39"/>
    <n v="684193"/>
    <d v="2012-06-20T00:00:00"/>
    <s v="IL"/>
    <s v="500/1000"/>
    <n v="1000"/>
    <n v="1128.71"/>
    <n v="0"/>
    <n v="601397"/>
    <s v="FEMALE"/>
    <s v="JD"/>
    <s v="prof-specialty"/>
    <s v="sleeping"/>
    <s v="other-relative"/>
    <n v="0"/>
    <n v="-47100"/>
    <d v="2015-02-04T00:00:00"/>
    <s v="Multi-vehicle Collision"/>
    <s v="Rear Collision"/>
    <s v="Total Loss"/>
    <s v="Fire"/>
    <x v="1"/>
    <x v="1"/>
    <s v="8822 Sky St"/>
    <n v="21"/>
    <n v="3"/>
    <s v="YES"/>
    <n v="2"/>
    <n v="1"/>
    <s v="?"/>
    <n v="61800"/>
    <n v="12360"/>
    <n v="6180"/>
    <n v="43260"/>
    <s v="Suburu"/>
    <s v="Impreza"/>
    <n v="2007"/>
    <s v="N"/>
    <n v="54.704304644554796"/>
    <n v="-60671.29"/>
    <n v="1.8263620329768127E-2"/>
    <n v="8"/>
    <n v="224"/>
    <x v="0"/>
    <x v="0"/>
  </r>
  <r>
    <n v="253"/>
    <n v="46"/>
    <n v="247505"/>
    <d v="2006-04-19T00:00:00"/>
    <s v="IL"/>
    <s v="100/300"/>
    <n v="500"/>
    <n v="1358.2"/>
    <n v="0"/>
    <n v="477636"/>
    <s v="FEMALE"/>
    <s v="MD"/>
    <s v="transport-moving"/>
    <s v="movies"/>
    <s v="husband"/>
    <n v="52900"/>
    <n v="0"/>
    <d v="2015-02-14T00:00:00"/>
    <s v="Multi-vehicle Collision"/>
    <s v="Front Collision"/>
    <s v="Major Damage"/>
    <s v="Ambulance"/>
    <x v="2"/>
    <x v="0"/>
    <s v="4254 Best Ridge"/>
    <n v="11"/>
    <n v="3"/>
    <s v="YES"/>
    <n v="0"/>
    <n v="0"/>
    <s v="NO"/>
    <n v="64570"/>
    <n v="5870"/>
    <n v="11740"/>
    <n v="46960"/>
    <s v="Jeep"/>
    <s v="Wrangler"/>
    <n v="2001"/>
    <s v="N"/>
    <n v="47.505885815185401"/>
    <n v="-63211.8"/>
    <n v="2.1034210404051356E-2"/>
    <n v="14"/>
    <n v="253"/>
    <x v="0"/>
    <x v="0"/>
  </r>
  <r>
    <n v="446"/>
    <n v="61"/>
    <n v="259792"/>
    <d v="1999-04-07T00:00:00"/>
    <s v="IL"/>
    <s v="100/300"/>
    <n v="1000"/>
    <n v="1232.79"/>
    <n v="0"/>
    <n v="441967"/>
    <s v="FEMALE"/>
    <s v="High School"/>
    <s v="adm-clerical"/>
    <s v="reading"/>
    <s v="unmarried"/>
    <n v="49900"/>
    <n v="-62100"/>
    <d v="2015-01-07T00:00:00"/>
    <s v="Single Vehicle Collision"/>
    <s v="Rear Collision"/>
    <s v="Minor Damage"/>
    <s v="Other"/>
    <x v="1"/>
    <x v="3"/>
    <s v="5812 Weaver Ave"/>
    <n v="3"/>
    <n v="1"/>
    <s v="YES"/>
    <n v="2"/>
    <n v="0"/>
    <s v="YES"/>
    <n v="70500"/>
    <n v="7050"/>
    <n v="14100"/>
    <n v="49350"/>
    <s v="Suburu"/>
    <s v="Forrestor"/>
    <n v="2007"/>
    <s v="N"/>
    <n v="57.141004546965043"/>
    <n v="-69267.210000000006"/>
    <n v="1.7486134948440448E-2"/>
    <n v="8"/>
    <n v="446"/>
    <x v="0"/>
    <x v="0"/>
  </r>
  <r>
    <n v="169"/>
    <n v="37"/>
    <n v="185124"/>
    <d v="2001-12-07T00:00:00"/>
    <s v="IL"/>
    <s v="100/300"/>
    <n v="1000"/>
    <n v="936.19"/>
    <n v="0"/>
    <n v="454776"/>
    <s v="MALE"/>
    <s v="JD"/>
    <s v="armed-forces"/>
    <s v="movies"/>
    <s v="other-relative"/>
    <n v="70600"/>
    <n v="-48500"/>
    <d v="2015-02-02T00:00:00"/>
    <s v="Multi-vehicle Collision"/>
    <s v="Side Collision"/>
    <s v="Total Loss"/>
    <s v="Police"/>
    <x v="0"/>
    <x v="6"/>
    <s v="7155 Apache Drive"/>
    <n v="4"/>
    <n v="3"/>
    <s v="?"/>
    <n v="2"/>
    <n v="1"/>
    <s v="YES"/>
    <n v="57900"/>
    <n v="17370"/>
    <n v="5790"/>
    <n v="34740"/>
    <s v="Audi"/>
    <s v="A5"/>
    <n v="2005"/>
    <s v="N"/>
    <n v="61.780428728432867"/>
    <n v="-56963.81"/>
    <n v="1.6168805374691283E-2"/>
    <n v="10"/>
    <n v="169"/>
    <x v="0"/>
    <x v="0"/>
  </r>
  <r>
    <n v="255"/>
    <n v="46"/>
    <n v="760700"/>
    <d v="2006-11-25T00:00:00"/>
    <s v="IL"/>
    <s v="250/500"/>
    <n v="500"/>
    <n v="1302.3399999999999"/>
    <n v="0"/>
    <n v="431532"/>
    <s v="FEMALE"/>
    <s v="JD"/>
    <s v="prof-specialty"/>
    <s v="video-games"/>
    <s v="own-child"/>
    <n v="0"/>
    <n v="-52600"/>
    <d v="2015-01-12T00:00:00"/>
    <s v="Multi-vehicle Collision"/>
    <s v="Front Collision"/>
    <s v="Minor Damage"/>
    <s v="Fire"/>
    <x v="4"/>
    <x v="6"/>
    <s v="1376 Pine St"/>
    <n v="2"/>
    <n v="3"/>
    <s v="NO"/>
    <n v="1"/>
    <n v="0"/>
    <s v="NO"/>
    <n v="57860"/>
    <n v="5260"/>
    <n v="10520"/>
    <n v="42080"/>
    <s v="Volkswagen"/>
    <s v="Jetta"/>
    <n v="2011"/>
    <s v="N"/>
    <n v="44.393634815167189"/>
    <n v="-56557.66"/>
    <n v="2.2508079708266363E-2"/>
    <n v="4"/>
    <n v="255"/>
    <x v="0"/>
    <x v="0"/>
  </r>
  <r>
    <n v="209"/>
    <n v="39"/>
    <n v="362407"/>
    <d v="1996-12-06T00:00:00"/>
    <s v="IN"/>
    <s v="100/300"/>
    <n v="500"/>
    <n v="1264.99"/>
    <n v="0"/>
    <n v="614169"/>
    <s v="MALE"/>
    <s v="PhD"/>
    <s v="transport-moving"/>
    <s v="polo"/>
    <s v="husband"/>
    <n v="67800"/>
    <n v="0"/>
    <d v="2015-01-01T00:00:00"/>
    <s v="Single Vehicle Collision"/>
    <s v="Side Collision"/>
    <s v="Minor Damage"/>
    <s v="Fire"/>
    <x v="1"/>
    <x v="6"/>
    <s v="3340 3rd Hwy"/>
    <n v="22"/>
    <n v="1"/>
    <s v="?"/>
    <n v="1"/>
    <n v="1"/>
    <s v="NO"/>
    <n v="37800"/>
    <n v="8400"/>
    <n v="4200"/>
    <n v="25200"/>
    <s v="Chevrolet"/>
    <s v="Silverado"/>
    <n v="1995"/>
    <s v="N"/>
    <n v="29.858055750835316"/>
    <n v="-36535.01"/>
    <n v="3.3464458612206024E-2"/>
    <n v="20"/>
    <n v="209"/>
    <x v="0"/>
    <x v="0"/>
  </r>
  <r>
    <n v="210"/>
    <n v="37"/>
    <n v="389525"/>
    <d v="2012-07-10T00:00:00"/>
    <s v="OH"/>
    <s v="500/1000"/>
    <n v="500"/>
    <n v="1467.76"/>
    <n v="0"/>
    <n v="601425"/>
    <s v="FEMALE"/>
    <s v="MD"/>
    <s v="tech-support"/>
    <s v="hiking"/>
    <s v="own-child"/>
    <n v="38700"/>
    <n v="-33100"/>
    <d v="2015-02-22T00:00:00"/>
    <s v="Single Vehicle Collision"/>
    <s v="Front Collision"/>
    <s v="Total Loss"/>
    <s v="Ambulance"/>
    <x v="2"/>
    <x v="5"/>
    <s v="3097 4th Drive"/>
    <n v="8"/>
    <n v="1"/>
    <s v="?"/>
    <n v="1"/>
    <n v="3"/>
    <s v="YES"/>
    <n v="63300"/>
    <n v="6330"/>
    <n v="6330"/>
    <n v="50640"/>
    <s v="Toyota"/>
    <s v="Highlander"/>
    <n v="2000"/>
    <s v="N"/>
    <n v="43.097578910101035"/>
    <n v="-61832.24"/>
    <n v="2.3186995466106381E-2"/>
    <n v="15"/>
    <n v="210"/>
    <x v="0"/>
    <x v="0"/>
  </r>
  <r>
    <n v="174"/>
    <n v="33"/>
    <n v="179538"/>
    <d v="2014-04-07T00:00:00"/>
    <s v="IN"/>
    <s v="250/500"/>
    <n v="2000"/>
    <n v="1124.43"/>
    <n v="0"/>
    <n v="477346"/>
    <s v="FEMALE"/>
    <s v="College"/>
    <s v="farming-fishing"/>
    <s v="paintball"/>
    <s v="own-child"/>
    <n v="0"/>
    <n v="0"/>
    <d v="2015-01-16T00:00:00"/>
    <s v="Multi-vehicle Collision"/>
    <s v="Rear Collision"/>
    <s v="Total Loss"/>
    <s v="Ambulance"/>
    <x v="4"/>
    <x v="6"/>
    <s v="1916 Elm St"/>
    <n v="14"/>
    <n v="3"/>
    <s v="YES"/>
    <n v="0"/>
    <n v="1"/>
    <s v="YES"/>
    <n v="44200"/>
    <n v="8840"/>
    <n v="4420"/>
    <n v="30940"/>
    <s v="Saab"/>
    <n v="93"/>
    <n v="1995"/>
    <s v="N"/>
    <n v="39.273877540140212"/>
    <n v="-43075.57"/>
    <n v="2.5439017216805051E-2"/>
    <n v="20"/>
    <n v="174"/>
    <x v="0"/>
    <x v="0"/>
  </r>
  <r>
    <n v="70"/>
    <n v="28"/>
    <n v="265437"/>
    <d v="2003-10-11T00:00:00"/>
    <s v="IL"/>
    <s v="250/500"/>
    <n v="1000"/>
    <n v="1319.81"/>
    <n v="0"/>
    <n v="613587"/>
    <s v="MALE"/>
    <s v="High School"/>
    <s v="machine-op-inspct"/>
    <s v="yachting"/>
    <s v="husband"/>
    <n v="67200"/>
    <n v="-59400"/>
    <d v="2015-01-28T00:00:00"/>
    <s v="Multi-vehicle Collision"/>
    <s v="Side Collision"/>
    <s v="Minor Damage"/>
    <s v="Police"/>
    <x v="4"/>
    <x v="2"/>
    <s v="8917 Cherokee Lane"/>
    <n v="14"/>
    <n v="4"/>
    <s v="NO"/>
    <n v="1"/>
    <n v="0"/>
    <s v="YES"/>
    <n v="31680"/>
    <n v="3520"/>
    <n v="3520"/>
    <n v="24640"/>
    <s v="Toyota"/>
    <s v="Camry"/>
    <n v="2006"/>
    <s v="N"/>
    <n v="23.985281758920664"/>
    <n v="-30360.19"/>
    <n v="4.1659354187052175E-2"/>
    <n v="9"/>
    <n v="70"/>
    <x v="0"/>
    <x v="0"/>
  </r>
  <r>
    <n v="89"/>
    <n v="32"/>
    <n v="266247"/>
    <d v="2015-01-17T00:00:00"/>
    <s v="IN"/>
    <s v="100/300"/>
    <n v="2000"/>
    <n v="1482.53"/>
    <n v="0"/>
    <n v="620358"/>
    <s v="FEMALE"/>
    <s v="MD"/>
    <s v="tech-support"/>
    <s v="kayaking"/>
    <s v="not-in-family"/>
    <n v="49100"/>
    <n v="-45100"/>
    <d v="2015-01-23T00:00:00"/>
    <s v="Parked Car"/>
    <s v="?"/>
    <s v="Trivial Damage"/>
    <s v="Police"/>
    <x v="4"/>
    <x v="6"/>
    <s v="8492 Weaver Hwy"/>
    <n v="5"/>
    <n v="1"/>
    <s v="YES"/>
    <n v="1"/>
    <n v="2"/>
    <s v="?"/>
    <n v="100"/>
    <n v="10"/>
    <n v="20"/>
    <n v="70"/>
    <s v="Audi"/>
    <s v="A3"/>
    <n v="2002"/>
    <s v="N"/>
    <n v="6.7406793256624409E-2"/>
    <n v="1382.53"/>
    <n v="14.678514851485149"/>
    <n v="13"/>
    <n v="89"/>
    <x v="1"/>
    <x v="2"/>
  </r>
  <r>
    <n v="458"/>
    <n v="61"/>
    <n v="921851"/>
    <d v="1992-12-07T00:00:00"/>
    <s v="IN"/>
    <s v="100/300"/>
    <n v="1000"/>
    <n v="1328.18"/>
    <n v="0"/>
    <n v="617699"/>
    <s v="FEMALE"/>
    <s v="High School"/>
    <s v="protective-serv"/>
    <s v="bungie-jumping"/>
    <s v="other-relative"/>
    <n v="53000"/>
    <n v="0"/>
    <d v="2015-02-25T00:00:00"/>
    <s v="Single Vehicle Collision"/>
    <s v="Front Collision"/>
    <s v="Minor Damage"/>
    <s v="Fire"/>
    <x v="4"/>
    <x v="0"/>
    <s v="3753 Francis Lane"/>
    <n v="18"/>
    <n v="1"/>
    <s v="NO"/>
    <n v="2"/>
    <n v="1"/>
    <s v="NO"/>
    <n v="56340"/>
    <n v="6260"/>
    <n v="6260"/>
    <n v="43820"/>
    <s v="Volkswagen"/>
    <s v="Passat"/>
    <n v="2003"/>
    <s v="N"/>
    <n v="42.38703561594366"/>
    <n v="-55011.82"/>
    <n v="2.3573951474059746E-2"/>
    <n v="12"/>
    <n v="458"/>
    <x v="0"/>
    <x v="0"/>
  </r>
  <r>
    <n v="239"/>
    <n v="40"/>
    <n v="488724"/>
    <d v="2004-11-29T00:00:00"/>
    <s v="IN"/>
    <s v="100/300"/>
    <n v="500"/>
    <n v="1463.95"/>
    <n v="0"/>
    <n v="430567"/>
    <s v="FEMALE"/>
    <s v="JD"/>
    <s v="sales"/>
    <s v="skydiving"/>
    <s v="own-child"/>
    <n v="0"/>
    <n v="0"/>
    <d v="2015-02-11T00:00:00"/>
    <s v="Multi-vehicle Collision"/>
    <s v="Rear Collision"/>
    <s v="Total Loss"/>
    <s v="Police"/>
    <x v="5"/>
    <x v="3"/>
    <s v="4545 4th Ridge"/>
    <n v="20"/>
    <n v="3"/>
    <s v="?"/>
    <n v="0"/>
    <n v="0"/>
    <s v="YES"/>
    <n v="69740"/>
    <n v="6340"/>
    <n v="6340"/>
    <n v="57060"/>
    <s v="Dodge"/>
    <s v="Neon"/>
    <n v="2003"/>
    <s v="N"/>
    <n v="47.605720331751932"/>
    <n v="-68276.05"/>
    <n v="2.099123901291923E-2"/>
    <n v="12"/>
    <n v="239"/>
    <x v="0"/>
    <x v="0"/>
  </r>
  <r>
    <n v="161"/>
    <n v="38"/>
    <n v="192524"/>
    <d v="2004-01-02T00:00:00"/>
    <s v="IL"/>
    <s v="100/300"/>
    <n v="2000"/>
    <n v="1133.8499999999999"/>
    <n v="0"/>
    <n v="439870"/>
    <s v="MALE"/>
    <s v="PhD"/>
    <s v="priv-house-serv"/>
    <s v="exercise"/>
    <s v="not-in-family"/>
    <n v="60200"/>
    <n v="0"/>
    <d v="2015-01-03T00:00:00"/>
    <s v="Multi-vehicle Collision"/>
    <s v="Front Collision"/>
    <s v="Total Loss"/>
    <s v="Police"/>
    <x v="4"/>
    <x v="3"/>
    <s v="2272 Embaracadero Drive"/>
    <n v="0"/>
    <n v="3"/>
    <s v="YES"/>
    <n v="2"/>
    <n v="2"/>
    <s v="YES"/>
    <n v="60480"/>
    <n v="5040"/>
    <n v="15120"/>
    <n v="40320"/>
    <s v="Volkswagen"/>
    <s v="Jetta"/>
    <n v="2003"/>
    <s v="N"/>
    <n v="53.29338679120589"/>
    <n v="-59346.15"/>
    <n v="1.8747209867561711E-2"/>
    <n v="12"/>
    <n v="161"/>
    <x v="0"/>
    <x v="0"/>
  </r>
  <r>
    <n v="446"/>
    <n v="61"/>
    <n v="338070"/>
    <d v="2006-01-25T00:00:00"/>
    <s v="IN"/>
    <s v="500/1000"/>
    <n v="1000"/>
    <n v="1037.32"/>
    <n v="0"/>
    <n v="438837"/>
    <s v="FEMALE"/>
    <s v="High School"/>
    <s v="tech-support"/>
    <s v="skydiving"/>
    <s v="wife"/>
    <n v="0"/>
    <n v="-15700"/>
    <d v="2015-01-30T00:00:00"/>
    <s v="Multi-vehicle Collision"/>
    <s v="Rear Collision"/>
    <s v="Minor Damage"/>
    <s v="Police"/>
    <x v="5"/>
    <x v="4"/>
    <s v="5341 5th Ave"/>
    <n v="1"/>
    <n v="3"/>
    <s v="?"/>
    <n v="2"/>
    <n v="1"/>
    <s v="NO"/>
    <n v="80880"/>
    <n v="6740"/>
    <n v="13480"/>
    <n v="60660"/>
    <s v="Nissan"/>
    <s v="Ultima"/>
    <n v="2005"/>
    <s v="N"/>
    <n v="77.895061252792985"/>
    <n v="-79842.679999999993"/>
    <n v="1.2825261804379273E-2"/>
    <n v="10"/>
    <n v="446"/>
    <x v="0"/>
    <x v="0"/>
  </r>
  <r>
    <n v="476"/>
    <n v="61"/>
    <n v="865607"/>
    <d v="1993-04-18T00:00:00"/>
    <s v="IN"/>
    <s v="250/500"/>
    <n v="1000"/>
    <n v="1562.8"/>
    <n v="0"/>
    <n v="458997"/>
    <s v="FEMALE"/>
    <s v="Masters"/>
    <s v="handlers-cleaners"/>
    <s v="dancing"/>
    <s v="not-in-family"/>
    <n v="42800"/>
    <n v="-68200"/>
    <d v="2015-01-18T00:00:00"/>
    <s v="Single Vehicle Collision"/>
    <s v="Front Collision"/>
    <s v="Total Loss"/>
    <s v="Fire"/>
    <x v="4"/>
    <x v="4"/>
    <s v="7745 Washington Ridge"/>
    <n v="10"/>
    <n v="1"/>
    <s v="?"/>
    <n v="1"/>
    <n v="2"/>
    <s v="YES"/>
    <n v="49390"/>
    <n v="8980"/>
    <n v="4490"/>
    <n v="35920"/>
    <s v="Suburu"/>
    <s v="Legacy"/>
    <n v="2009"/>
    <s v="N"/>
    <n v="31.583322675533957"/>
    <n v="-47827.199999999997"/>
    <n v="3.1641392156465754E-2"/>
    <n v="6"/>
    <n v="476"/>
    <x v="0"/>
    <x v="0"/>
  </r>
  <r>
    <n v="70"/>
    <n v="29"/>
    <n v="963285"/>
    <d v="2006-12-09T00:00:00"/>
    <s v="IN"/>
    <s v="100/300"/>
    <n v="1000"/>
    <n v="1425.79"/>
    <n v="0"/>
    <n v="604147"/>
    <s v="FEMALE"/>
    <s v="MD"/>
    <s v="armed-forces"/>
    <s v="video-games"/>
    <s v="other-relative"/>
    <n v="62400"/>
    <n v="-52300"/>
    <d v="2015-01-04T00:00:00"/>
    <s v="Single Vehicle Collision"/>
    <s v="Front Collision"/>
    <s v="Minor Damage"/>
    <s v="Ambulance"/>
    <x v="5"/>
    <x v="1"/>
    <s v="1275 4th Ridge"/>
    <n v="12"/>
    <n v="1"/>
    <s v="NO"/>
    <n v="0"/>
    <n v="3"/>
    <s v="?"/>
    <n v="69360"/>
    <n v="11560"/>
    <n v="11560"/>
    <n v="46240"/>
    <s v="Dodge"/>
    <s v="RAM"/>
    <n v="2009"/>
    <s v="N"/>
    <n v="48.612619937061517"/>
    <n v="-67934.210000000006"/>
    <n v="2.0556076181139256E-2"/>
    <n v="6"/>
    <n v="70"/>
    <x v="0"/>
    <x v="0"/>
  </r>
  <r>
    <n v="233"/>
    <n v="41"/>
    <n v="728491"/>
    <d v="1997-08-30T00:00:00"/>
    <s v="OH"/>
    <s v="500/1000"/>
    <n v="2000"/>
    <n v="1615.14"/>
    <n v="0"/>
    <n v="606638"/>
    <s v="FEMALE"/>
    <s v="Associate"/>
    <s v="tech-support"/>
    <s v="board-games"/>
    <s v="other-relative"/>
    <n v="67100"/>
    <n v="0"/>
    <d v="2015-01-20T00:00:00"/>
    <s v="Vehicle Theft"/>
    <s v="?"/>
    <s v="Minor Damage"/>
    <s v="None"/>
    <x v="2"/>
    <x v="3"/>
    <s v="4857 Weaver St"/>
    <n v="6"/>
    <n v="1"/>
    <s v="NO"/>
    <n v="0"/>
    <n v="1"/>
    <s v="?"/>
    <n v="3740"/>
    <n v="680"/>
    <n v="680"/>
    <n v="2380"/>
    <s v="Chevrolet"/>
    <s v="Malibu"/>
    <n v="2011"/>
    <s v="N"/>
    <n v="2.3141559518358559"/>
    <n v="-2124.8599999999997"/>
    <n v="0.43174017642341622"/>
    <n v="4"/>
    <n v="233"/>
    <x v="1"/>
    <x v="1"/>
  </r>
  <r>
    <n v="122"/>
    <n v="33"/>
    <n v="553436"/>
    <d v="1991-06-03T00:00:00"/>
    <s v="IL"/>
    <s v="250/500"/>
    <n v="500"/>
    <n v="1236.5"/>
    <n v="0"/>
    <n v="619620"/>
    <s v="MALE"/>
    <s v="PhD"/>
    <s v="other-service"/>
    <s v="bungie-jumping"/>
    <s v="husband"/>
    <n v="0"/>
    <n v="-48700"/>
    <d v="2015-02-12T00:00:00"/>
    <s v="Parked Car"/>
    <s v="?"/>
    <s v="Trivial Damage"/>
    <s v="None"/>
    <x v="2"/>
    <x v="4"/>
    <s v="8211 Sky Hwy"/>
    <n v="1"/>
    <n v="1"/>
    <s v="NO"/>
    <n v="0"/>
    <n v="1"/>
    <s v="NO"/>
    <n v="5060"/>
    <n v="460"/>
    <n v="920"/>
    <n v="3680"/>
    <s v="Nissan"/>
    <s v="Ultima"/>
    <n v="2003"/>
    <s v="N"/>
    <n v="4.0888888888888886"/>
    <n v="-3823.5"/>
    <n v="0.24431930448527958"/>
    <n v="12"/>
    <n v="122"/>
    <x v="1"/>
    <x v="1"/>
  </r>
  <r>
    <n v="335"/>
    <n v="48"/>
    <n v="440616"/>
    <d v="1995-09-06T00:00:00"/>
    <s v="IL"/>
    <s v="500/1000"/>
    <n v="2000"/>
    <n v="1017.97"/>
    <n v="0"/>
    <n v="441671"/>
    <s v="FEMALE"/>
    <s v="MD"/>
    <s v="machine-op-inspct"/>
    <s v="chess"/>
    <s v="wife"/>
    <n v="59900"/>
    <n v="-34800"/>
    <d v="2015-02-19T00:00:00"/>
    <s v="Multi-vehicle Collision"/>
    <s v="Front Collision"/>
    <s v="Total Loss"/>
    <s v="Police"/>
    <x v="4"/>
    <x v="0"/>
    <s v="8617 Best Ave"/>
    <n v="21"/>
    <n v="3"/>
    <s v="NO"/>
    <n v="0"/>
    <n v="0"/>
    <s v="YES"/>
    <n v="35860"/>
    <n v="3260"/>
    <n v="6520"/>
    <n v="26080"/>
    <s v="BMW"/>
    <s v="X5"/>
    <n v="2005"/>
    <s v="Y"/>
    <n v="35.192400168797903"/>
    <n v="-34842.03"/>
    <n v="2.8386548060567191E-2"/>
    <n v="10"/>
    <n v="335"/>
    <x v="0"/>
    <x v="0"/>
  </r>
  <r>
    <n v="257"/>
    <n v="40"/>
    <n v="463237"/>
    <d v="2000-02-09T00:00:00"/>
    <s v="IN"/>
    <s v="100/300"/>
    <n v="2000"/>
    <n v="1306"/>
    <n v="0"/>
    <n v="610381"/>
    <s v="MALE"/>
    <s v="Associate"/>
    <s v="machine-op-inspct"/>
    <s v="cross-fit"/>
    <s v="husband"/>
    <n v="46100"/>
    <n v="-46900"/>
    <d v="2015-02-21T00:00:00"/>
    <s v="Multi-vehicle Collision"/>
    <s v="Front Collision"/>
    <s v="Major Damage"/>
    <s v="Ambulance"/>
    <x v="2"/>
    <x v="0"/>
    <s v="9856 Apache St"/>
    <n v="3"/>
    <n v="3"/>
    <s v="YES"/>
    <n v="2"/>
    <n v="1"/>
    <s v="?"/>
    <n v="50050"/>
    <n v="7700"/>
    <n v="3850"/>
    <n v="38500"/>
    <s v="Ford"/>
    <s v="Fusion"/>
    <n v="2008"/>
    <s v="Y"/>
    <n v="38.293802601377202"/>
    <n v="-48744"/>
    <n v="2.6093384747557492E-2"/>
    <n v="7"/>
    <n v="257"/>
    <x v="0"/>
    <x v="0"/>
  </r>
  <r>
    <n v="85"/>
    <n v="27"/>
    <n v="753452"/>
    <d v="1996-07-23T00:00:00"/>
    <s v="IL"/>
    <s v="500/1000"/>
    <n v="2000"/>
    <n v="1174.1400000000001"/>
    <n v="0"/>
    <n v="602416"/>
    <s v="MALE"/>
    <s v="College"/>
    <s v="priv-house-serv"/>
    <s v="dancing"/>
    <s v="unmarried"/>
    <n v="50400"/>
    <n v="-61500"/>
    <d v="2015-02-02T00:00:00"/>
    <s v="Multi-vehicle Collision"/>
    <s v="Rear Collision"/>
    <s v="Minor Damage"/>
    <s v="Fire"/>
    <x v="2"/>
    <x v="5"/>
    <s v="1951 Best Ave"/>
    <n v="14"/>
    <n v="4"/>
    <s v="YES"/>
    <n v="0"/>
    <n v="0"/>
    <s v="NO"/>
    <n v="59070"/>
    <n v="10740"/>
    <n v="5370"/>
    <n v="42960"/>
    <s v="Toyota"/>
    <s v="Camry"/>
    <n v="2012"/>
    <s v="N"/>
    <n v="50.266351243256118"/>
    <n v="-57895.86"/>
    <n v="1.9876758477086896E-2"/>
    <n v="3"/>
    <n v="85"/>
    <x v="0"/>
    <x v="0"/>
  </r>
  <r>
    <n v="133"/>
    <n v="30"/>
    <n v="920554"/>
    <d v="2005-09-21T00:00:00"/>
    <s v="IN"/>
    <s v="500/1000"/>
    <n v="1000"/>
    <n v="1231.01"/>
    <n v="0"/>
    <n v="459562"/>
    <s v="MALE"/>
    <s v="College"/>
    <s v="adm-clerical"/>
    <s v="board-games"/>
    <s v="husband"/>
    <n v="0"/>
    <n v="-31700"/>
    <d v="2015-02-01T00:00:00"/>
    <s v="Multi-vehicle Collision"/>
    <s v="Front Collision"/>
    <s v="Minor Damage"/>
    <s v="Fire"/>
    <x v="0"/>
    <x v="1"/>
    <s v="1824 5th Lane"/>
    <n v="19"/>
    <n v="3"/>
    <s v="NO"/>
    <n v="1"/>
    <n v="2"/>
    <s v="?"/>
    <n v="28440"/>
    <n v="3160"/>
    <n v="3160"/>
    <n v="22120"/>
    <s v="Dodge"/>
    <s v="Neon"/>
    <n v="2007"/>
    <s v="N"/>
    <n v="23.084228212433342"/>
    <n v="-27208.99"/>
    <n v="4.3282936605604581E-2"/>
    <n v="8"/>
    <n v="133"/>
    <x v="0"/>
    <x v="0"/>
  </r>
  <r>
    <n v="119"/>
    <n v="34"/>
    <n v="594783"/>
    <d v="2011-12-30T00:00:00"/>
    <s v="IL"/>
    <s v="250/500"/>
    <n v="500"/>
    <n v="1299.18"/>
    <n v="0"/>
    <n v="463271"/>
    <s v="FEMALE"/>
    <s v="College"/>
    <s v="tech-support"/>
    <s v="hiking"/>
    <s v="wife"/>
    <n v="57100"/>
    <n v="0"/>
    <d v="2015-01-08T00:00:00"/>
    <s v="Single Vehicle Collision"/>
    <s v="Front Collision"/>
    <s v="Major Damage"/>
    <s v="Fire"/>
    <x v="3"/>
    <x v="3"/>
    <s v="7393 Washington St"/>
    <n v="7"/>
    <n v="1"/>
    <s v="YES"/>
    <n v="2"/>
    <n v="1"/>
    <s v="YES"/>
    <n v="45540"/>
    <n v="8280"/>
    <n v="8280"/>
    <n v="28980"/>
    <s v="Honda"/>
    <s v="Civic"/>
    <n v="1998"/>
    <s v="Y"/>
    <n v="35.025919488070883"/>
    <n v="-44240.82"/>
    <n v="2.8527700314002768E-2"/>
    <n v="17"/>
    <n v="119"/>
    <x v="0"/>
    <x v="0"/>
  </r>
  <r>
    <n v="169"/>
    <n v="34"/>
    <n v="725330"/>
    <d v="1996-07-21T00:00:00"/>
    <s v="IN"/>
    <s v="100/300"/>
    <n v="500"/>
    <n v="1469.75"/>
    <n v="0"/>
    <n v="458132"/>
    <s v="FEMALE"/>
    <s v="JD"/>
    <s v="sales"/>
    <s v="reading"/>
    <s v="not-in-family"/>
    <n v="0"/>
    <n v="-57600"/>
    <d v="2015-01-16T00:00:00"/>
    <s v="Single Vehicle Collision"/>
    <s v="Rear Collision"/>
    <s v="Minor Damage"/>
    <s v="Fire"/>
    <x v="1"/>
    <x v="2"/>
    <s v="1386 Britain St"/>
    <n v="0"/>
    <n v="1"/>
    <s v="?"/>
    <n v="0"/>
    <n v="0"/>
    <s v="YES"/>
    <n v="38700"/>
    <n v="7740"/>
    <n v="3870"/>
    <n v="27090"/>
    <s v="Volkswagen"/>
    <s v="Passat"/>
    <n v="2012"/>
    <s v="N"/>
    <n v="26.313105558388578"/>
    <n v="-37230.25"/>
    <n v="3.797705485646366E-2"/>
    <n v="3"/>
    <n v="169"/>
    <x v="0"/>
    <x v="0"/>
  </r>
  <r>
    <n v="225"/>
    <n v="39"/>
    <n v="607259"/>
    <d v="1996-04-08T00:00:00"/>
    <s v="OH"/>
    <s v="250/500"/>
    <n v="500"/>
    <n v="1390.72"/>
    <n v="0"/>
    <n v="448949"/>
    <s v="MALE"/>
    <s v="Masters"/>
    <s v="tech-support"/>
    <s v="paintball"/>
    <s v="other-relative"/>
    <n v="83900"/>
    <n v="-52100"/>
    <d v="2015-02-20T00:00:00"/>
    <s v="Parked Car"/>
    <s v="?"/>
    <s v="Trivial Damage"/>
    <s v="None"/>
    <x v="0"/>
    <x v="6"/>
    <s v="7928 Maple Ridge"/>
    <n v="6"/>
    <n v="1"/>
    <s v="YES"/>
    <n v="2"/>
    <n v="1"/>
    <s v="YES"/>
    <n v="5830"/>
    <n v="1060"/>
    <n v="530"/>
    <n v="4240"/>
    <s v="Nissan"/>
    <s v="Pathfinder"/>
    <n v="2011"/>
    <s v="N"/>
    <n v="4.1890610180208663"/>
    <n v="-4439.28"/>
    <n v="0.23850454467501286"/>
    <n v="4"/>
    <n v="225"/>
    <x v="1"/>
    <x v="1"/>
  </r>
  <r>
    <n v="84"/>
    <n v="32"/>
    <n v="979336"/>
    <d v="2001-03-04T00:00:00"/>
    <s v="IL"/>
    <s v="500/1000"/>
    <n v="500"/>
    <n v="1694.09"/>
    <n v="7000000"/>
    <n v="603732"/>
    <s v="FEMALE"/>
    <s v="Associate"/>
    <s v="prof-specialty"/>
    <s v="cross-fit"/>
    <s v="husband"/>
    <n v="0"/>
    <n v="0"/>
    <d v="2015-01-30T00:00:00"/>
    <s v="Single Vehicle Collision"/>
    <s v="Rear Collision"/>
    <s v="Total Loss"/>
    <s v="Other"/>
    <x v="2"/>
    <x v="5"/>
    <s v="1546 Cherokee Ave"/>
    <n v="0"/>
    <n v="1"/>
    <s v="YES"/>
    <n v="0"/>
    <n v="2"/>
    <s v="?"/>
    <n v="57240"/>
    <n v="4770"/>
    <n v="9540"/>
    <n v="42930"/>
    <s v="BMW"/>
    <s v="X6"/>
    <n v="1995"/>
    <s v="Y"/>
    <n v="33.768118506981935"/>
    <n v="-55545.91"/>
    <n v="2.9595744309149036E-2"/>
    <n v="20"/>
    <n v="84"/>
    <x v="0"/>
    <x v="0"/>
  </r>
  <r>
    <n v="169"/>
    <n v="39"/>
    <n v="865201"/>
    <d v="2001-10-19T00:00:00"/>
    <s v="OH"/>
    <s v="100/300"/>
    <n v="2000"/>
    <n v="1140.1500000000001"/>
    <n v="0"/>
    <n v="608929"/>
    <s v="MALE"/>
    <s v="High School"/>
    <s v="armed-forces"/>
    <s v="exercise"/>
    <s v="husband"/>
    <n v="0"/>
    <n v="-36800"/>
    <d v="2015-01-19T00:00:00"/>
    <s v="Multi-vehicle Collision"/>
    <s v="Rear Collision"/>
    <s v="Total Loss"/>
    <s v="Police"/>
    <x v="1"/>
    <x v="1"/>
    <s v="2003 2nd Hwy"/>
    <n v="9"/>
    <n v="3"/>
    <s v="YES"/>
    <n v="0"/>
    <n v="3"/>
    <s v="NO"/>
    <n v="46200"/>
    <n v="4200"/>
    <n v="8400"/>
    <n v="33600"/>
    <s v="Suburu"/>
    <s v="Legacy"/>
    <n v="2015"/>
    <s v="N"/>
    <n v="40.485475178547951"/>
    <n v="-45059.85"/>
    <n v="2.4678037271920524E-2"/>
    <n v="0"/>
    <n v="169"/>
    <x v="0"/>
    <x v="0"/>
  </r>
  <r>
    <n v="124"/>
    <n v="32"/>
    <n v="140977"/>
    <d v="2006-08-18T00:00:00"/>
    <s v="IN"/>
    <s v="100/300"/>
    <n v="1000"/>
    <n v="1310.71"/>
    <n v="0"/>
    <n v="469875"/>
    <s v="FEMALE"/>
    <s v="Masters"/>
    <s v="farming-fishing"/>
    <s v="kayaking"/>
    <s v="wife"/>
    <n v="29300"/>
    <n v="0"/>
    <d v="2015-02-25T00:00:00"/>
    <s v="Single Vehicle Collision"/>
    <s v="Side Collision"/>
    <s v="Total Loss"/>
    <s v="Ambulance"/>
    <x v="2"/>
    <x v="0"/>
    <s v="9418 5th Hwy"/>
    <n v="23"/>
    <n v="1"/>
    <s v="YES"/>
    <n v="0"/>
    <n v="1"/>
    <s v="NO"/>
    <n v="57700"/>
    <n v="5770"/>
    <n v="5770"/>
    <n v="46160"/>
    <s v="Toyota"/>
    <s v="Camry"/>
    <n v="2003"/>
    <s v="N"/>
    <n v="43.988381578245189"/>
    <n v="-56389.29"/>
    <n v="2.2715550857004212E-2"/>
    <n v="12"/>
    <n v="124"/>
    <x v="0"/>
    <x v="0"/>
  </r>
  <r>
    <n v="320"/>
    <n v="48"/>
    <n v="787351"/>
    <d v="2013-04-28T00:00:00"/>
    <s v="IL"/>
    <s v="250/500"/>
    <n v="2000"/>
    <n v="1730.49"/>
    <n v="7000000"/>
    <n v="443342"/>
    <s v="MALE"/>
    <s v="College"/>
    <s v="transport-moving"/>
    <s v="hiking"/>
    <s v="not-in-family"/>
    <n v="46300"/>
    <n v="-41700"/>
    <d v="2015-01-24T00:00:00"/>
    <s v="Multi-vehicle Collision"/>
    <s v="Front Collision"/>
    <s v="Minor Damage"/>
    <s v="Fire"/>
    <x v="4"/>
    <x v="6"/>
    <s v="8770 1st Lane"/>
    <n v="13"/>
    <n v="3"/>
    <s v="NO"/>
    <n v="2"/>
    <n v="0"/>
    <s v="NO"/>
    <n v="56160"/>
    <n v="4680"/>
    <n v="9360"/>
    <n v="42120"/>
    <s v="Saab"/>
    <n v="95"/>
    <n v="1995"/>
    <s v="N"/>
    <n v="32.434492835650218"/>
    <n v="-54429.51"/>
    <n v="3.0813019711187477E-2"/>
    <n v="20"/>
    <n v="320"/>
    <x v="0"/>
    <x v="0"/>
  </r>
  <r>
    <n v="297"/>
    <n v="47"/>
    <n v="272330"/>
    <d v="2009-11-29T00:00:00"/>
    <s v="IN"/>
    <s v="250/500"/>
    <n v="500"/>
    <n v="1616.65"/>
    <n v="7000000"/>
    <n v="456363"/>
    <s v="MALE"/>
    <s v="MD"/>
    <s v="adm-clerical"/>
    <s v="movies"/>
    <s v="unmarried"/>
    <n v="0"/>
    <n v="-59500"/>
    <d v="2015-01-16T00:00:00"/>
    <s v="Multi-vehicle Collision"/>
    <s v="Side Collision"/>
    <s v="Total Loss"/>
    <s v="Fire"/>
    <x v="4"/>
    <x v="0"/>
    <s v="1087 Flute Drive"/>
    <n v="0"/>
    <n v="3"/>
    <s v="?"/>
    <n v="0"/>
    <n v="3"/>
    <s v="YES"/>
    <n v="44400"/>
    <n v="5550"/>
    <n v="5550"/>
    <n v="33300"/>
    <s v="Jeep"/>
    <s v="Grand Cherokee"/>
    <n v="1999"/>
    <s v="N"/>
    <n v="27.447222823231229"/>
    <n v="-42783.35"/>
    <n v="3.641021598612644E-2"/>
    <n v="16"/>
    <n v="297"/>
    <x v="0"/>
    <x v="0"/>
  </r>
  <r>
    <n v="421"/>
    <n v="56"/>
    <n v="728025"/>
    <d v="1990-02-15T00:00:00"/>
    <s v="IN"/>
    <s v="100/300"/>
    <n v="500"/>
    <n v="1935.85"/>
    <n v="4000000"/>
    <n v="470826"/>
    <s v="MALE"/>
    <s v="Masters"/>
    <s v="machine-op-inspct"/>
    <s v="reading"/>
    <s v="own-child"/>
    <n v="49500"/>
    <n v="-81100"/>
    <d v="2015-01-12T00:00:00"/>
    <s v="Single Vehicle Collision"/>
    <s v="Rear Collision"/>
    <s v="Major Damage"/>
    <s v="Ambulance"/>
    <x v="2"/>
    <x v="4"/>
    <s v="2217 Tree Lane"/>
    <n v="7"/>
    <n v="1"/>
    <s v="?"/>
    <n v="2"/>
    <n v="3"/>
    <s v="?"/>
    <n v="92730"/>
    <n v="16860"/>
    <n v="8430"/>
    <n v="67440"/>
    <s v="Mercedes"/>
    <s v="E400"/>
    <n v="2004"/>
    <s v="Y"/>
    <n v="47.876707024292024"/>
    <n v="-90794.15"/>
    <n v="2.0875974593178116E-2"/>
    <n v="11"/>
    <n v="421"/>
    <x v="0"/>
    <x v="0"/>
  </r>
  <r>
    <n v="136"/>
    <n v="33"/>
    <n v="804608"/>
    <d v="2002-04-12T00:00:00"/>
    <s v="OH"/>
    <s v="250/500"/>
    <n v="1000"/>
    <n v="855.14"/>
    <n v="0"/>
    <n v="458582"/>
    <s v="FEMALE"/>
    <s v="PhD"/>
    <s v="craft-repair"/>
    <s v="paintball"/>
    <s v="not-in-family"/>
    <n v="37900"/>
    <n v="0"/>
    <d v="2015-01-04T00:00:00"/>
    <s v="Single Vehicle Collision"/>
    <s v="Side Collision"/>
    <s v="Minor Damage"/>
    <s v="Fire"/>
    <x v="5"/>
    <x v="6"/>
    <s v="6741 Oak Ridge"/>
    <n v="23"/>
    <n v="1"/>
    <s v="YES"/>
    <n v="0"/>
    <n v="1"/>
    <s v="YES"/>
    <n v="30700"/>
    <n v="3070"/>
    <n v="6140"/>
    <n v="21490"/>
    <s v="Toyota"/>
    <s v="Corolla"/>
    <n v="2015"/>
    <s v="N"/>
    <n v="35.8586212535333"/>
    <n v="-29844.86"/>
    <n v="2.7853815836617699E-2"/>
    <n v="0"/>
    <n v="136"/>
    <x v="0"/>
    <x v="0"/>
  </r>
  <r>
    <n v="46"/>
    <n v="24"/>
    <n v="718829"/>
    <d v="1999-02-21T00:00:00"/>
    <s v="OH"/>
    <s v="250/500"/>
    <n v="2000"/>
    <n v="1568.47"/>
    <n v="4000000"/>
    <n v="454480"/>
    <s v="FEMALE"/>
    <s v="High School"/>
    <s v="armed-forces"/>
    <s v="yachting"/>
    <s v="unmarried"/>
    <n v="46800"/>
    <n v="0"/>
    <d v="2015-02-02T00:00:00"/>
    <s v="Single Vehicle Collision"/>
    <s v="Side Collision"/>
    <s v="Major Damage"/>
    <s v="Fire"/>
    <x v="2"/>
    <x v="6"/>
    <s v="2123 MLK Ridge"/>
    <n v="7"/>
    <n v="1"/>
    <s v="NO"/>
    <n v="2"/>
    <n v="0"/>
    <s v="?"/>
    <n v="56600"/>
    <n v="11320"/>
    <n v="5660"/>
    <n v="39620"/>
    <s v="Toyota"/>
    <s v="Camry"/>
    <n v="1999"/>
    <s v="N"/>
    <n v="36.063129591518155"/>
    <n v="-55031.53"/>
    <n v="2.7710994505397431E-2"/>
    <n v="16"/>
    <n v="46"/>
    <x v="0"/>
    <x v="0"/>
  </r>
  <r>
    <n v="34"/>
    <n v="24"/>
    <n v="482404"/>
    <d v="2011-06-18T00:00:00"/>
    <s v="IN"/>
    <s v="500/1000"/>
    <n v="2000"/>
    <n v="1550.53"/>
    <n v="0"/>
    <n v="435632"/>
    <s v="FEMALE"/>
    <s v="MD"/>
    <s v="armed-forces"/>
    <s v="dancing"/>
    <s v="own-child"/>
    <n v="0"/>
    <n v="-27700"/>
    <d v="2015-02-01T00:00:00"/>
    <s v="Parked Car"/>
    <s v="?"/>
    <s v="Trivial Damage"/>
    <s v="None"/>
    <x v="1"/>
    <x v="4"/>
    <s v="4390 4th Drive"/>
    <n v="20"/>
    <n v="1"/>
    <s v="YES"/>
    <n v="0"/>
    <n v="1"/>
    <s v="?"/>
    <n v="3960"/>
    <n v="660"/>
    <n v="660"/>
    <n v="2640"/>
    <s v="Audi"/>
    <s v="A3"/>
    <n v="1998"/>
    <s v="N"/>
    <n v="2.5523193235064743"/>
    <n v="-2409.4700000000003"/>
    <n v="0.3914491290078263"/>
    <n v="17"/>
    <n v="34"/>
    <x v="1"/>
    <x v="1"/>
  </r>
  <r>
    <n v="95"/>
    <n v="30"/>
    <n v="331170"/>
    <d v="1995-03-26T00:00:00"/>
    <s v="IL"/>
    <s v="250/500"/>
    <n v="2000"/>
    <n v="1370.92"/>
    <n v="0"/>
    <n v="442206"/>
    <s v="MALE"/>
    <s v="College"/>
    <s v="transport-moving"/>
    <s v="video-games"/>
    <s v="unmarried"/>
    <n v="48900"/>
    <n v="0"/>
    <d v="2015-02-14T00:00:00"/>
    <s v="Single Vehicle Collision"/>
    <s v="Rear Collision"/>
    <s v="Minor Damage"/>
    <s v="Police"/>
    <x v="0"/>
    <x v="2"/>
    <s v="1437 3rd Lane"/>
    <n v="22"/>
    <n v="1"/>
    <s v="YES"/>
    <n v="0"/>
    <n v="3"/>
    <s v="?"/>
    <n v="34800"/>
    <n v="3480"/>
    <n v="6960"/>
    <n v="24360"/>
    <s v="Accura"/>
    <s v="MDX"/>
    <n v="1999"/>
    <s v="N"/>
    <n v="25.365910548720041"/>
    <n v="-33429.08"/>
    <n v="3.9393120887330824E-2"/>
    <n v="16"/>
    <n v="95"/>
    <x v="0"/>
    <x v="0"/>
  </r>
  <r>
    <n v="140"/>
    <n v="36"/>
    <n v="753056"/>
    <d v="1991-05-03T00:00:00"/>
    <s v="IN"/>
    <s v="250/500"/>
    <n v="500"/>
    <n v="1363.59"/>
    <n v="0"/>
    <n v="468303"/>
    <s v="FEMALE"/>
    <s v="JD"/>
    <s v="armed-forces"/>
    <s v="kayaking"/>
    <s v="not-in-family"/>
    <n v="43200"/>
    <n v="0"/>
    <d v="2015-02-08T00:00:00"/>
    <s v="Multi-vehicle Collision"/>
    <s v="Rear Collision"/>
    <s v="Minor Damage"/>
    <s v="Other"/>
    <x v="2"/>
    <x v="1"/>
    <s v="1186 Rock St"/>
    <n v="10"/>
    <n v="3"/>
    <s v="?"/>
    <n v="2"/>
    <n v="0"/>
    <s v="YES"/>
    <n v="79500"/>
    <n v="7950"/>
    <n v="7950"/>
    <n v="63600"/>
    <s v="Chevrolet"/>
    <s v="Tahoe"/>
    <n v="2000"/>
    <s v="N"/>
    <n v="58.259257359353363"/>
    <n v="-78136.41"/>
    <n v="1.7151859725034906E-2"/>
    <n v="15"/>
    <n v="140"/>
    <x v="0"/>
    <x v="0"/>
  </r>
  <r>
    <n v="200"/>
    <n v="34"/>
    <n v="910365"/>
    <d v="2001-12-19T00:00:00"/>
    <s v="IN"/>
    <s v="250/500"/>
    <n v="1000"/>
    <n v="828.42"/>
    <n v="3000000"/>
    <n v="467762"/>
    <s v="FEMALE"/>
    <s v="College"/>
    <s v="prof-specialty"/>
    <s v="basketball"/>
    <s v="other-relative"/>
    <n v="0"/>
    <n v="0"/>
    <d v="2015-01-22T00:00:00"/>
    <s v="Single Vehicle Collision"/>
    <s v="Front Collision"/>
    <s v="Total Loss"/>
    <s v="Police"/>
    <x v="2"/>
    <x v="2"/>
    <s v="4394 Oak St"/>
    <n v="10"/>
    <n v="1"/>
    <s v="?"/>
    <n v="2"/>
    <n v="2"/>
    <s v="NO"/>
    <n v="56000"/>
    <n v="5600"/>
    <n v="5600"/>
    <n v="44800"/>
    <s v="Chevrolet"/>
    <s v="Malibu"/>
    <n v="2009"/>
    <s v="N"/>
    <n v="67.51706011429674"/>
    <n v="-55171.58"/>
    <n v="1.4792950125890608E-2"/>
    <n v="6"/>
    <n v="200"/>
    <x v="0"/>
    <x v="0"/>
  </r>
  <r>
    <n v="123"/>
    <n v="29"/>
    <n v="379268"/>
    <d v="2012-08-05T00:00:00"/>
    <s v="IN"/>
    <s v="250/500"/>
    <n v="500"/>
    <n v="1209.6300000000001"/>
    <n v="0"/>
    <n v="447188"/>
    <s v="FEMALE"/>
    <s v="Masters"/>
    <s v="machine-op-inspct"/>
    <s v="chess"/>
    <s v="not-in-family"/>
    <n v="64800"/>
    <n v="-44200"/>
    <d v="2015-01-14T00:00:00"/>
    <s v="Single Vehicle Collision"/>
    <s v="Rear Collision"/>
    <s v="Minor Damage"/>
    <s v="Ambulance"/>
    <x v="5"/>
    <x v="2"/>
    <s v="8368 Cherokee Ave"/>
    <n v="17"/>
    <n v="1"/>
    <s v="YES"/>
    <n v="1"/>
    <n v="0"/>
    <s v="YES"/>
    <n v="73260"/>
    <n v="16280"/>
    <n v="0"/>
    <n v="56980"/>
    <s v="Volkswagen"/>
    <s v="Jetta"/>
    <n v="2014"/>
    <s v="Y"/>
    <n v="60.513947283645699"/>
    <n v="-72050.37"/>
    <n v="1.6511240632805995E-2"/>
    <n v="1"/>
    <n v="123"/>
    <x v="0"/>
    <x v="0"/>
  </r>
  <r>
    <n v="267"/>
    <n v="46"/>
    <n v="362843"/>
    <d v="2004-08-09T00:00:00"/>
    <s v="OH"/>
    <s v="250/500"/>
    <n v="2000"/>
    <n v="1111.17"/>
    <n v="0"/>
    <n v="469438"/>
    <s v="MALE"/>
    <s v="MD"/>
    <s v="craft-repair"/>
    <s v="base-jumping"/>
    <s v="unmarried"/>
    <n v="35000"/>
    <n v="0"/>
    <d v="2015-02-03T00:00:00"/>
    <s v="Parked Car"/>
    <s v="?"/>
    <s v="Trivial Damage"/>
    <s v="None"/>
    <x v="4"/>
    <x v="2"/>
    <s v="4905 Best Lane"/>
    <n v="3"/>
    <n v="1"/>
    <s v="YES"/>
    <n v="2"/>
    <n v="3"/>
    <s v="YES"/>
    <n v="4950"/>
    <n v="900"/>
    <n v="450"/>
    <n v="3600"/>
    <s v="Toyota"/>
    <s v="Camry"/>
    <n v="1995"/>
    <s v="N"/>
    <n v="4.4507584272188598"/>
    <n v="-3838.83"/>
    <n v="0.22443344778832561"/>
    <n v="20"/>
    <n v="267"/>
    <x v="1"/>
    <x v="1"/>
  </r>
  <r>
    <n v="290"/>
    <n v="42"/>
    <n v="135400"/>
    <d v="2014-01-20T00:00:00"/>
    <s v="IN"/>
    <s v="500/1000"/>
    <n v="500"/>
    <n v="989.97"/>
    <n v="0"/>
    <n v="462519"/>
    <s v="MALE"/>
    <s v="Masters"/>
    <s v="machine-op-inspct"/>
    <s v="kayaking"/>
    <s v="own-child"/>
    <n v="32500"/>
    <n v="0"/>
    <d v="2015-01-20T00:00:00"/>
    <s v="Single Vehicle Collision"/>
    <s v="Rear Collision"/>
    <s v="Minor Damage"/>
    <s v="Ambulance"/>
    <x v="4"/>
    <x v="4"/>
    <s v="3618 Sky Ave"/>
    <n v="10"/>
    <n v="1"/>
    <s v="NO"/>
    <n v="0"/>
    <n v="1"/>
    <s v="NO"/>
    <n v="48000"/>
    <n v="4800"/>
    <n v="9600"/>
    <n v="33600"/>
    <s v="Saab"/>
    <n v="95"/>
    <n v="2013"/>
    <s v="N"/>
    <n v="48.437389628343944"/>
    <n v="-47010.03"/>
    <n v="2.0623945334472198E-2"/>
    <n v="2"/>
    <n v="290"/>
    <x v="0"/>
    <x v="0"/>
  </r>
  <r>
    <n v="45"/>
    <n v="37"/>
    <n v="798579"/>
    <d v="2011-12-19T00:00:00"/>
    <s v="IN"/>
    <s v="250/500"/>
    <n v="1000"/>
    <n v="1114.23"/>
    <n v="0"/>
    <n v="432534"/>
    <s v="MALE"/>
    <s v="College"/>
    <s v="prof-specialty"/>
    <s v="dancing"/>
    <s v="wife"/>
    <n v="0"/>
    <n v="0"/>
    <d v="2015-01-01T00:00:00"/>
    <s v="Single Vehicle Collision"/>
    <s v="Side Collision"/>
    <s v="Major Damage"/>
    <s v="Fire"/>
    <x v="0"/>
    <x v="2"/>
    <s v="5459 MLK Ave"/>
    <n v="1"/>
    <n v="1"/>
    <s v="YES"/>
    <n v="0"/>
    <n v="1"/>
    <s v="YES"/>
    <n v="52200"/>
    <n v="10440"/>
    <n v="5220"/>
    <n v="36540"/>
    <s v="Nissan"/>
    <s v="Pathfinder"/>
    <n v="2005"/>
    <s v="N"/>
    <n v="46.806488347695094"/>
    <n v="-51085.77"/>
    <n v="2.1344993390931207E-2"/>
    <n v="10"/>
    <n v="45"/>
    <x v="0"/>
    <x v="0"/>
  </r>
  <r>
    <n v="186"/>
    <n v="38"/>
    <n v="250833"/>
    <d v="2008-07-28T00:00:00"/>
    <s v="IN"/>
    <s v="250/500"/>
    <n v="2000"/>
    <n v="1347.31"/>
    <n v="0"/>
    <n v="436467"/>
    <s v="FEMALE"/>
    <s v="JD"/>
    <s v="protective-serv"/>
    <s v="dancing"/>
    <s v="unmarried"/>
    <n v="80900"/>
    <n v="-111100"/>
    <d v="2015-02-02T00:00:00"/>
    <s v="Multi-vehicle Collision"/>
    <s v="Rear Collision"/>
    <s v="Minor Damage"/>
    <s v="Ambulance"/>
    <x v="2"/>
    <x v="3"/>
    <s v="1371 Texas Lane"/>
    <n v="1"/>
    <n v="3"/>
    <s v="NO"/>
    <n v="2"/>
    <n v="3"/>
    <s v="?"/>
    <n v="73800"/>
    <n v="12300"/>
    <n v="12300"/>
    <n v="49200"/>
    <s v="Audi"/>
    <s v="A3"/>
    <n v="1995"/>
    <s v="N"/>
    <n v="54.735187011888961"/>
    <n v="-72452.69"/>
    <n v="1.8255985691250795E-2"/>
    <n v="20"/>
    <n v="186"/>
    <x v="0"/>
    <x v="0"/>
  </r>
  <r>
    <n v="135"/>
    <n v="34"/>
    <n v="824116"/>
    <d v="1998-05-05T00:00:00"/>
    <s v="IL"/>
    <s v="250/500"/>
    <n v="2000"/>
    <n v="1687.53"/>
    <n v="0"/>
    <n v="465674"/>
    <s v="FEMALE"/>
    <s v="JD"/>
    <s v="protective-serv"/>
    <s v="base-jumping"/>
    <s v="other-relative"/>
    <n v="0"/>
    <n v="-69600"/>
    <d v="2015-01-23T00:00:00"/>
    <s v="Single Vehicle Collision"/>
    <s v="Side Collision"/>
    <s v="Total Loss"/>
    <s v="Fire"/>
    <x v="5"/>
    <x v="5"/>
    <s v="2654 Embaracadero St"/>
    <n v="7"/>
    <n v="1"/>
    <s v="?"/>
    <n v="1"/>
    <n v="2"/>
    <s v="NO"/>
    <n v="78200"/>
    <n v="15640"/>
    <n v="7820"/>
    <n v="54740"/>
    <s v="Audi"/>
    <s v="A3"/>
    <n v="2009"/>
    <s v="N"/>
    <n v="46.312472979455507"/>
    <n v="-76512.47"/>
    <n v="2.1579391567882765E-2"/>
    <n v="6"/>
    <n v="135"/>
    <x v="0"/>
    <x v="0"/>
  </r>
  <r>
    <n v="110"/>
    <n v="33"/>
    <n v="322613"/>
    <d v="1995-04-16T00:00:00"/>
    <s v="IN"/>
    <s v="250/500"/>
    <n v="1000"/>
    <n v="1183.48"/>
    <n v="0"/>
    <n v="442389"/>
    <s v="MALE"/>
    <s v="Associate"/>
    <s v="other-service"/>
    <s v="bungie-jumping"/>
    <s v="husband"/>
    <n v="0"/>
    <n v="0"/>
    <d v="2015-01-26T00:00:00"/>
    <s v="Single Vehicle Collision"/>
    <s v="Rear Collision"/>
    <s v="Major Damage"/>
    <s v="Ambulance"/>
    <x v="1"/>
    <x v="5"/>
    <s v="2123 Texas Ave"/>
    <n v="19"/>
    <n v="1"/>
    <s v="?"/>
    <n v="2"/>
    <n v="3"/>
    <s v="NO"/>
    <n v="55200"/>
    <n v="13800"/>
    <n v="9200"/>
    <n v="32200"/>
    <s v="Saab"/>
    <n v="93"/>
    <n v="2015"/>
    <s v="Y"/>
    <n v="46.602728623531"/>
    <n v="-54016.52"/>
    <n v="2.1439466676328327E-2"/>
    <n v="0"/>
    <n v="110"/>
    <x v="0"/>
    <x v="0"/>
  </r>
  <r>
    <n v="259"/>
    <n v="43"/>
    <n v="871305"/>
    <d v="1992-02-14T00:00:00"/>
    <s v="IL"/>
    <s v="500/1000"/>
    <n v="2000"/>
    <n v="1537.13"/>
    <n v="0"/>
    <n v="471614"/>
    <s v="FEMALE"/>
    <s v="PhD"/>
    <s v="handlers-cleaners"/>
    <s v="kayaking"/>
    <s v="own-child"/>
    <n v="0"/>
    <n v="-58300"/>
    <d v="2015-01-02T00:00:00"/>
    <s v="Multi-vehicle Collision"/>
    <s v="Side Collision"/>
    <s v="Total Loss"/>
    <s v="Other"/>
    <x v="2"/>
    <x v="5"/>
    <s v="4538 Flute Hwy"/>
    <n v="3"/>
    <n v="3"/>
    <s v="NO"/>
    <n v="0"/>
    <n v="2"/>
    <s v="YES"/>
    <n v="57060"/>
    <n v="6340"/>
    <n v="6340"/>
    <n v="44380"/>
    <s v="Ford"/>
    <s v="Fusion"/>
    <n v="2012"/>
    <s v="N"/>
    <n v="37.096994402293689"/>
    <n v="-55522.87"/>
    <n v="2.6938364206726136E-2"/>
    <n v="3"/>
    <n v="259"/>
    <x v="0"/>
    <x v="0"/>
  </r>
  <r>
    <n v="114"/>
    <n v="30"/>
    <n v="488037"/>
    <d v="2007-07-11T00:00:00"/>
    <s v="OH"/>
    <s v="250/500"/>
    <n v="1000"/>
    <n v="1173.25"/>
    <n v="0"/>
    <n v="442936"/>
    <s v="FEMALE"/>
    <s v="Masters"/>
    <s v="protective-serv"/>
    <s v="dancing"/>
    <s v="husband"/>
    <n v="0"/>
    <n v="-34700"/>
    <d v="2015-02-25T00:00:00"/>
    <s v="Vehicle Theft"/>
    <s v="?"/>
    <s v="Minor Damage"/>
    <s v="None"/>
    <x v="4"/>
    <x v="2"/>
    <s v="4434 Weaver St"/>
    <n v="3"/>
    <n v="1"/>
    <s v="NO"/>
    <n v="0"/>
    <n v="3"/>
    <s v="YES"/>
    <n v="4680"/>
    <n v="520"/>
    <n v="520"/>
    <n v="3640"/>
    <s v="Chevrolet"/>
    <s v="Malibu"/>
    <n v="2013"/>
    <s v="N"/>
    <n v="3.9855226740472642"/>
    <n v="-3506.75"/>
    <n v="0.25064088869899592"/>
    <n v="2"/>
    <n v="114"/>
    <x v="1"/>
    <x v="1"/>
  </r>
  <r>
    <n v="404"/>
    <n v="56"/>
    <n v="485813"/>
    <d v="2010-04-07T00:00:00"/>
    <s v="IN"/>
    <s v="250/500"/>
    <n v="1000"/>
    <n v="1361.16"/>
    <n v="4000000"/>
    <n v="437944"/>
    <s v="FEMALE"/>
    <s v="Masters"/>
    <s v="transport-moving"/>
    <s v="cross-fit"/>
    <s v="not-in-family"/>
    <n v="0"/>
    <n v="-63700"/>
    <d v="2015-01-15T00:00:00"/>
    <s v="Single Vehicle Collision"/>
    <s v="Front Collision"/>
    <s v="Minor Damage"/>
    <s v="Ambulance"/>
    <x v="1"/>
    <x v="4"/>
    <s v="2798 1st Ave"/>
    <n v="23"/>
    <n v="1"/>
    <s v="NO"/>
    <n v="2"/>
    <n v="0"/>
    <s v="YES"/>
    <n v="53100"/>
    <n v="5310"/>
    <n v="5310"/>
    <n v="42480"/>
    <s v="Accura"/>
    <s v="MDX"/>
    <n v="2005"/>
    <s v="Y"/>
    <n v="38.982204733658307"/>
    <n v="-51738.84"/>
    <n v="2.5633415566561835E-2"/>
    <n v="10"/>
    <n v="404"/>
    <x v="0"/>
    <x v="0"/>
  </r>
  <r>
    <n v="282"/>
    <n v="48"/>
    <n v="886473"/>
    <d v="1991-03-10T00:00:00"/>
    <s v="OH"/>
    <s v="500/1000"/>
    <n v="2000"/>
    <n v="1422.56"/>
    <n v="7000000"/>
    <n v="473705"/>
    <s v="FEMALE"/>
    <s v="MD"/>
    <s v="prof-specialty"/>
    <s v="video-games"/>
    <s v="husband"/>
    <n v="26900"/>
    <n v="-55300"/>
    <d v="2015-02-09T00:00:00"/>
    <s v="Vehicle Theft"/>
    <s v="?"/>
    <s v="Minor Damage"/>
    <s v="None"/>
    <x v="4"/>
    <x v="3"/>
    <s v="2809 Francis Lane"/>
    <n v="7"/>
    <n v="1"/>
    <s v="?"/>
    <n v="1"/>
    <n v="2"/>
    <s v="NO"/>
    <n v="3520"/>
    <n v="640"/>
    <n v="320"/>
    <n v="2560"/>
    <s v="Accura"/>
    <s v="MDX"/>
    <n v="2013"/>
    <s v="N"/>
    <n v="2.4726741408862289"/>
    <n v="-2097.44"/>
    <n v="0.40402158477705197"/>
    <n v="2"/>
    <n v="282"/>
    <x v="1"/>
    <x v="1"/>
  </r>
  <r>
    <n v="57"/>
    <n v="25"/>
    <n v="907113"/>
    <d v="1996-01-20T00:00:00"/>
    <s v="IL"/>
    <s v="500/1000"/>
    <n v="2000"/>
    <n v="1143.06"/>
    <n v="0"/>
    <n v="469363"/>
    <s v="FEMALE"/>
    <s v="Masters"/>
    <s v="tech-support"/>
    <s v="dancing"/>
    <s v="own-child"/>
    <n v="63100"/>
    <n v="-54100"/>
    <d v="2015-01-16T00:00:00"/>
    <s v="Multi-vehicle Collision"/>
    <s v="Front Collision"/>
    <s v="Total Loss"/>
    <s v="Ambulance"/>
    <x v="1"/>
    <x v="1"/>
    <s v="7281 Oak St"/>
    <n v="0"/>
    <n v="3"/>
    <s v="NO"/>
    <n v="0"/>
    <n v="1"/>
    <s v="YES"/>
    <n v="72900"/>
    <n v="14580"/>
    <n v="14580"/>
    <n v="43740"/>
    <s v="Nissan"/>
    <s v="Maxima"/>
    <n v="2010"/>
    <s v="N"/>
    <n v="63.720434242959286"/>
    <n v="-71756.94"/>
    <n v="1.5679620306991673E-2"/>
    <n v="5"/>
    <n v="57"/>
    <x v="0"/>
    <x v="0"/>
  </r>
  <r>
    <n v="215"/>
    <n v="38"/>
    <n v="833321"/>
    <d v="2010-03-01T00:00:00"/>
    <s v="IN"/>
    <s v="250/500"/>
    <n v="500"/>
    <n v="1405.71"/>
    <n v="0"/>
    <n v="465376"/>
    <s v="FEMALE"/>
    <s v="PhD"/>
    <s v="craft-repair"/>
    <s v="camping"/>
    <s v="unmarried"/>
    <n v="0"/>
    <n v="0"/>
    <d v="2015-02-01T00:00:00"/>
    <s v="Single Vehicle Collision"/>
    <s v="Rear Collision"/>
    <s v="Total Loss"/>
    <s v="Police"/>
    <x v="0"/>
    <x v="2"/>
    <s v="9878 Washington Ave"/>
    <n v="10"/>
    <n v="1"/>
    <s v="?"/>
    <n v="0"/>
    <n v="1"/>
    <s v="NO"/>
    <n v="70700"/>
    <n v="7070"/>
    <n v="14140"/>
    <n v="49490"/>
    <s v="Volkswagen"/>
    <s v="Passat"/>
    <n v="2008"/>
    <s v="N"/>
    <n v="50.259115240525766"/>
    <n v="-69294.289999999994"/>
    <n v="1.9882462765731745E-2"/>
    <n v="7"/>
    <n v="215"/>
    <x v="0"/>
    <x v="0"/>
  </r>
  <r>
    <n v="140"/>
    <n v="30"/>
    <n v="521592"/>
    <d v="2014-06-15T00:00:00"/>
    <s v="IL"/>
    <s v="100/300"/>
    <n v="500"/>
    <n v="1354.2"/>
    <n v="0"/>
    <n v="438775"/>
    <s v="FEMALE"/>
    <s v="College"/>
    <s v="adm-clerical"/>
    <s v="bungie-jumping"/>
    <s v="wife"/>
    <n v="100500"/>
    <n v="0"/>
    <d v="2015-02-10T00:00:00"/>
    <s v="Multi-vehicle Collision"/>
    <s v="Side Collision"/>
    <s v="Minor Damage"/>
    <s v="Other"/>
    <x v="0"/>
    <x v="0"/>
    <s v="2537 5th Ave"/>
    <n v="4"/>
    <n v="4"/>
    <s v="?"/>
    <n v="0"/>
    <n v="0"/>
    <s v="?"/>
    <n v="60170"/>
    <n v="5470"/>
    <n v="10940"/>
    <n v="43760"/>
    <s v="Nissan"/>
    <s v="Pathfinder"/>
    <n v="2006"/>
    <s v="N"/>
    <n v="44.399350649350644"/>
    <n v="-58815.8"/>
    <n v="2.2505858303834073E-2"/>
    <n v="9"/>
    <n v="140"/>
    <x v="0"/>
    <x v="0"/>
  </r>
  <r>
    <n v="250"/>
    <n v="42"/>
    <n v="254837"/>
    <d v="2004-11-25T00:00:00"/>
    <s v="IN"/>
    <s v="100/300"/>
    <n v="500"/>
    <n v="1055.5999999999999"/>
    <n v="0"/>
    <n v="457962"/>
    <s v="MALE"/>
    <s v="High School"/>
    <s v="exec-managerial"/>
    <s v="paintball"/>
    <s v="husband"/>
    <n v="69500"/>
    <n v="-40700"/>
    <d v="2015-01-03T00:00:00"/>
    <s v="Single Vehicle Collision"/>
    <s v="Rear Collision"/>
    <s v="Major Damage"/>
    <s v="Other"/>
    <x v="0"/>
    <x v="0"/>
    <s v="8493 Apache Drive"/>
    <n v="16"/>
    <n v="1"/>
    <s v="?"/>
    <n v="1"/>
    <n v="1"/>
    <s v="?"/>
    <n v="74800"/>
    <n v="13600"/>
    <n v="6800"/>
    <n v="54400"/>
    <s v="Ford"/>
    <s v="Fusion"/>
    <n v="2009"/>
    <s v="Y"/>
    <n v="70.793109975392781"/>
    <n v="-73744.399999999994"/>
    <n v="1.4112110800657744E-2"/>
    <n v="6"/>
    <n v="250"/>
    <x v="0"/>
    <x v="0"/>
  </r>
  <r>
    <n v="286"/>
    <n v="41"/>
    <n v="634499"/>
    <d v="2000-08-26T00:00:00"/>
    <s v="IL"/>
    <s v="250/500"/>
    <n v="1000"/>
    <n v="999.43"/>
    <n v="0"/>
    <n v="477947"/>
    <s v="MALE"/>
    <s v="College"/>
    <s v="prof-specialty"/>
    <s v="paintball"/>
    <s v="wife"/>
    <n v="25800"/>
    <n v="0"/>
    <d v="2015-01-01T00:00:00"/>
    <s v="Vehicle Theft"/>
    <s v="?"/>
    <s v="Trivial Damage"/>
    <s v="Police"/>
    <x v="4"/>
    <x v="5"/>
    <s v="2878 Britain Hwy"/>
    <n v="3"/>
    <n v="1"/>
    <s v="YES"/>
    <n v="2"/>
    <n v="0"/>
    <s v="?"/>
    <n v="4100"/>
    <n v="820"/>
    <n v="410"/>
    <n v="2870"/>
    <s v="Chevrolet"/>
    <s v="Malibu"/>
    <n v="2009"/>
    <s v="N"/>
    <n v="4.0982377577641618"/>
    <n v="-3100.57"/>
    <n v="0.24370397464033161"/>
    <n v="6"/>
    <n v="286"/>
    <x v="1"/>
    <x v="1"/>
  </r>
  <r>
    <n v="356"/>
    <n v="47"/>
    <n v="574707"/>
    <d v="2005-08-23T00:00:00"/>
    <s v="IN"/>
    <s v="250/500"/>
    <n v="2000"/>
    <n v="1155.97"/>
    <n v="0"/>
    <n v="431104"/>
    <s v="MALE"/>
    <s v="High School"/>
    <s v="prof-specialty"/>
    <s v="camping"/>
    <s v="husband"/>
    <n v="0"/>
    <n v="0"/>
    <d v="2015-02-23T00:00:00"/>
    <s v="Single Vehicle Collision"/>
    <s v="Side Collision"/>
    <s v="Minor Damage"/>
    <s v="Other"/>
    <x v="0"/>
    <x v="0"/>
    <s v="2862 Tree Ridge"/>
    <n v="5"/>
    <n v="1"/>
    <s v="YES"/>
    <n v="0"/>
    <n v="3"/>
    <s v="?"/>
    <n v="61490"/>
    <n v="5590"/>
    <n v="11180"/>
    <n v="44720"/>
    <s v="Dodge"/>
    <s v="RAM"/>
    <n v="2009"/>
    <s v="N"/>
    <n v="53.14744548259678"/>
    <n v="-60334.03"/>
    <n v="1.8799011237416858E-2"/>
    <n v="6"/>
    <n v="356"/>
    <x v="0"/>
    <x v="0"/>
  </r>
  <r>
    <n v="65"/>
    <n v="29"/>
    <n v="476839"/>
    <d v="1990-08-09T00:00:00"/>
    <s v="IL"/>
    <s v="250/500"/>
    <n v="1000"/>
    <n v="1726.91"/>
    <n v="0"/>
    <n v="456570"/>
    <s v="MALE"/>
    <s v="High School"/>
    <s v="other-service"/>
    <s v="basketball"/>
    <s v="own-child"/>
    <n v="0"/>
    <n v="0"/>
    <d v="2015-01-28T00:00:00"/>
    <s v="Vehicle Theft"/>
    <s v="?"/>
    <s v="Trivial Damage"/>
    <s v="None"/>
    <x v="1"/>
    <x v="4"/>
    <s v="4453 Best Ave"/>
    <n v="14"/>
    <n v="1"/>
    <s v="?"/>
    <n v="0"/>
    <n v="0"/>
    <s v="?"/>
    <n v="7200"/>
    <n v="720"/>
    <n v="1440"/>
    <n v="5040"/>
    <s v="Audi"/>
    <s v="A5"/>
    <n v="1999"/>
    <s v="N"/>
    <n v="4.1668836918589509"/>
    <n v="-5473.09"/>
    <n v="0.23981530343007917"/>
    <n v="16"/>
    <n v="65"/>
    <x v="1"/>
    <x v="0"/>
  </r>
  <r>
    <n v="187"/>
    <n v="34"/>
    <n v="149601"/>
    <d v="2003-03-28T00:00:00"/>
    <s v="IN"/>
    <s v="500/1000"/>
    <n v="500"/>
    <n v="1232.57"/>
    <n v="0"/>
    <n v="612986"/>
    <s v="FEMALE"/>
    <s v="PhD"/>
    <s v="machine-op-inspct"/>
    <s v="polo"/>
    <s v="not-in-family"/>
    <n v="59500"/>
    <n v="0"/>
    <d v="2015-02-22T00:00:00"/>
    <s v="Multi-vehicle Collision"/>
    <s v="Side Collision"/>
    <s v="Minor Damage"/>
    <s v="Fire"/>
    <x v="2"/>
    <x v="2"/>
    <s v="5191 4th St"/>
    <n v="7"/>
    <n v="3"/>
    <s v="?"/>
    <n v="0"/>
    <n v="0"/>
    <s v="?"/>
    <n v="45100"/>
    <n v="8200"/>
    <n v="4100"/>
    <n v="32800"/>
    <s v="Nissan"/>
    <s v="Pathfinder"/>
    <n v="2011"/>
    <s v="N"/>
    <n v="36.560551894096001"/>
    <n v="-43867.43"/>
    <n v="2.7329105784794128E-2"/>
    <n v="4"/>
    <n v="187"/>
    <x v="0"/>
    <x v="0"/>
  </r>
  <r>
    <n v="386"/>
    <n v="53"/>
    <n v="630683"/>
    <d v="2007-10-23T00:00:00"/>
    <s v="OH"/>
    <s v="250/500"/>
    <n v="500"/>
    <n v="1078.6500000000001"/>
    <n v="0"/>
    <n v="615730"/>
    <s v="MALE"/>
    <s v="JD"/>
    <s v="craft-repair"/>
    <s v="camping"/>
    <s v="not-in-family"/>
    <n v="36800"/>
    <n v="0"/>
    <d v="2015-01-03T00:00:00"/>
    <s v="Single Vehicle Collision"/>
    <s v="Front Collision"/>
    <s v="Minor Damage"/>
    <s v="Police"/>
    <x v="4"/>
    <x v="5"/>
    <s v="1364 Best St"/>
    <n v="16"/>
    <n v="1"/>
    <s v="?"/>
    <n v="2"/>
    <n v="3"/>
    <s v="YES"/>
    <n v="66660"/>
    <n v="12120"/>
    <n v="6060"/>
    <n v="48480"/>
    <s v="Honda"/>
    <s v="Civic"/>
    <n v="2006"/>
    <s v="N"/>
    <n v="61.742231278655112"/>
    <n v="-65581.350000000006"/>
    <n v="1.6181125395658632E-2"/>
    <n v="9"/>
    <n v="386"/>
    <x v="0"/>
    <x v="0"/>
  </r>
  <r>
    <n v="197"/>
    <n v="41"/>
    <n v="500639"/>
    <d v="1996-06-27T00:00:00"/>
    <s v="OH"/>
    <s v="500/1000"/>
    <n v="1000"/>
    <n v="1324.78"/>
    <n v="0"/>
    <n v="478640"/>
    <s v="FEMALE"/>
    <s v="PhD"/>
    <s v="prof-specialty"/>
    <s v="basketball"/>
    <s v="not-in-family"/>
    <n v="0"/>
    <n v="-64500"/>
    <d v="2015-01-10T00:00:00"/>
    <s v="Single Vehicle Collision"/>
    <s v="Front Collision"/>
    <s v="Major Damage"/>
    <s v="Police"/>
    <x v="5"/>
    <x v="6"/>
    <s v="8946 2nd Drive"/>
    <n v="6"/>
    <n v="1"/>
    <s v="NO"/>
    <n v="2"/>
    <n v="2"/>
    <s v="YES"/>
    <n v="76400"/>
    <n v="15280"/>
    <n v="7640"/>
    <n v="53480"/>
    <s v="Volkswagen"/>
    <s v="Jetta"/>
    <n v="1997"/>
    <s v="Y"/>
    <n v="57.626453861123267"/>
    <n v="-75075.22"/>
    <n v="1.7339825394955564E-2"/>
    <n v="18"/>
    <n v="197"/>
    <x v="0"/>
    <x v="0"/>
  </r>
  <r>
    <n v="166"/>
    <n v="37"/>
    <n v="352120"/>
    <d v="1994-12-11T00:00:00"/>
    <s v="IN"/>
    <s v="250/500"/>
    <n v="500"/>
    <n v="1518.54"/>
    <n v="0"/>
    <n v="470510"/>
    <s v="FEMALE"/>
    <s v="MD"/>
    <s v="craft-repair"/>
    <s v="kayaking"/>
    <s v="not-in-family"/>
    <n v="0"/>
    <n v="0"/>
    <d v="2015-01-25T00:00:00"/>
    <s v="Single Vehicle Collision"/>
    <s v="Rear Collision"/>
    <s v="Total Loss"/>
    <s v="Ambulance"/>
    <x v="6"/>
    <x v="1"/>
    <s v="3726 MLK Hwy"/>
    <n v="10"/>
    <n v="1"/>
    <s v="YES"/>
    <n v="1"/>
    <n v="1"/>
    <s v="NO"/>
    <n v="58300"/>
    <n v="10600"/>
    <n v="10600"/>
    <n v="37100"/>
    <s v="Ford"/>
    <s v="F150"/>
    <n v="2001"/>
    <s v="N"/>
    <n v="38.3668741856088"/>
    <n v="-56781.46"/>
    <n v="2.6046551517126634E-2"/>
    <n v="14"/>
    <n v="166"/>
    <x v="0"/>
    <x v="0"/>
  </r>
  <r>
    <n v="293"/>
    <n v="49"/>
    <n v="569245"/>
    <d v="1995-12-05T00:00:00"/>
    <s v="IL"/>
    <s v="100/300"/>
    <n v="2000"/>
    <n v="1239.06"/>
    <n v="0"/>
    <n v="439360"/>
    <s v="FEMALE"/>
    <s v="JD"/>
    <s v="transport-moving"/>
    <s v="skydiving"/>
    <s v="husband"/>
    <n v="34900"/>
    <n v="0"/>
    <d v="2015-01-10T00:00:00"/>
    <s v="Single Vehicle Collision"/>
    <s v="Front Collision"/>
    <s v="Total Loss"/>
    <s v="Police"/>
    <x v="0"/>
    <x v="1"/>
    <s v="2820 Britain St"/>
    <n v="19"/>
    <n v="1"/>
    <s v="?"/>
    <n v="1"/>
    <n v="1"/>
    <s v="?"/>
    <n v="57310"/>
    <n v="5210"/>
    <n v="10420"/>
    <n v="41680"/>
    <s v="Volkswagen"/>
    <s v="Passat"/>
    <n v="2002"/>
    <s v="N"/>
    <n v="46.215505701337037"/>
    <n v="-56070.94"/>
    <n v="2.1619933346129015E-2"/>
    <n v="13"/>
    <n v="293"/>
    <x v="0"/>
    <x v="0"/>
  </r>
  <r>
    <n v="179"/>
    <n v="32"/>
    <n v="907012"/>
    <d v="1996-12-15T00:00:00"/>
    <s v="OH"/>
    <s v="500/1000"/>
    <n v="2000"/>
    <n v="1246.68"/>
    <n v="0"/>
    <n v="440251"/>
    <s v="FEMALE"/>
    <s v="PhD"/>
    <s v="priv-house-serv"/>
    <s v="movies"/>
    <s v="own-child"/>
    <n v="0"/>
    <n v="0"/>
    <d v="2015-01-28T00:00:00"/>
    <s v="Single Vehicle Collision"/>
    <s v="Front Collision"/>
    <s v="Minor Damage"/>
    <s v="Fire"/>
    <x v="2"/>
    <x v="2"/>
    <s v="2646 MLK Drive"/>
    <n v="10"/>
    <n v="1"/>
    <s v="?"/>
    <n v="0"/>
    <n v="1"/>
    <s v="?"/>
    <n v="53100"/>
    <n v="5900"/>
    <n v="5900"/>
    <n v="41300"/>
    <s v="Suburu"/>
    <s v="Impreza"/>
    <n v="2006"/>
    <s v="N"/>
    <n v="42.558989484483199"/>
    <n v="-51853.32"/>
    <n v="2.3477523963767163E-2"/>
    <n v="9"/>
    <n v="179"/>
    <x v="0"/>
    <x v="0"/>
  </r>
  <r>
    <n v="76"/>
    <n v="24"/>
    <n v="700074"/>
    <d v="2011-06-06T00:00:00"/>
    <s v="OH"/>
    <s v="250/500"/>
    <n v="1000"/>
    <n v="1622.67"/>
    <n v="0"/>
    <n v="600313"/>
    <s v="FEMALE"/>
    <s v="MD"/>
    <s v="priv-house-serv"/>
    <s v="paintball"/>
    <s v="husband"/>
    <n v="0"/>
    <n v="0"/>
    <d v="2015-02-18T00:00:00"/>
    <s v="Multi-vehicle Collision"/>
    <s v="Side Collision"/>
    <s v="Total Loss"/>
    <s v="Ambulance"/>
    <x v="4"/>
    <x v="1"/>
    <s v="6256 Elm St"/>
    <n v="6"/>
    <n v="3"/>
    <s v="NO"/>
    <n v="1"/>
    <n v="1"/>
    <s v="?"/>
    <n v="74700"/>
    <n v="14940"/>
    <n v="7470"/>
    <n v="52290"/>
    <s v="Suburu"/>
    <s v="Forrestor"/>
    <n v="1997"/>
    <s v="N"/>
    <n v="46.006885635627924"/>
    <n v="-73077.33"/>
    <n v="2.1722199167347158E-2"/>
    <n v="18"/>
    <n v="76"/>
    <x v="0"/>
    <x v="0"/>
  </r>
  <r>
    <n v="105"/>
    <n v="28"/>
    <n v="866805"/>
    <d v="1995-12-13T00:00:00"/>
    <s v="OH"/>
    <s v="250/500"/>
    <n v="500"/>
    <n v="1082.3599999999999"/>
    <n v="0"/>
    <n v="452216"/>
    <s v="FEMALE"/>
    <s v="Associate"/>
    <s v="prof-specialty"/>
    <s v="golf"/>
    <s v="own-child"/>
    <n v="0"/>
    <n v="0"/>
    <d v="2015-01-24T00:00:00"/>
    <s v="Multi-vehicle Collision"/>
    <s v="Rear Collision"/>
    <s v="Major Damage"/>
    <s v="Fire"/>
    <x v="0"/>
    <x v="1"/>
    <s v="9724 Maple St"/>
    <n v="12"/>
    <n v="3"/>
    <s v="NO"/>
    <n v="2"/>
    <n v="2"/>
    <s v="NO"/>
    <n v="60500"/>
    <n v="12100"/>
    <n v="6050"/>
    <n v="42350"/>
    <s v="Audi"/>
    <s v="A5"/>
    <n v="1995"/>
    <s v="N"/>
    <n v="55.844779205434946"/>
    <n v="-59417.64"/>
    <n v="1.7889952232194507E-2"/>
    <n v="20"/>
    <n v="105"/>
    <x v="0"/>
    <x v="0"/>
  </r>
  <r>
    <n v="97"/>
    <n v="26"/>
    <n v="951863"/>
    <d v="1997-10-28T00:00:00"/>
    <s v="OH"/>
    <s v="250/500"/>
    <n v="1000"/>
    <n v="1270.55"/>
    <n v="0"/>
    <n v="478532"/>
    <s v="MALE"/>
    <s v="Masters"/>
    <s v="protective-serv"/>
    <s v="chess"/>
    <s v="unmarried"/>
    <n v="0"/>
    <n v="-72100"/>
    <d v="2015-01-20T00:00:00"/>
    <s v="Multi-vehicle Collision"/>
    <s v="Side Collision"/>
    <s v="Total Loss"/>
    <s v="Other"/>
    <x v="5"/>
    <x v="1"/>
    <s v="7397 4th Drive"/>
    <n v="10"/>
    <n v="3"/>
    <s v="YES"/>
    <n v="2"/>
    <n v="3"/>
    <s v="NO"/>
    <n v="84920"/>
    <n v="7720"/>
    <n v="15440"/>
    <n v="61760"/>
    <s v="Jeep"/>
    <s v="Wrangler"/>
    <n v="2006"/>
    <s v="Y"/>
    <n v="66.784632928315844"/>
    <n v="-83649.45"/>
    <n v="1.4961552501736908E-2"/>
    <n v="9"/>
    <n v="97"/>
    <x v="0"/>
    <x v="0"/>
  </r>
  <r>
    <n v="148"/>
    <n v="36"/>
    <n v="211578"/>
    <d v="1996-01-04T00:00:00"/>
    <s v="IL"/>
    <s v="500/1000"/>
    <n v="1000"/>
    <n v="1236.32"/>
    <n v="5000000"/>
    <n v="616929"/>
    <s v="FEMALE"/>
    <s v="MD"/>
    <s v="adm-clerical"/>
    <s v="hiking"/>
    <s v="own-child"/>
    <n v="55100"/>
    <n v="0"/>
    <d v="2015-01-10T00:00:00"/>
    <s v="Single Vehicle Collision"/>
    <s v="Side Collision"/>
    <s v="Total Loss"/>
    <s v="Police"/>
    <x v="6"/>
    <x v="6"/>
    <s v="3488 Flute Lane"/>
    <n v="0"/>
    <n v="1"/>
    <s v="NO"/>
    <n v="2"/>
    <n v="0"/>
    <s v="NO"/>
    <n v="61050"/>
    <n v="5550"/>
    <n v="11100"/>
    <n v="44400"/>
    <s v="Dodge"/>
    <s v="Neon"/>
    <n v="2009"/>
    <s v="N"/>
    <n v="49.340510134807488"/>
    <n v="-59813.68"/>
    <n v="2.0250610145615959E-2"/>
    <n v="6"/>
    <n v="148"/>
    <x v="0"/>
    <x v="0"/>
  </r>
  <r>
    <n v="77"/>
    <n v="26"/>
    <n v="357394"/>
    <d v="2008-05-09T00:00:00"/>
    <s v="IL"/>
    <s v="250/500"/>
    <n v="2000"/>
    <n v="785.82"/>
    <n v="0"/>
    <n v="620207"/>
    <s v="MALE"/>
    <s v="JD"/>
    <s v="exec-managerial"/>
    <s v="movies"/>
    <s v="other-relative"/>
    <n v="49700"/>
    <n v="0"/>
    <d v="2015-01-07T00:00:00"/>
    <s v="Multi-vehicle Collision"/>
    <s v="Rear Collision"/>
    <s v="Major Damage"/>
    <s v="Police"/>
    <x v="2"/>
    <x v="4"/>
    <s v="9082 3rd Lane"/>
    <n v="12"/>
    <n v="3"/>
    <s v="YES"/>
    <n v="2"/>
    <n v="0"/>
    <s v="?"/>
    <n v="69080"/>
    <n v="12560"/>
    <n v="6280"/>
    <n v="50240"/>
    <s v="Audi"/>
    <s v="A5"/>
    <n v="2009"/>
    <s v="Y"/>
    <n v="87.796446455351912"/>
    <n v="-68294.179999999993"/>
    <n v="1.1375341989838018E-2"/>
    <n v="6"/>
    <n v="77"/>
    <x v="0"/>
    <x v="0"/>
  </r>
  <r>
    <n v="295"/>
    <n v="46"/>
    <n v="863749"/>
    <d v="2009-12-05T00:00:00"/>
    <s v="IN"/>
    <s v="250/500"/>
    <n v="500"/>
    <n v="1265.8399999999999"/>
    <n v="0"/>
    <n v="605743"/>
    <s v="FEMALE"/>
    <s v="JD"/>
    <s v="prof-specialty"/>
    <s v="paintball"/>
    <s v="own-child"/>
    <n v="52200"/>
    <n v="-44500"/>
    <d v="2015-01-16T00:00:00"/>
    <s v="Vehicle Theft"/>
    <s v="?"/>
    <s v="Minor Damage"/>
    <s v="None"/>
    <x v="1"/>
    <x v="2"/>
    <s v="1941 5th Ridge"/>
    <n v="10"/>
    <n v="1"/>
    <s v="YES"/>
    <n v="1"/>
    <n v="3"/>
    <s v="YES"/>
    <n v="4560"/>
    <n v="760"/>
    <n v="380"/>
    <n v="3420"/>
    <s v="Nissan"/>
    <s v="Pathfinder"/>
    <n v="2007"/>
    <s v="N"/>
    <n v="3.5995074358245716"/>
    <n v="-3294.16"/>
    <n v="0.27753562815172111"/>
    <n v="8"/>
    <n v="295"/>
    <x v="1"/>
    <x v="1"/>
  </r>
  <r>
    <n v="126"/>
    <n v="28"/>
    <n v="596914"/>
    <d v="1992-01-05T00:00:00"/>
    <s v="IN"/>
    <s v="250/500"/>
    <n v="500"/>
    <n v="1508.9"/>
    <n v="0"/>
    <n v="472814"/>
    <s v="FEMALE"/>
    <s v="JD"/>
    <s v="machine-op-inspct"/>
    <s v="skydiving"/>
    <s v="other-relative"/>
    <n v="0"/>
    <n v="0"/>
    <d v="2015-01-01T00:00:00"/>
    <s v="Multi-vehicle Collision"/>
    <s v="Rear Collision"/>
    <s v="Total Loss"/>
    <s v="Police"/>
    <x v="4"/>
    <x v="5"/>
    <s v="5333 MLK Lane"/>
    <n v="3"/>
    <n v="4"/>
    <s v="NO"/>
    <n v="0"/>
    <n v="1"/>
    <s v="?"/>
    <n v="67800"/>
    <n v="11300"/>
    <n v="11300"/>
    <n v="45200"/>
    <s v="Ford"/>
    <s v="F150"/>
    <n v="2011"/>
    <s v="N"/>
    <n v="44.90363600238426"/>
    <n v="-66291.100000000006"/>
    <n v="2.2254833999498534E-2"/>
    <n v="4"/>
    <n v="126"/>
    <x v="0"/>
    <x v="0"/>
  </r>
  <r>
    <n v="132"/>
    <n v="32"/>
    <n v="684653"/>
    <d v="1997-11-15T00:00:00"/>
    <s v="OH"/>
    <s v="250/500"/>
    <n v="2000"/>
    <n v="1106.8399999999999"/>
    <n v="0"/>
    <n v="464362"/>
    <s v="MALE"/>
    <s v="PhD"/>
    <s v="other-service"/>
    <s v="reading"/>
    <s v="wife"/>
    <n v="43100"/>
    <n v="-31900"/>
    <d v="2015-01-07T00:00:00"/>
    <s v="Vehicle Theft"/>
    <s v="?"/>
    <s v="Minor Damage"/>
    <s v="Police"/>
    <x v="0"/>
    <x v="1"/>
    <s v="4577 Sky Hwy"/>
    <n v="21"/>
    <n v="1"/>
    <s v="YES"/>
    <n v="1"/>
    <n v="1"/>
    <s v="YES"/>
    <n v="5600"/>
    <n v="1120"/>
    <n v="560"/>
    <n v="3920"/>
    <s v="Suburu"/>
    <s v="Legacy"/>
    <n v="2005"/>
    <s v="N"/>
    <n v="5.0548815713460433"/>
    <n v="-4493.16"/>
    <n v="0.19761471165863237"/>
    <n v="10"/>
    <n v="132"/>
    <x v="2"/>
    <x v="1"/>
  </r>
  <r>
    <n v="370"/>
    <n v="55"/>
    <n v="528259"/>
    <d v="2012-12-22T00:00:00"/>
    <s v="IN"/>
    <s v="500/1000"/>
    <n v="2000"/>
    <n v="1389.13"/>
    <n v="7000000"/>
    <n v="456203"/>
    <s v="MALE"/>
    <s v="JD"/>
    <s v="other-service"/>
    <s v="basketball"/>
    <s v="wife"/>
    <n v="0"/>
    <n v="-53200"/>
    <d v="2015-02-17T00:00:00"/>
    <s v="Vehicle Theft"/>
    <s v="?"/>
    <s v="Minor Damage"/>
    <s v="None"/>
    <x v="5"/>
    <x v="6"/>
    <s v="4814 Lincoln Lane"/>
    <n v="6"/>
    <n v="1"/>
    <s v="?"/>
    <n v="0"/>
    <n v="2"/>
    <s v="?"/>
    <n v="9000"/>
    <n v="900"/>
    <n v="1800"/>
    <n v="6300"/>
    <s v="Mercedes"/>
    <s v="ML350"/>
    <n v="2015"/>
    <s v="N"/>
    <n v="6.4742146417960909"/>
    <n v="-7610.87"/>
    <n v="0.15433062993000779"/>
    <n v="0"/>
    <n v="370"/>
    <x v="2"/>
    <x v="0"/>
  </r>
  <r>
    <n v="257"/>
    <n v="43"/>
    <n v="797636"/>
    <d v="1992-05-19T00:00:00"/>
    <s v="IN"/>
    <s v="100/300"/>
    <n v="1000"/>
    <n v="974.84"/>
    <n v="0"/>
    <n v="468984"/>
    <s v="FEMALE"/>
    <s v="JD"/>
    <s v="transport-moving"/>
    <s v="kayaking"/>
    <s v="other-relative"/>
    <n v="52100"/>
    <n v="0"/>
    <d v="2015-02-26T00:00:00"/>
    <s v="Single Vehicle Collision"/>
    <s v="Rear Collision"/>
    <s v="Total Loss"/>
    <s v="Police"/>
    <x v="1"/>
    <x v="5"/>
    <s v="2381 1st Hwy"/>
    <n v="0"/>
    <n v="1"/>
    <s v="NO"/>
    <n v="0"/>
    <n v="1"/>
    <s v="YES"/>
    <n v="85320"/>
    <n v="21330"/>
    <n v="7110"/>
    <n v="56880"/>
    <s v="Nissan"/>
    <s v="Pathfinder"/>
    <n v="2006"/>
    <s v="N"/>
    <n v="87.432365961633053"/>
    <n v="-84345.16"/>
    <n v="1.1425557600121893E-2"/>
    <n v="9"/>
    <n v="257"/>
    <x v="0"/>
    <x v="0"/>
  </r>
  <r>
    <n v="9"/>
    <n v="24"/>
    <n v="326180"/>
    <d v="2002-05-25T00:00:00"/>
    <s v="IL"/>
    <s v="100/300"/>
    <n v="2000"/>
    <n v="1304.46"/>
    <n v="0"/>
    <n v="473349"/>
    <s v="FEMALE"/>
    <s v="PhD"/>
    <s v="machine-op-inspct"/>
    <s v="golf"/>
    <s v="other-relative"/>
    <n v="51700"/>
    <n v="-33300"/>
    <d v="2015-01-31T00:00:00"/>
    <s v="Vehicle Theft"/>
    <s v="?"/>
    <s v="Trivial Damage"/>
    <s v="None"/>
    <x v="5"/>
    <x v="2"/>
    <s v="6939 3rd Hwy"/>
    <n v="6"/>
    <n v="1"/>
    <s v="NO"/>
    <n v="0"/>
    <n v="3"/>
    <s v="YES"/>
    <n v="5940"/>
    <n v="540"/>
    <n v="1080"/>
    <n v="4320"/>
    <s v="Audi"/>
    <s v="A5"/>
    <n v="2001"/>
    <s v="Y"/>
    <n v="4.5501202641214586"/>
    <n v="-4635.54"/>
    <n v="0.2195690961117657"/>
    <n v="14"/>
    <n v="9"/>
    <x v="1"/>
    <x v="1"/>
  </r>
  <r>
    <n v="185"/>
    <n v="34"/>
    <n v="620075"/>
    <d v="2010-04-21T00:00:00"/>
    <s v="OH"/>
    <s v="250/500"/>
    <n v="500"/>
    <n v="1257.3599999999999"/>
    <n v="0"/>
    <n v="474771"/>
    <s v="FEMALE"/>
    <s v="PhD"/>
    <s v="armed-forces"/>
    <s v="movies"/>
    <s v="husband"/>
    <n v="0"/>
    <n v="0"/>
    <d v="2015-02-27T00:00:00"/>
    <s v="Multi-vehicle Collision"/>
    <s v="Side Collision"/>
    <s v="Major Damage"/>
    <s v="Fire"/>
    <x v="0"/>
    <x v="2"/>
    <s v="5269 Flute Hwy"/>
    <n v="20"/>
    <n v="3"/>
    <s v="YES"/>
    <n v="1"/>
    <n v="1"/>
    <s v="?"/>
    <n v="51370"/>
    <n v="9340"/>
    <n v="4670"/>
    <n v="37360"/>
    <s v="BMW"/>
    <s v="M5"/>
    <n v="2000"/>
    <s v="Y"/>
    <n v="40.822975936933787"/>
    <n v="-50112.639999999999"/>
    <n v="2.4476066263066708E-2"/>
    <n v="15"/>
    <n v="185"/>
    <x v="0"/>
    <x v="0"/>
  </r>
  <r>
    <n v="234"/>
    <n v="43"/>
    <n v="965187"/>
    <d v="1990-03-26T00:00:00"/>
    <s v="OH"/>
    <s v="250/500"/>
    <n v="500"/>
    <n v="1257.04"/>
    <n v="0"/>
    <n v="448294"/>
    <s v="MALE"/>
    <s v="Associate"/>
    <s v="protective-serv"/>
    <s v="reading"/>
    <s v="own-child"/>
    <n v="0"/>
    <n v="-48800"/>
    <d v="2015-03-01T00:00:00"/>
    <s v="Single Vehicle Collision"/>
    <s v="Rear Collision"/>
    <s v="Major Damage"/>
    <s v="Police"/>
    <x v="0"/>
    <x v="6"/>
    <s v="7197 2nd Drive"/>
    <n v="4"/>
    <n v="1"/>
    <s v="NO"/>
    <n v="2"/>
    <n v="2"/>
    <s v="YES"/>
    <n v="51600"/>
    <n v="10320"/>
    <n v="5160"/>
    <n v="36120"/>
    <s v="Dodge"/>
    <s v="Neon"/>
    <n v="2011"/>
    <s v="N"/>
    <n v="41.016183905122254"/>
    <n v="-50342.96"/>
    <n v="2.4360768202166625E-2"/>
    <n v="4"/>
    <n v="234"/>
    <x v="0"/>
    <x v="0"/>
  </r>
  <r>
    <n v="253"/>
    <n v="44"/>
    <n v="516182"/>
    <d v="2007-05-12T00:00:00"/>
    <s v="OH"/>
    <s v="100/300"/>
    <n v="2000"/>
    <n v="719.52"/>
    <n v="0"/>
    <n v="606606"/>
    <s v="FEMALE"/>
    <s v="High School"/>
    <s v="farming-fishing"/>
    <s v="golf"/>
    <s v="own-child"/>
    <n v="45800"/>
    <n v="0"/>
    <d v="2015-02-13T00:00:00"/>
    <s v="Parked Car"/>
    <s v="?"/>
    <s v="Trivial Damage"/>
    <s v="None"/>
    <x v="0"/>
    <x v="2"/>
    <s v="1741 Best Ridge"/>
    <n v="9"/>
    <n v="1"/>
    <s v="NO"/>
    <n v="0"/>
    <n v="3"/>
    <s v="?"/>
    <n v="5400"/>
    <n v="600"/>
    <n v="600"/>
    <n v="4200"/>
    <s v="Chevrolet"/>
    <s v="Malibu"/>
    <n v="1998"/>
    <s v="N"/>
    <n v="7.4945872425470492"/>
    <n v="-4680.4799999999996"/>
    <n v="0.13321977411590447"/>
    <n v="17"/>
    <n v="253"/>
    <x v="2"/>
    <x v="1"/>
  </r>
  <r>
    <n v="233"/>
    <n v="39"/>
    <n v="728839"/>
    <d v="2001-01-02T00:00:00"/>
    <s v="OH"/>
    <s v="500/1000"/>
    <n v="2000"/>
    <n v="1524.18"/>
    <n v="0"/>
    <n v="605220"/>
    <s v="MALE"/>
    <s v="JD"/>
    <s v="craft-repair"/>
    <s v="reading"/>
    <s v="unmarried"/>
    <n v="0"/>
    <n v="0"/>
    <d v="2015-01-08T00:00:00"/>
    <s v="Multi-vehicle Collision"/>
    <s v="Rear Collision"/>
    <s v="Minor Damage"/>
    <s v="Fire"/>
    <x v="0"/>
    <x v="6"/>
    <s v="9148 4th Hwy"/>
    <n v="20"/>
    <n v="3"/>
    <s v="?"/>
    <n v="1"/>
    <n v="0"/>
    <s v="YES"/>
    <n v="48870"/>
    <n v="5430"/>
    <n v="5430"/>
    <n v="38010"/>
    <s v="Saab"/>
    <n v="95"/>
    <n v="1999"/>
    <s v="N"/>
    <n v="32.042119618667961"/>
    <n v="-47345.82"/>
    <n v="3.1187820998137956E-2"/>
    <n v="16"/>
    <n v="233"/>
    <x v="0"/>
    <x v="0"/>
  </r>
  <r>
    <n v="274"/>
    <n v="44"/>
    <n v="771509"/>
    <d v="2006-08-10T00:00:00"/>
    <s v="IN"/>
    <s v="500/1000"/>
    <n v="500"/>
    <n v="1395.58"/>
    <n v="0"/>
    <n v="466612"/>
    <s v="FEMALE"/>
    <s v="JD"/>
    <s v="tech-support"/>
    <s v="reading"/>
    <s v="husband"/>
    <n v="0"/>
    <n v="0"/>
    <d v="2015-02-05T00:00:00"/>
    <s v="Vehicle Theft"/>
    <s v="?"/>
    <s v="Minor Damage"/>
    <s v="Police"/>
    <x v="4"/>
    <x v="3"/>
    <s v="4279 Solo Drive"/>
    <n v="7"/>
    <n v="1"/>
    <s v="NO"/>
    <n v="2"/>
    <n v="1"/>
    <s v="?"/>
    <n v="5590"/>
    <n v="860"/>
    <n v="860"/>
    <n v="3870"/>
    <s v="BMW"/>
    <s v="X5"/>
    <n v="2000"/>
    <s v="N"/>
    <n v="4.0026350083776085"/>
    <n v="-4194.42"/>
    <n v="0.24961187622965478"/>
    <n v="15"/>
    <n v="274"/>
    <x v="1"/>
    <x v="1"/>
  </r>
  <r>
    <n v="297"/>
    <n v="48"/>
    <n v="264221"/>
    <d v="2014-07-28T00:00:00"/>
    <s v="IL"/>
    <s v="500/1000"/>
    <n v="1000"/>
    <n v="1243.68"/>
    <n v="0"/>
    <n v="463331"/>
    <s v="MALE"/>
    <s v="Masters"/>
    <s v="protective-serv"/>
    <s v="camping"/>
    <s v="wife"/>
    <n v="0"/>
    <n v="-71400"/>
    <d v="2015-02-20T00:00:00"/>
    <s v="Multi-vehicle Collision"/>
    <s v="Front Collision"/>
    <s v="Major Damage"/>
    <s v="Other"/>
    <x v="2"/>
    <x v="3"/>
    <s v="9177 Texas Ave"/>
    <n v="18"/>
    <n v="3"/>
    <s v="?"/>
    <n v="0"/>
    <n v="2"/>
    <s v="?"/>
    <n v="54960"/>
    <n v="6870"/>
    <n v="0"/>
    <n v="48090"/>
    <s v="Toyota"/>
    <s v="Corolla"/>
    <n v="2002"/>
    <s v="Y"/>
    <n v="44.155927627984703"/>
    <n v="-53716.32"/>
    <n v="2.2628409235639819E-2"/>
    <n v="13"/>
    <n v="297"/>
    <x v="0"/>
    <x v="0"/>
  </r>
  <r>
    <n v="273"/>
    <n v="47"/>
    <n v="602704"/>
    <d v="2011-09-27T00:00:00"/>
    <s v="OH"/>
    <s v="500/1000"/>
    <n v="1000"/>
    <n v="1189.04"/>
    <n v="0"/>
    <n v="457843"/>
    <s v="FEMALE"/>
    <s v="Associate"/>
    <s v="prof-specialty"/>
    <s v="video-games"/>
    <s v="own-child"/>
    <n v="59600"/>
    <n v="0"/>
    <d v="2015-01-24T00:00:00"/>
    <s v="Multi-vehicle Collision"/>
    <s v="Side Collision"/>
    <s v="Minor Damage"/>
    <s v="Police"/>
    <x v="1"/>
    <x v="6"/>
    <s v="5969 Francis St"/>
    <n v="0"/>
    <n v="3"/>
    <s v="NO"/>
    <n v="1"/>
    <n v="3"/>
    <s v="?"/>
    <n v="39800"/>
    <n v="7960"/>
    <n v="3980"/>
    <n v="27860"/>
    <s v="Jeep"/>
    <s v="Wrangler"/>
    <n v="2014"/>
    <s v="N"/>
    <n v="33.444253974656313"/>
    <n v="-38610.959999999999"/>
    <n v="2.9874626265671715E-2"/>
    <n v="1"/>
    <n v="273"/>
    <x v="0"/>
    <x v="0"/>
  </r>
  <r>
    <n v="147"/>
    <n v="37"/>
    <n v="672416"/>
    <d v="2013-04-20T00:00:00"/>
    <s v="IN"/>
    <s v="500/1000"/>
    <n v="2000"/>
    <n v="1375.29"/>
    <n v="0"/>
    <n v="609226"/>
    <s v="FEMALE"/>
    <s v="Masters"/>
    <s v="armed-forces"/>
    <s v="chess"/>
    <s v="own-child"/>
    <n v="0"/>
    <n v="0"/>
    <d v="2015-01-31T00:00:00"/>
    <s v="Multi-vehicle Collision"/>
    <s v="Side Collision"/>
    <s v="Major Damage"/>
    <s v="Ambulance"/>
    <x v="0"/>
    <x v="0"/>
    <s v="9942 Tree Ave"/>
    <n v="11"/>
    <n v="3"/>
    <s v="?"/>
    <n v="0"/>
    <n v="1"/>
    <s v="?"/>
    <n v="56160"/>
    <n v="6240"/>
    <n v="6240"/>
    <n v="43680"/>
    <s v="Ford"/>
    <s v="Fusion"/>
    <n v="2015"/>
    <s v="Y"/>
    <n v="40.805353522876722"/>
    <n v="-54784.71"/>
    <n v="2.4488346005234949E-2"/>
    <n v="0"/>
    <n v="147"/>
    <x v="0"/>
    <x v="0"/>
  </r>
  <r>
    <n v="285"/>
    <n v="42"/>
    <n v="545506"/>
    <d v="1991-03-20T00:00:00"/>
    <s v="IN"/>
    <s v="100/300"/>
    <n v="500"/>
    <n v="1389.13"/>
    <n v="0"/>
    <n v="452942"/>
    <s v="MALE"/>
    <s v="Associate"/>
    <s v="priv-house-serv"/>
    <s v="golf"/>
    <s v="not-in-family"/>
    <n v="63100"/>
    <n v="-79400"/>
    <d v="2015-01-23T00:00:00"/>
    <s v="Single Vehicle Collision"/>
    <s v="Side Collision"/>
    <s v="Total Loss"/>
    <s v="Fire"/>
    <x v="1"/>
    <x v="4"/>
    <s v="5474 Weaver Hwy"/>
    <n v="13"/>
    <n v="1"/>
    <s v="NO"/>
    <n v="0"/>
    <n v="3"/>
    <s v="?"/>
    <n v="52700"/>
    <n v="5270"/>
    <n v="10540"/>
    <n v="36890"/>
    <s v="Toyota"/>
    <s v="Corolla"/>
    <n v="2005"/>
    <s v="N"/>
    <n v="37.910123513628221"/>
    <n v="-51310.87"/>
    <n v="2.6358702870913266E-2"/>
    <n v="10"/>
    <n v="285"/>
    <x v="0"/>
    <x v="0"/>
  </r>
  <r>
    <n v="289"/>
    <n v="43"/>
    <n v="777533"/>
    <d v="2002-12-21T00:00:00"/>
    <s v="OH"/>
    <s v="500/1000"/>
    <n v="1000"/>
    <n v="1387.51"/>
    <n v="0"/>
    <n v="609390"/>
    <s v="FEMALE"/>
    <s v="Associate"/>
    <s v="sales"/>
    <s v="base-jumping"/>
    <s v="not-in-family"/>
    <n v="0"/>
    <n v="0"/>
    <d v="2015-01-11T00:00:00"/>
    <s v="Multi-vehicle Collision"/>
    <s v="Side Collision"/>
    <s v="Minor Damage"/>
    <s v="Fire"/>
    <x v="2"/>
    <x v="1"/>
    <s v="1102 Apache Hwy"/>
    <n v="19"/>
    <n v="3"/>
    <s v="YES"/>
    <n v="1"/>
    <n v="3"/>
    <s v="?"/>
    <n v="68580"/>
    <n v="7620"/>
    <n v="7620"/>
    <n v="53340"/>
    <s v="Jeep"/>
    <s v="Wrangler"/>
    <n v="2010"/>
    <s v="N"/>
    <n v="49.391073884955816"/>
    <n v="-67192.490000000005"/>
    <n v="2.0231696825651419E-2"/>
    <n v="5"/>
    <n v="289"/>
    <x v="0"/>
    <x v="0"/>
  </r>
  <r>
    <n v="427"/>
    <n v="60"/>
    <n v="953334"/>
    <d v="2005-12-03T00:00:00"/>
    <s v="IN"/>
    <s v="100/300"/>
    <n v="1000"/>
    <n v="1178.6099999999999"/>
    <n v="7000000"/>
    <n v="446608"/>
    <s v="MALE"/>
    <s v="MD"/>
    <s v="craft-repair"/>
    <s v="board-games"/>
    <s v="own-child"/>
    <n v="0"/>
    <n v="-54400"/>
    <d v="2015-02-20T00:00:00"/>
    <s v="Single Vehicle Collision"/>
    <s v="Side Collision"/>
    <s v="Major Damage"/>
    <s v="Ambulance"/>
    <x v="2"/>
    <x v="3"/>
    <s v="9214 Texas Drive"/>
    <n v="23"/>
    <n v="1"/>
    <s v="YES"/>
    <n v="1"/>
    <n v="2"/>
    <s v="YES"/>
    <n v="90860"/>
    <n v="12980"/>
    <n v="19470"/>
    <n v="58410"/>
    <s v="Volkswagen"/>
    <s v="Jetta"/>
    <n v="2004"/>
    <s v="Y"/>
    <n v="77.025457566483851"/>
    <n v="-89681.39"/>
    <n v="1.2971571961567669E-2"/>
    <n v="11"/>
    <n v="427"/>
    <x v="0"/>
    <x v="0"/>
  </r>
  <r>
    <n v="380"/>
    <n v="53"/>
    <n v="369781"/>
    <d v="2011-05-25T00:00:00"/>
    <s v="IL"/>
    <s v="250/500"/>
    <n v="2000"/>
    <n v="1166.6199999999999"/>
    <n v="6000000"/>
    <n v="602500"/>
    <s v="MALE"/>
    <s v="Associate"/>
    <s v="priv-house-serv"/>
    <s v="bungie-jumping"/>
    <s v="wife"/>
    <n v="0"/>
    <n v="0"/>
    <d v="2015-02-24T00:00:00"/>
    <s v="Parked Car"/>
    <s v="?"/>
    <s v="Trivial Damage"/>
    <s v="Police"/>
    <x v="5"/>
    <x v="5"/>
    <s v="8991 Texas Hwy"/>
    <n v="23"/>
    <n v="1"/>
    <s v="NO"/>
    <n v="0"/>
    <n v="3"/>
    <s v="NO"/>
    <n v="5700"/>
    <n v="570"/>
    <n v="570"/>
    <n v="4560"/>
    <s v="Saab"/>
    <n v="93"/>
    <n v="2001"/>
    <s v="N"/>
    <n v="4.8817252188211926"/>
    <n v="-4533.38"/>
    <n v="0.20463427468865109"/>
    <n v="14"/>
    <n v="380"/>
    <x v="1"/>
    <x v="1"/>
  </r>
  <r>
    <n v="13"/>
    <n v="21"/>
    <n v="990998"/>
    <d v="2006-10-18T00:00:00"/>
    <s v="IN"/>
    <s v="100/300"/>
    <n v="1000"/>
    <n v="1556.31"/>
    <n v="0"/>
    <n v="463809"/>
    <s v="MALE"/>
    <s v="Associate"/>
    <s v="prof-specialty"/>
    <s v="golf"/>
    <s v="not-in-family"/>
    <n v="0"/>
    <n v="-75000"/>
    <d v="2015-01-19T00:00:00"/>
    <s v="Multi-vehicle Collision"/>
    <s v="Side Collision"/>
    <s v="Total Loss"/>
    <s v="Police"/>
    <x v="2"/>
    <x v="4"/>
    <s v="9580 MLK Ave"/>
    <n v="19"/>
    <n v="3"/>
    <s v="YES"/>
    <n v="2"/>
    <n v="0"/>
    <s v="YES"/>
    <n v="94930"/>
    <n v="8630"/>
    <n v="8630"/>
    <n v="77670"/>
    <s v="Accura"/>
    <s v="RSX"/>
    <n v="2014"/>
    <s v="N"/>
    <n v="60.957677019989596"/>
    <n v="-93373.69"/>
    <n v="1.6394117832952353E-2"/>
    <n v="1"/>
    <n v="13"/>
    <x v="0"/>
    <x v="0"/>
  </r>
  <r>
    <n v="282"/>
    <n v="43"/>
    <n v="982678"/>
    <d v="2006-07-19T00:00:00"/>
    <s v="OH"/>
    <s v="250/500"/>
    <n v="500"/>
    <n v="1452.27"/>
    <n v="0"/>
    <n v="611996"/>
    <s v="MALE"/>
    <s v="MD"/>
    <s v="farming-fishing"/>
    <s v="video-games"/>
    <s v="not-in-family"/>
    <n v="75800"/>
    <n v="0"/>
    <d v="2015-01-08T00:00:00"/>
    <s v="Single Vehicle Collision"/>
    <s v="Side Collision"/>
    <s v="Major Damage"/>
    <s v="Ambulance"/>
    <x v="0"/>
    <x v="5"/>
    <s v="5868 Best Drive"/>
    <n v="19"/>
    <n v="1"/>
    <s v="NO"/>
    <n v="1"/>
    <n v="2"/>
    <s v="NO"/>
    <n v="46800"/>
    <n v="4680"/>
    <n v="9360"/>
    <n v="32760"/>
    <s v="Audi"/>
    <s v="A5"/>
    <n v="2007"/>
    <s v="Y"/>
    <n v="32.203238214509348"/>
    <n v="-45347.73"/>
    <n v="3.1030747206256277E-2"/>
    <n v="8"/>
    <n v="282"/>
    <x v="0"/>
    <x v="0"/>
  </r>
  <r>
    <n v="312"/>
    <n v="47"/>
    <n v="646069"/>
    <d v="2002-06-08T00:00:00"/>
    <s v="OH"/>
    <s v="500/1000"/>
    <n v="1000"/>
    <n v="1212.07"/>
    <n v="0"/>
    <n v="459298"/>
    <s v="FEMALE"/>
    <s v="MD"/>
    <s v="exec-managerial"/>
    <s v="polo"/>
    <s v="wife"/>
    <n v="66900"/>
    <n v="-51800"/>
    <d v="2015-03-01T00:00:00"/>
    <s v="Multi-vehicle Collision"/>
    <s v="Side Collision"/>
    <s v="Total Loss"/>
    <s v="Fire"/>
    <x v="2"/>
    <x v="5"/>
    <s v="5318 5th Ave"/>
    <n v="17"/>
    <n v="3"/>
    <s v="NO"/>
    <n v="2"/>
    <n v="3"/>
    <s v="NO"/>
    <n v="56320"/>
    <n v="7040"/>
    <n v="7040"/>
    <n v="42240"/>
    <s v="Mercedes"/>
    <s v="ML350"/>
    <n v="2000"/>
    <s v="N"/>
    <n v="46.427658750113352"/>
    <n v="-55107.93"/>
    <n v="2.1520747145824824E-2"/>
    <n v="15"/>
    <n v="312"/>
    <x v="0"/>
    <x v="0"/>
  </r>
  <r>
    <n v="266"/>
    <n v="46"/>
    <n v="331683"/>
    <d v="2009-02-12T00:00:00"/>
    <s v="OH"/>
    <s v="100/300"/>
    <n v="2000"/>
    <n v="1578.54"/>
    <n v="0"/>
    <n v="468158"/>
    <s v="MALE"/>
    <s v="Associate"/>
    <s v="handlers-cleaners"/>
    <s v="chess"/>
    <s v="husband"/>
    <n v="0"/>
    <n v="-41400"/>
    <d v="2015-01-21T00:00:00"/>
    <s v="Single Vehicle Collision"/>
    <s v="Front Collision"/>
    <s v="Minor Damage"/>
    <s v="Fire"/>
    <x v="4"/>
    <x v="4"/>
    <s v="7502 Rock Lane"/>
    <n v="18"/>
    <n v="1"/>
    <s v="NO"/>
    <n v="1"/>
    <n v="3"/>
    <s v="YES"/>
    <n v="83490"/>
    <n v="7590"/>
    <n v="15180"/>
    <n v="60720"/>
    <s v="Nissan"/>
    <s v="Pathfinder"/>
    <n v="1996"/>
    <s v="N"/>
    <n v="52.857160945591758"/>
    <n v="-81911.460000000006"/>
    <n v="1.8906708507503801E-2"/>
    <n v="19"/>
    <n v="266"/>
    <x v="0"/>
    <x v="0"/>
  </r>
  <r>
    <n v="30"/>
    <n v="36"/>
    <n v="364055"/>
    <d v="2001-05-14T00:00:00"/>
    <s v="IN"/>
    <s v="500/1000"/>
    <n v="500"/>
    <n v="1488.26"/>
    <n v="0"/>
    <n v="440831"/>
    <s v="FEMALE"/>
    <s v="College"/>
    <s v="machine-op-inspct"/>
    <s v="golf"/>
    <s v="wife"/>
    <n v="0"/>
    <n v="-63500"/>
    <d v="2015-02-28T00:00:00"/>
    <s v="Multi-vehicle Collision"/>
    <s v="Side Collision"/>
    <s v="Total Loss"/>
    <s v="Police"/>
    <x v="4"/>
    <x v="6"/>
    <s v="4627 Elm Ridge"/>
    <n v="17"/>
    <n v="3"/>
    <s v="NO"/>
    <n v="2"/>
    <n v="2"/>
    <s v="?"/>
    <n v="57900"/>
    <n v="5790"/>
    <n v="5790"/>
    <n v="46320"/>
    <s v="Saab"/>
    <n v="95"/>
    <n v="2008"/>
    <s v="N"/>
    <n v="38.878369122920105"/>
    <n v="-56411.74"/>
    <n v="2.5703528436469145E-2"/>
    <n v="7"/>
    <n v="30"/>
    <x v="0"/>
    <x v="0"/>
  </r>
  <r>
    <n v="198"/>
    <n v="36"/>
    <n v="521854"/>
    <d v="2001-02-16T00:00:00"/>
    <s v="IN"/>
    <s v="250/500"/>
    <n v="1000"/>
    <n v="1096.3900000000001"/>
    <n v="0"/>
    <n v="603848"/>
    <s v="MALE"/>
    <s v="High School"/>
    <s v="armed-forces"/>
    <s v="kayaking"/>
    <s v="own-child"/>
    <n v="0"/>
    <n v="0"/>
    <d v="2015-01-26T00:00:00"/>
    <s v="Multi-vehicle Collision"/>
    <s v="Rear Collision"/>
    <s v="Total Loss"/>
    <s v="Fire"/>
    <x v="0"/>
    <x v="3"/>
    <s v="5584 Britain Lane"/>
    <n v="11"/>
    <n v="3"/>
    <s v="?"/>
    <n v="1"/>
    <n v="3"/>
    <s v="YES"/>
    <n v="49410"/>
    <n v="5490"/>
    <n v="5490"/>
    <n v="38430"/>
    <s v="Audi"/>
    <s v="A3"/>
    <n v="2015"/>
    <s v="N"/>
    <n v="45.025013896609224"/>
    <n v="-48313.61"/>
    <n v="2.218918864220518E-2"/>
    <n v="0"/>
    <n v="198"/>
    <x v="0"/>
    <x v="0"/>
  </r>
  <r>
    <n v="290"/>
    <n v="45"/>
    <n v="737252"/>
    <d v="1993-11-18T00:00:00"/>
    <s v="OH"/>
    <s v="500/1000"/>
    <n v="2000"/>
    <n v="1215.3599999999999"/>
    <n v="0"/>
    <n v="617739"/>
    <s v="MALE"/>
    <s v="Associate"/>
    <s v="tech-support"/>
    <s v="reading"/>
    <s v="own-child"/>
    <n v="54400"/>
    <n v="0"/>
    <d v="2015-01-31T00:00:00"/>
    <s v="Multi-vehicle Collision"/>
    <s v="Side Collision"/>
    <s v="Minor Damage"/>
    <s v="Fire"/>
    <x v="4"/>
    <x v="5"/>
    <s v="7002 Oak Hwy"/>
    <n v="22"/>
    <n v="3"/>
    <s v="?"/>
    <n v="0"/>
    <n v="1"/>
    <s v="NO"/>
    <n v="66200"/>
    <n v="6620"/>
    <n v="6620"/>
    <n v="52960"/>
    <s v="Suburu"/>
    <s v="Impreza"/>
    <n v="2012"/>
    <s v="N"/>
    <n v="54.424676904863695"/>
    <n v="-64984.639999999999"/>
    <n v="1.8358635065935557E-2"/>
    <n v="3"/>
    <n v="290"/>
    <x v="0"/>
    <x v="0"/>
  </r>
  <r>
    <n v="260"/>
    <n v="46"/>
    <n v="344480"/>
    <d v="1990-02-18T00:00:00"/>
    <s v="OH"/>
    <s v="100/300"/>
    <n v="2000"/>
    <n v="1482.57"/>
    <n v="0"/>
    <n v="607133"/>
    <s v="MALE"/>
    <s v="MD"/>
    <s v="priv-house-serv"/>
    <s v="reading"/>
    <s v="husband"/>
    <n v="35000"/>
    <n v="0"/>
    <d v="2015-02-20T00:00:00"/>
    <s v="Single Vehicle Collision"/>
    <s v="Front Collision"/>
    <s v="Minor Damage"/>
    <s v="Fire"/>
    <x v="2"/>
    <x v="0"/>
    <s v="4780 Best Drive"/>
    <n v="7"/>
    <n v="1"/>
    <s v="NO"/>
    <n v="0"/>
    <n v="1"/>
    <s v="NO"/>
    <n v="64080"/>
    <n v="10680"/>
    <n v="10680"/>
    <n v="42720"/>
    <s v="Toyota"/>
    <s v="Camry"/>
    <n v="2005"/>
    <s v="N"/>
    <n v="43.193108515270602"/>
    <n v="-62597.43"/>
    <n v="2.3135874908319157E-2"/>
    <n v="10"/>
    <n v="260"/>
    <x v="0"/>
    <x v="0"/>
  </r>
  <r>
    <n v="233"/>
    <n v="43"/>
    <n v="898519"/>
    <d v="2000-05-21T00:00:00"/>
    <s v="OH"/>
    <s v="250/500"/>
    <n v="1000"/>
    <n v="954.18"/>
    <n v="0"/>
    <n v="437470"/>
    <s v="FEMALE"/>
    <s v="College"/>
    <s v="tech-support"/>
    <s v="dancing"/>
    <s v="other-relative"/>
    <n v="0"/>
    <n v="0"/>
    <d v="2015-02-17T00:00:00"/>
    <s v="Multi-vehicle Collision"/>
    <s v="Side Collision"/>
    <s v="Minor Damage"/>
    <s v="Other"/>
    <x v="0"/>
    <x v="6"/>
    <s v="8995 1st Ave"/>
    <n v="17"/>
    <n v="3"/>
    <s v="?"/>
    <n v="2"/>
    <n v="3"/>
    <s v="YES"/>
    <n v="42500"/>
    <n v="8500"/>
    <n v="4250"/>
    <n v="29750"/>
    <s v="Nissan"/>
    <s v="Pathfinder"/>
    <n v="2000"/>
    <s v="N"/>
    <n v="44.494231453757408"/>
    <n v="-41545.82"/>
    <n v="2.2450765864332603E-2"/>
    <n v="15"/>
    <n v="233"/>
    <x v="0"/>
    <x v="0"/>
  </r>
  <r>
    <n v="130"/>
    <n v="30"/>
    <n v="957816"/>
    <d v="2012-08-26T00:00:00"/>
    <s v="IL"/>
    <s v="500/1000"/>
    <n v="2000"/>
    <n v="1193.4000000000001"/>
    <n v="0"/>
    <n v="461372"/>
    <s v="MALE"/>
    <s v="PhD"/>
    <s v="exec-managerial"/>
    <s v="bungie-jumping"/>
    <s v="own-child"/>
    <n v="0"/>
    <n v="-40800"/>
    <d v="2015-02-02T00:00:00"/>
    <s v="Multi-vehicle Collision"/>
    <s v="Side Collision"/>
    <s v="Total Loss"/>
    <s v="Other"/>
    <x v="0"/>
    <x v="0"/>
    <s v="5586 2nd St"/>
    <n v="16"/>
    <n v="3"/>
    <s v="NO"/>
    <n v="2"/>
    <n v="3"/>
    <s v="?"/>
    <n v="48950"/>
    <n v="8900"/>
    <n v="4450"/>
    <n v="35600"/>
    <s v="Suburu"/>
    <s v="Legacy"/>
    <n v="2005"/>
    <s v="N"/>
    <n v="40.982920294708634"/>
    <n v="-47756.6"/>
    <n v="2.4379481522338667E-2"/>
    <n v="10"/>
    <n v="130"/>
    <x v="0"/>
    <x v="0"/>
  </r>
  <r>
    <n v="230"/>
    <n v="42"/>
    <n v="175960"/>
    <d v="2004-11-16T00:00:00"/>
    <s v="IN"/>
    <s v="100/300"/>
    <n v="1000"/>
    <n v="1023.11"/>
    <n v="0"/>
    <n v="476130"/>
    <s v="FEMALE"/>
    <s v="MD"/>
    <s v="adm-clerical"/>
    <s v="golf"/>
    <s v="own-child"/>
    <n v="0"/>
    <n v="-45300"/>
    <d v="2015-02-06T00:00:00"/>
    <s v="Multi-vehicle Collision"/>
    <s v="Rear Collision"/>
    <s v="Minor Damage"/>
    <s v="Other"/>
    <x v="2"/>
    <x v="5"/>
    <s v="1589 Best Ave"/>
    <n v="13"/>
    <n v="3"/>
    <s v="NO"/>
    <n v="1"/>
    <n v="2"/>
    <s v="YES"/>
    <n v="58850"/>
    <n v="10700"/>
    <n v="10700"/>
    <n v="37450"/>
    <s v="Accura"/>
    <s v="MDX"/>
    <n v="1999"/>
    <s v="N"/>
    <n v="57.46453017742234"/>
    <n v="-57826.89"/>
    <n v="1.738475132113303E-2"/>
    <n v="16"/>
    <n v="230"/>
    <x v="0"/>
    <x v="0"/>
  </r>
  <r>
    <n v="212"/>
    <n v="40"/>
    <n v="489618"/>
    <d v="2003-01-23T00:00:00"/>
    <s v="IL"/>
    <s v="500/1000"/>
    <n v="1000"/>
    <n v="1524.45"/>
    <n v="0"/>
    <n v="452438"/>
    <s v="FEMALE"/>
    <s v="Masters"/>
    <s v="other-service"/>
    <s v="golf"/>
    <s v="husband"/>
    <n v="73200"/>
    <n v="0"/>
    <d v="2015-02-11T00:00:00"/>
    <s v="Multi-vehicle Collision"/>
    <s v="Side Collision"/>
    <s v="Minor Damage"/>
    <s v="Other"/>
    <x v="2"/>
    <x v="6"/>
    <s v="1880 Weaver Drive"/>
    <n v="17"/>
    <n v="3"/>
    <s v="YES"/>
    <n v="0"/>
    <n v="2"/>
    <s v="YES"/>
    <n v="82400"/>
    <n v="8240"/>
    <n v="8240"/>
    <n v="65920"/>
    <s v="Nissan"/>
    <s v="Pathfinder"/>
    <n v="2006"/>
    <s v="N"/>
    <n v="54.016847487626599"/>
    <n v="-80875.55"/>
    <n v="1.8500382276914116E-2"/>
    <n v="9"/>
    <n v="212"/>
    <x v="0"/>
    <x v="0"/>
  </r>
  <r>
    <n v="299"/>
    <n v="44"/>
    <n v="717044"/>
    <d v="2008-11-07T00:00:00"/>
    <s v="OH"/>
    <s v="500/1000"/>
    <n v="1000"/>
    <n v="1653.32"/>
    <n v="0"/>
    <n v="460517"/>
    <s v="FEMALE"/>
    <s v="College"/>
    <s v="other-service"/>
    <s v="bungie-jumping"/>
    <s v="other-relative"/>
    <n v="0"/>
    <n v="-48800"/>
    <d v="2015-01-25T00:00:00"/>
    <s v="Single Vehicle Collision"/>
    <s v="Rear Collision"/>
    <s v="Minor Damage"/>
    <s v="Ambulance"/>
    <x v="4"/>
    <x v="3"/>
    <s v="7295 Tree Hwy"/>
    <n v="3"/>
    <n v="1"/>
    <s v="YES"/>
    <n v="2"/>
    <n v="0"/>
    <s v="?"/>
    <n v="54240"/>
    <n v="6780"/>
    <n v="6780"/>
    <n v="40680"/>
    <s v="Suburu"/>
    <s v="Impreza"/>
    <n v="2009"/>
    <s v="N"/>
    <n v="32.786885245901644"/>
    <n v="-52586.68"/>
    <n v="3.0481001456462823E-2"/>
    <n v="6"/>
    <n v="299"/>
    <x v="0"/>
    <x v="0"/>
  </r>
  <r>
    <n v="91"/>
    <n v="26"/>
    <n v="101421"/>
    <d v="1999-10-19T00:00:00"/>
    <s v="IL"/>
    <s v="250/500"/>
    <n v="1000"/>
    <n v="1022.46"/>
    <n v="0"/>
    <n v="444896"/>
    <s v="FEMALE"/>
    <s v="Associate"/>
    <s v="armed-forces"/>
    <s v="video-games"/>
    <s v="other-relative"/>
    <n v="52700"/>
    <n v="0"/>
    <d v="2015-02-23T00:00:00"/>
    <s v="Multi-vehicle Collision"/>
    <s v="Front Collision"/>
    <s v="Minor Damage"/>
    <s v="Other"/>
    <x v="0"/>
    <x v="2"/>
    <s v="8832 Pine Drive"/>
    <n v="15"/>
    <n v="3"/>
    <s v="?"/>
    <n v="0"/>
    <n v="2"/>
    <s v="?"/>
    <n v="74200"/>
    <n v="7420"/>
    <n v="7420"/>
    <n v="59360"/>
    <s v="Jeep"/>
    <s v="Wrangler"/>
    <n v="1996"/>
    <s v="N"/>
    <n v="72.499169483907522"/>
    <n v="-73177.539999999994"/>
    <n v="1.3779598657700032E-2"/>
    <n v="19"/>
    <n v="91"/>
    <x v="0"/>
    <x v="0"/>
  </r>
  <r>
    <n v="398"/>
    <n v="53"/>
    <n v="793948"/>
    <d v="1990-12-20T00:00:00"/>
    <s v="IL"/>
    <s v="100/300"/>
    <n v="2000"/>
    <n v="1396.43"/>
    <n v="0"/>
    <n v="448722"/>
    <s v="FEMALE"/>
    <s v="Associate"/>
    <s v="priv-house-serv"/>
    <s v="base-jumping"/>
    <s v="unmarried"/>
    <n v="21500"/>
    <n v="0"/>
    <d v="2015-01-29T00:00:00"/>
    <s v="Single Vehicle Collision"/>
    <s v="Front Collision"/>
    <s v="Total Loss"/>
    <s v="Fire"/>
    <x v="4"/>
    <x v="4"/>
    <s v="1620 Oak Ave"/>
    <n v="16"/>
    <n v="1"/>
    <s v="YES"/>
    <n v="2"/>
    <n v="1"/>
    <s v="?"/>
    <n v="47430"/>
    <n v="5270"/>
    <n v="5270"/>
    <n v="36890"/>
    <s v="Toyota"/>
    <s v="Camry"/>
    <n v="2000"/>
    <s v="N"/>
    <n v="33.940877181683518"/>
    <n v="-46033.57"/>
    <n v="2.9441293668697688E-2"/>
    <n v="15"/>
    <n v="398"/>
    <x v="0"/>
    <x v="0"/>
  </r>
  <r>
    <n v="218"/>
    <n v="43"/>
    <n v="737483"/>
    <d v="1996-02-14T00:00:00"/>
    <s v="IL"/>
    <s v="250/500"/>
    <n v="500"/>
    <n v="1521.55"/>
    <n v="0"/>
    <n v="477856"/>
    <s v="FEMALE"/>
    <s v="Associate"/>
    <s v="priv-house-serv"/>
    <s v="polo"/>
    <s v="other-relative"/>
    <n v="61100"/>
    <n v="-64500"/>
    <d v="2015-01-02T00:00:00"/>
    <s v="Single Vehicle Collision"/>
    <s v="Rear Collision"/>
    <s v="Major Damage"/>
    <s v="Fire"/>
    <x v="0"/>
    <x v="4"/>
    <s v="3847 Elm Hwy"/>
    <n v="18"/>
    <n v="1"/>
    <s v="?"/>
    <n v="1"/>
    <n v="3"/>
    <s v="YES"/>
    <n v="68200"/>
    <n v="13640"/>
    <n v="6820"/>
    <n v="47740"/>
    <s v="Dodge"/>
    <s v="RAM"/>
    <n v="2003"/>
    <s v="Y"/>
    <n v="44.793274440905058"/>
    <n v="-66678.45"/>
    <n v="2.2309790179029631E-2"/>
    <n v="12"/>
    <n v="218"/>
    <x v="0"/>
    <x v="0"/>
  </r>
  <r>
    <n v="152"/>
    <n v="33"/>
    <n v="695117"/>
    <d v="2001-06-10T00:00:00"/>
    <s v="IN"/>
    <s v="100/300"/>
    <n v="1000"/>
    <n v="1034.27"/>
    <n v="0"/>
    <n v="617721"/>
    <s v="FEMALE"/>
    <s v="JD"/>
    <s v="armed-forces"/>
    <s v="exercise"/>
    <s v="husband"/>
    <n v="0"/>
    <n v="0"/>
    <d v="2015-02-06T00:00:00"/>
    <s v="Single Vehicle Collision"/>
    <s v="Front Collision"/>
    <s v="Minor Damage"/>
    <s v="Fire"/>
    <x v="2"/>
    <x v="4"/>
    <s v="3177 MLK Ridge"/>
    <n v="18"/>
    <n v="1"/>
    <s v="NO"/>
    <n v="1"/>
    <n v="0"/>
    <s v="NO"/>
    <n v="63900"/>
    <n v="7100"/>
    <n v="7100"/>
    <n v="49700"/>
    <s v="Accura"/>
    <s v="TL"/>
    <n v="2014"/>
    <s v="N"/>
    <n v="61.723028775102151"/>
    <n v="-62865.73"/>
    <n v="1.6185505704136086E-2"/>
    <n v="1"/>
    <n v="152"/>
    <x v="0"/>
    <x v="0"/>
  </r>
  <r>
    <n v="212"/>
    <n v="39"/>
    <n v="167466"/>
    <d v="2010-03-17T00:00:00"/>
    <s v="OH"/>
    <s v="100/300"/>
    <n v="1000"/>
    <n v="1255.3499999999999"/>
    <n v="0"/>
    <n v="454176"/>
    <s v="FEMALE"/>
    <s v="JD"/>
    <s v="protective-serv"/>
    <s v="skydiving"/>
    <s v="not-in-family"/>
    <n v="60300"/>
    <n v="-58900"/>
    <d v="2015-02-14T00:00:00"/>
    <s v="Multi-vehicle Collision"/>
    <s v="Rear Collision"/>
    <s v="Total Loss"/>
    <s v="Ambulance"/>
    <x v="2"/>
    <x v="1"/>
    <s v="3929 Oak Drive"/>
    <n v="22"/>
    <n v="2"/>
    <s v="NO"/>
    <n v="0"/>
    <n v="3"/>
    <s v="YES"/>
    <n v="59300"/>
    <n v="11860"/>
    <n v="5930"/>
    <n v="41510"/>
    <s v="Dodge"/>
    <s v="RAM"/>
    <n v="2008"/>
    <s v="N"/>
    <n v="47.200222867831421"/>
    <n v="-58044.65"/>
    <n v="2.1169120250923254E-2"/>
    <n v="7"/>
    <n v="212"/>
    <x v="0"/>
    <x v="0"/>
  </r>
  <r>
    <n v="242"/>
    <n v="44"/>
    <n v="664732"/>
    <d v="2003-07-30T00:00:00"/>
    <s v="IL"/>
    <s v="500/1000"/>
    <n v="2000"/>
    <n v="1396.89"/>
    <n v="6000000"/>
    <n v="618127"/>
    <s v="FEMALE"/>
    <s v="College"/>
    <s v="priv-house-serv"/>
    <s v="chess"/>
    <s v="other-relative"/>
    <n v="0"/>
    <n v="-61600"/>
    <d v="2015-02-04T00:00:00"/>
    <s v="Multi-vehicle Collision"/>
    <s v="Front Collision"/>
    <s v="Minor Damage"/>
    <s v="Other"/>
    <x v="0"/>
    <x v="3"/>
    <s v="1469 Lincoln Drive"/>
    <n v="15"/>
    <n v="3"/>
    <s v="NO"/>
    <n v="1"/>
    <n v="2"/>
    <s v="YES"/>
    <n v="66900"/>
    <n v="6690"/>
    <n v="13380"/>
    <n v="46830"/>
    <s v="Suburu"/>
    <s v="Forrestor"/>
    <n v="1999"/>
    <s v="Y"/>
    <n v="47.857842891786902"/>
    <n v="-65503.11"/>
    <n v="2.0879956951316125E-2"/>
    <n v="16"/>
    <n v="242"/>
    <x v="0"/>
    <x v="0"/>
  </r>
  <r>
    <n v="80"/>
    <n v="27"/>
    <n v="143038"/>
    <d v="2014-09-17T00:00:00"/>
    <s v="OH"/>
    <s v="500/1000"/>
    <n v="500"/>
    <n v="795.31"/>
    <n v="0"/>
    <n v="441923"/>
    <s v="MALE"/>
    <s v="JD"/>
    <s v="farming-fishing"/>
    <s v="skydiving"/>
    <s v="husband"/>
    <n v="0"/>
    <n v="-51000"/>
    <d v="2015-02-12T00:00:00"/>
    <s v="Multi-vehicle Collision"/>
    <s v="Rear Collision"/>
    <s v="Major Damage"/>
    <s v="Police"/>
    <x v="3"/>
    <x v="2"/>
    <s v="9719 4th Lane"/>
    <n v="16"/>
    <n v="3"/>
    <s v="YES"/>
    <n v="1"/>
    <n v="3"/>
    <s v="?"/>
    <n v="40810"/>
    <n v="3710"/>
    <n v="7420"/>
    <n v="29680"/>
    <s v="Ford"/>
    <s v="F150"/>
    <n v="2000"/>
    <s v="Y"/>
    <n v="51.248885484296324"/>
    <n v="-40014.69"/>
    <n v="1.9487638136776848E-2"/>
    <n v="15"/>
    <n v="80"/>
    <x v="0"/>
    <x v="0"/>
  </r>
  <r>
    <n v="260"/>
    <n v="43"/>
    <n v="979963"/>
    <d v="2009-06-03T00:00:00"/>
    <s v="IN"/>
    <s v="100/300"/>
    <n v="500"/>
    <n v="982.22"/>
    <n v="0"/>
    <n v="604279"/>
    <s v="FEMALE"/>
    <s v="JD"/>
    <s v="exec-managerial"/>
    <s v="skydiving"/>
    <s v="not-in-family"/>
    <n v="54500"/>
    <n v="-72100"/>
    <d v="2015-02-12T00:00:00"/>
    <s v="Single Vehicle Collision"/>
    <s v="Front Collision"/>
    <s v="Total Loss"/>
    <s v="Fire"/>
    <x v="2"/>
    <x v="1"/>
    <s v="3196 Cherokee St"/>
    <n v="18"/>
    <n v="1"/>
    <s v="?"/>
    <n v="1"/>
    <n v="0"/>
    <s v="?"/>
    <n v="75400"/>
    <n v="15080"/>
    <n v="7540"/>
    <n v="52780"/>
    <s v="Honda"/>
    <s v="CRV"/>
    <n v="2011"/>
    <s v="N"/>
    <n v="76.686804580866948"/>
    <n v="-74417.78"/>
    <n v="1.3026617684115595E-2"/>
    <n v="4"/>
    <n v="260"/>
    <x v="0"/>
    <x v="0"/>
  </r>
  <r>
    <n v="133"/>
    <n v="34"/>
    <n v="467841"/>
    <d v="1994-10-11T00:00:00"/>
    <s v="IN"/>
    <s v="500/1000"/>
    <n v="500"/>
    <n v="1074.07"/>
    <n v="0"/>
    <n v="440833"/>
    <s v="FEMALE"/>
    <s v="JD"/>
    <s v="prof-specialty"/>
    <s v="bungie-jumping"/>
    <s v="husband"/>
    <n v="70900"/>
    <n v="-61100"/>
    <d v="2015-01-28T00:00:00"/>
    <s v="Parked Car"/>
    <s v="?"/>
    <s v="Minor Damage"/>
    <s v="None"/>
    <x v="4"/>
    <x v="5"/>
    <s v="8492 Andromedia Ridge"/>
    <n v="8"/>
    <n v="1"/>
    <s v="NO"/>
    <n v="2"/>
    <n v="0"/>
    <s v="YES"/>
    <n v="4200"/>
    <n v="420"/>
    <n v="840"/>
    <n v="2940"/>
    <s v="Jeep"/>
    <s v="Wrangler"/>
    <n v="2013"/>
    <s v="N"/>
    <n v="3.906722352963063"/>
    <n v="-3125.9300000000003"/>
    <n v="0.2556700785527255"/>
    <n v="2"/>
    <n v="133"/>
    <x v="1"/>
    <x v="1"/>
  </r>
  <r>
    <n v="290"/>
    <n v="45"/>
    <n v="219028"/>
    <d v="1991-07-18T00:00:00"/>
    <s v="OH"/>
    <s v="100/300"/>
    <n v="1000"/>
    <n v="1311.3"/>
    <n v="0"/>
    <n v="451550"/>
    <s v="FEMALE"/>
    <s v="Associate"/>
    <s v="machine-op-inspct"/>
    <s v="chess"/>
    <s v="wife"/>
    <n v="38500"/>
    <n v="0"/>
    <d v="2015-01-10T00:00:00"/>
    <s v="Multi-vehicle Collision"/>
    <s v="Side Collision"/>
    <s v="Major Damage"/>
    <s v="Ambulance"/>
    <x v="2"/>
    <x v="4"/>
    <s v="1353 Washington St"/>
    <n v="23"/>
    <n v="3"/>
    <s v="YES"/>
    <n v="0"/>
    <n v="0"/>
    <s v="YES"/>
    <n v="52650"/>
    <n v="5850"/>
    <n v="5850"/>
    <n v="40950"/>
    <s v="Ford"/>
    <s v="F150"/>
    <n v="2001"/>
    <s v="Y"/>
    <n v="40.120399298940789"/>
    <n v="-51338.7"/>
    <n v="2.4905509866859129E-2"/>
    <n v="14"/>
    <n v="290"/>
    <x v="0"/>
    <x v="0"/>
  </r>
  <r>
    <n v="322"/>
    <n v="49"/>
    <n v="130156"/>
    <d v="2001-09-24T00:00:00"/>
    <s v="IL"/>
    <s v="250/500"/>
    <n v="2000"/>
    <n v="1277.1199999999999"/>
    <n v="0"/>
    <n v="431853"/>
    <s v="FEMALE"/>
    <s v="PhD"/>
    <s v="armed-forces"/>
    <s v="kayaking"/>
    <s v="own-child"/>
    <n v="0"/>
    <n v="-46000"/>
    <d v="2015-01-19T00:00:00"/>
    <s v="Single Vehicle Collision"/>
    <s v="Rear Collision"/>
    <s v="Major Damage"/>
    <s v="Ambulance"/>
    <x v="4"/>
    <x v="4"/>
    <s v="6731 Andromedia Hwy"/>
    <n v="18"/>
    <n v="1"/>
    <s v="?"/>
    <n v="0"/>
    <n v="2"/>
    <s v="YES"/>
    <n v="42240"/>
    <n v="7680"/>
    <n v="7680"/>
    <n v="26880"/>
    <s v="Chevrolet"/>
    <s v="Malibu"/>
    <n v="2007"/>
    <s v="N"/>
    <n v="33.048540043188439"/>
    <n v="-40962.879999999997"/>
    <n v="3.0234132714661108E-2"/>
    <n v="8"/>
    <n v="322"/>
    <x v="0"/>
    <x v="0"/>
  </r>
  <r>
    <n v="228"/>
    <n v="39"/>
    <n v="762951"/>
    <d v="2012-09-19T00:00:00"/>
    <s v="IN"/>
    <s v="500/1000"/>
    <n v="500"/>
    <n v="1388.62"/>
    <n v="0"/>
    <n v="614274"/>
    <s v="FEMALE"/>
    <s v="JD"/>
    <s v="sales"/>
    <s v="reading"/>
    <s v="husband"/>
    <n v="35200"/>
    <n v="0"/>
    <d v="2015-01-19T00:00:00"/>
    <s v="Single Vehicle Collision"/>
    <s v="Side Collision"/>
    <s v="Minor Damage"/>
    <s v="Other"/>
    <x v="5"/>
    <x v="1"/>
    <s v="5769 Texas Lane"/>
    <n v="10"/>
    <n v="1"/>
    <s v="YES"/>
    <n v="1"/>
    <n v="0"/>
    <s v="YES"/>
    <n v="59490"/>
    <n v="6610"/>
    <n v="6610"/>
    <n v="46270"/>
    <s v="Mercedes"/>
    <s v="ML350"/>
    <n v="1995"/>
    <s v="N"/>
    <n v="42.810264676674201"/>
    <n v="-58101.38"/>
    <n v="2.3341681935082615E-2"/>
    <n v="20"/>
    <n v="228"/>
    <x v="0"/>
    <x v="0"/>
  </r>
  <r>
    <n v="195"/>
    <n v="37"/>
    <n v="376879"/>
    <d v="1991-07-11T00:00:00"/>
    <s v="IL"/>
    <s v="100/300"/>
    <n v="1000"/>
    <n v="1406.52"/>
    <n v="8000000"/>
    <n v="619148"/>
    <s v="MALE"/>
    <s v="MD"/>
    <s v="tech-support"/>
    <s v="base-jumping"/>
    <s v="unmarried"/>
    <n v="0"/>
    <n v="0"/>
    <d v="2015-01-28T00:00:00"/>
    <s v="Single Vehicle Collision"/>
    <s v="Side Collision"/>
    <s v="Major Damage"/>
    <s v="Ambulance"/>
    <x v="0"/>
    <x v="2"/>
    <s v="2849 Pine Drive"/>
    <n v="12"/>
    <n v="1"/>
    <s v="NO"/>
    <n v="0"/>
    <n v="2"/>
    <s v="NO"/>
    <n v="44200"/>
    <n v="4420"/>
    <n v="4420"/>
    <n v="35360"/>
    <s v="Jeep"/>
    <s v="Wrangler"/>
    <n v="2002"/>
    <s v="Y"/>
    <n v="31.402750937819711"/>
    <n v="-42793.48"/>
    <n v="3.1820999524897628E-2"/>
    <n v="13"/>
    <n v="195"/>
    <x v="0"/>
    <x v="0"/>
  </r>
  <r>
    <n v="247"/>
    <n v="39"/>
    <n v="599031"/>
    <d v="1991-10-29T00:00:00"/>
    <s v="IN"/>
    <s v="100/300"/>
    <n v="500"/>
    <n v="1558.29"/>
    <n v="0"/>
    <n v="456781"/>
    <s v="FEMALE"/>
    <s v="Masters"/>
    <s v="protective-serv"/>
    <s v="reading"/>
    <s v="unmarried"/>
    <n v="0"/>
    <n v="-49300"/>
    <d v="2015-02-16T00:00:00"/>
    <s v="Vehicle Theft"/>
    <s v="?"/>
    <s v="Trivial Damage"/>
    <s v="Police"/>
    <x v="4"/>
    <x v="3"/>
    <s v="2577 Texas Ridge"/>
    <n v="5"/>
    <n v="1"/>
    <s v="YES"/>
    <n v="1"/>
    <n v="2"/>
    <s v="?"/>
    <n v="7700"/>
    <n v="770"/>
    <n v="1540"/>
    <n v="5390"/>
    <s v="Saab"/>
    <n v="93"/>
    <n v="2000"/>
    <s v="N"/>
    <n v="4.9381449249337841"/>
    <n v="-6141.71"/>
    <n v="0.20234904557849628"/>
    <n v="15"/>
    <n v="247"/>
    <x v="1"/>
    <x v="0"/>
  </r>
  <r>
    <n v="405"/>
    <n v="57"/>
    <n v="676255"/>
    <d v="1999-12-28T00:00:00"/>
    <s v="IN"/>
    <s v="500/1000"/>
    <n v="1000"/>
    <n v="1132.47"/>
    <n v="4000000"/>
    <n v="434293"/>
    <s v="MALE"/>
    <s v="MD"/>
    <s v="priv-house-serv"/>
    <s v="exercise"/>
    <s v="other-relative"/>
    <n v="46300"/>
    <n v="0"/>
    <d v="2015-01-08T00:00:00"/>
    <s v="Multi-vehicle Collision"/>
    <s v="Front Collision"/>
    <s v="Total Loss"/>
    <s v="Other"/>
    <x v="2"/>
    <x v="5"/>
    <s v="3841 Washington Lane"/>
    <n v="21"/>
    <n v="3"/>
    <s v="?"/>
    <n v="2"/>
    <n v="3"/>
    <s v="?"/>
    <n v="61440"/>
    <n v="10240"/>
    <n v="10240"/>
    <n v="40960"/>
    <s v="Saab"/>
    <n v="93"/>
    <n v="2008"/>
    <s v="N"/>
    <n v="54.205228193070838"/>
    <n v="-60307.53"/>
    <n v="1.8431828909034685E-2"/>
    <n v="7"/>
    <n v="405"/>
    <x v="0"/>
    <x v="0"/>
  </r>
  <r>
    <n v="144"/>
    <n v="37"/>
    <n v="985446"/>
    <d v="2012-10-11T00:00:00"/>
    <s v="OH"/>
    <s v="250/500"/>
    <n v="2000"/>
    <n v="1896.91"/>
    <n v="0"/>
    <n v="460895"/>
    <s v="FEMALE"/>
    <s v="PhD"/>
    <s v="handlers-cleaners"/>
    <s v="sleeping"/>
    <s v="not-in-family"/>
    <n v="73700"/>
    <n v="0"/>
    <d v="2015-01-24T00:00:00"/>
    <s v="Multi-vehicle Collision"/>
    <s v="Rear Collision"/>
    <s v="Major Damage"/>
    <s v="Fire"/>
    <x v="0"/>
    <x v="0"/>
    <s v="8125 Texas Ridge"/>
    <n v="17"/>
    <n v="3"/>
    <s v="YES"/>
    <n v="1"/>
    <n v="3"/>
    <s v="NO"/>
    <n v="54400"/>
    <n v="5440"/>
    <n v="10880"/>
    <n v="38080"/>
    <s v="Chevrolet"/>
    <s v="Silverado"/>
    <n v="2015"/>
    <s v="Y"/>
    <n v="28.663108366571649"/>
    <n v="-52503.09"/>
    <n v="3.4869028142865022E-2"/>
    <n v="0"/>
    <n v="144"/>
    <x v="0"/>
    <x v="0"/>
  </r>
  <r>
    <n v="338"/>
    <n v="47"/>
    <n v="884180"/>
    <d v="1995-08-19T00:00:00"/>
    <s v="IL"/>
    <s v="500/1000"/>
    <n v="500"/>
    <n v="1143.46"/>
    <n v="4000000"/>
    <n v="601600"/>
    <s v="MALE"/>
    <s v="MD"/>
    <s v="priv-house-serv"/>
    <s v="polo"/>
    <s v="other-relative"/>
    <n v="0"/>
    <n v="0"/>
    <d v="2015-02-18T00:00:00"/>
    <s v="Single Vehicle Collision"/>
    <s v="Front Collision"/>
    <s v="Total Loss"/>
    <s v="Other"/>
    <x v="5"/>
    <x v="2"/>
    <s v="4826 5th St"/>
    <n v="4"/>
    <n v="1"/>
    <s v="YES"/>
    <n v="2"/>
    <n v="1"/>
    <s v="?"/>
    <n v="58560"/>
    <n v="9760"/>
    <n v="9760"/>
    <n v="39040"/>
    <s v="Mercedes"/>
    <s v="E400"/>
    <n v="2002"/>
    <s v="N"/>
    <n v="51.16823654824109"/>
    <n v="-57416.54"/>
    <n v="1.9525964379023583E-2"/>
    <n v="13"/>
    <n v="338"/>
    <x v="0"/>
    <x v="0"/>
  </r>
  <r>
    <n v="121"/>
    <n v="34"/>
    <n v="571462"/>
    <d v="1991-02-11T00:00:00"/>
    <s v="IN"/>
    <s v="500/1000"/>
    <n v="500"/>
    <n v="1285.42"/>
    <n v="0"/>
    <n v="465440"/>
    <s v="MALE"/>
    <s v="MD"/>
    <s v="priv-house-serv"/>
    <s v="video-games"/>
    <s v="wife"/>
    <n v="0"/>
    <n v="0"/>
    <d v="2015-01-21T00:00:00"/>
    <s v="Single Vehicle Collision"/>
    <s v="Front Collision"/>
    <s v="Major Damage"/>
    <s v="Fire"/>
    <x v="1"/>
    <x v="6"/>
    <s v="1578 5th Lane"/>
    <n v="11"/>
    <n v="1"/>
    <s v="NO"/>
    <n v="1"/>
    <n v="1"/>
    <s v="NO"/>
    <n v="67300"/>
    <n v="6730"/>
    <n v="6730"/>
    <n v="53840"/>
    <s v="Dodge"/>
    <s v="RAM"/>
    <n v="2000"/>
    <s v="Y"/>
    <n v="52.315728922124961"/>
    <n v="-66014.58"/>
    <n v="1.9099567614151353E-2"/>
    <n v="15"/>
    <n v="121"/>
    <x v="0"/>
    <x v="0"/>
  </r>
  <r>
    <n v="398"/>
    <n v="55"/>
    <n v="815883"/>
    <d v="1991-07-02T00:00:00"/>
    <s v="OH"/>
    <s v="250/500"/>
    <n v="2000"/>
    <n v="1305.26"/>
    <n v="0"/>
    <n v="455482"/>
    <s v="MALE"/>
    <s v="MD"/>
    <s v="farming-fishing"/>
    <s v="skydiving"/>
    <s v="wife"/>
    <n v="66200"/>
    <n v="-49700"/>
    <d v="2015-01-08T00:00:00"/>
    <s v="Single Vehicle Collision"/>
    <s v="Rear Collision"/>
    <s v="Major Damage"/>
    <s v="Fire"/>
    <x v="1"/>
    <x v="4"/>
    <s v="6440 Rock Lane"/>
    <n v="18"/>
    <n v="1"/>
    <s v="?"/>
    <n v="1"/>
    <n v="3"/>
    <s v="YES"/>
    <n v="36740"/>
    <n v="3340"/>
    <n v="6680"/>
    <n v="26720"/>
    <s v="BMW"/>
    <s v="X5"/>
    <n v="1998"/>
    <s v="Y"/>
    <n v="28.12610047004425"/>
    <n v="-35434.74"/>
    <n v="3.5525979151356794E-2"/>
    <n v="17"/>
    <n v="398"/>
    <x v="0"/>
    <x v="0"/>
  </r>
  <r>
    <n v="9"/>
    <n v="30"/>
    <n v="258265"/>
    <d v="1994-04-10T00:00:00"/>
    <s v="IL"/>
    <s v="100/300"/>
    <n v="1000"/>
    <n v="1073.83"/>
    <n v="0"/>
    <n v="438877"/>
    <s v="FEMALE"/>
    <s v="High School"/>
    <s v="machine-op-inspct"/>
    <s v="dancing"/>
    <s v="not-in-family"/>
    <n v="0"/>
    <n v="0"/>
    <d v="2015-02-02T00:00:00"/>
    <s v="Single Vehicle Collision"/>
    <s v="Rear Collision"/>
    <s v="Total Loss"/>
    <s v="Police"/>
    <x v="2"/>
    <x v="6"/>
    <s v="5806 Embaracadero St"/>
    <n v="12"/>
    <n v="1"/>
    <s v="?"/>
    <n v="0"/>
    <n v="0"/>
    <s v="NO"/>
    <n v="85690"/>
    <n v="15580"/>
    <n v="15580"/>
    <n v="54530"/>
    <s v="BMW"/>
    <s v="3 Series"/>
    <n v="2011"/>
    <s v="N"/>
    <n v="79.724235460491428"/>
    <n v="-84616.17"/>
    <n v="1.2531421036048125E-2"/>
    <n v="4"/>
    <n v="9"/>
    <x v="0"/>
    <x v="0"/>
  </r>
  <r>
    <n v="115"/>
    <n v="31"/>
    <n v="569714"/>
    <d v="2005-12-04T00:00:00"/>
    <s v="OH"/>
    <s v="500/1000"/>
    <n v="1000"/>
    <n v="1051.67"/>
    <n v="0"/>
    <n v="479824"/>
    <s v="FEMALE"/>
    <s v="Associate"/>
    <s v="exec-managerial"/>
    <s v="bungie-jumping"/>
    <s v="not-in-family"/>
    <n v="0"/>
    <n v="0"/>
    <d v="2015-03-01T00:00:00"/>
    <s v="Multi-vehicle Collision"/>
    <s v="Side Collision"/>
    <s v="Major Damage"/>
    <s v="Ambulance"/>
    <x v="4"/>
    <x v="1"/>
    <s v="1472 4th Drive"/>
    <n v="18"/>
    <n v="3"/>
    <s v="YES"/>
    <n v="0"/>
    <n v="3"/>
    <s v="NO"/>
    <n v="34160"/>
    <n v="0"/>
    <n v="4270"/>
    <n v="29890"/>
    <s v="Audi"/>
    <s v="A5"/>
    <n v="2005"/>
    <s v="Y"/>
    <n v="32.450815545232594"/>
    <n v="-33108.33"/>
    <n v="3.0785691285383918E-2"/>
    <n v="10"/>
    <n v="115"/>
    <x v="0"/>
    <x v="0"/>
  </r>
  <r>
    <n v="280"/>
    <n v="48"/>
    <n v="180008"/>
    <d v="2014-07-16T00:00:00"/>
    <s v="IL"/>
    <s v="250/500"/>
    <n v="1000"/>
    <n v="1387.35"/>
    <n v="0"/>
    <n v="477415"/>
    <s v="MALE"/>
    <s v="JD"/>
    <s v="transport-moving"/>
    <s v="paintball"/>
    <s v="not-in-family"/>
    <n v="0"/>
    <n v="-72000"/>
    <d v="2015-02-04T00:00:00"/>
    <s v="Single Vehicle Collision"/>
    <s v="Front Collision"/>
    <s v="Minor Damage"/>
    <s v="Fire"/>
    <x v="4"/>
    <x v="4"/>
    <s v="5839 Weaver Lane"/>
    <n v="16"/>
    <n v="1"/>
    <s v="NO"/>
    <n v="2"/>
    <n v="2"/>
    <s v="?"/>
    <n v="61320"/>
    <n v="10220"/>
    <n v="10220"/>
    <n v="40880"/>
    <s v="BMW"/>
    <s v="M5"/>
    <n v="1998"/>
    <s v="N"/>
    <n v="44.16753700435769"/>
    <n v="-59932.65"/>
    <n v="2.2624386425531221E-2"/>
    <n v="17"/>
    <n v="280"/>
    <x v="0"/>
    <x v="0"/>
  </r>
  <r>
    <n v="254"/>
    <n v="45"/>
    <n v="633375"/>
    <d v="2003-09-17T00:00:00"/>
    <s v="IL"/>
    <s v="250/500"/>
    <n v="500"/>
    <n v="1083.6400000000001"/>
    <n v="0"/>
    <n v="614372"/>
    <s v="MALE"/>
    <s v="JD"/>
    <s v="other-service"/>
    <s v="paintball"/>
    <s v="husband"/>
    <n v="59800"/>
    <n v="0"/>
    <d v="2015-02-27T00:00:00"/>
    <s v="Multi-vehicle Collision"/>
    <s v="Rear Collision"/>
    <s v="Total Loss"/>
    <s v="Police"/>
    <x v="5"/>
    <x v="0"/>
    <s v="7630 Rock Drive"/>
    <n v="19"/>
    <n v="3"/>
    <s v="YES"/>
    <n v="0"/>
    <n v="0"/>
    <s v="?"/>
    <n v="79680"/>
    <n v="13280"/>
    <n v="13280"/>
    <n v="53120"/>
    <s v="BMW"/>
    <s v="3 Series"/>
    <n v="2004"/>
    <s v="N"/>
    <n v="73.462162560849677"/>
    <n v="-78596.36"/>
    <n v="1.3599728919064772E-2"/>
    <n v="11"/>
    <n v="254"/>
    <x v="0"/>
    <x v="0"/>
  </r>
  <r>
    <n v="141"/>
    <n v="30"/>
    <n v="556538"/>
    <d v="2000-07-15T00:00:00"/>
    <s v="IL"/>
    <s v="250/500"/>
    <n v="1000"/>
    <n v="1851.78"/>
    <n v="0"/>
    <n v="465248"/>
    <s v="FEMALE"/>
    <s v="High School"/>
    <s v="craft-repair"/>
    <s v="exercise"/>
    <s v="other-relative"/>
    <n v="78800"/>
    <n v="0"/>
    <d v="2015-02-09T00:00:00"/>
    <s v="Single Vehicle Collision"/>
    <s v="Front Collision"/>
    <s v="Total Loss"/>
    <s v="Fire"/>
    <x v="0"/>
    <x v="1"/>
    <s v="7144 Andromedia St"/>
    <n v="13"/>
    <n v="1"/>
    <s v="NO"/>
    <n v="1"/>
    <n v="0"/>
    <s v="YES"/>
    <n v="61740"/>
    <n v="6860"/>
    <n v="6860"/>
    <n v="48020"/>
    <s v="Audi"/>
    <s v="A3"/>
    <n v="2002"/>
    <s v="N"/>
    <n v="33.322898563240102"/>
    <n v="-59888.22"/>
    <n v="2.9992711488314085E-2"/>
    <n v="13"/>
    <n v="141"/>
    <x v="0"/>
    <x v="0"/>
  </r>
  <r>
    <n v="441"/>
    <n v="55"/>
    <n v="669501"/>
    <d v="2009-07-29T00:00:00"/>
    <s v="IN"/>
    <s v="250/500"/>
    <n v="500"/>
    <n v="1270.29"/>
    <n v="4000000"/>
    <n v="449421"/>
    <s v="MALE"/>
    <s v="College"/>
    <s v="armed-forces"/>
    <s v="exercise"/>
    <s v="husband"/>
    <n v="24000"/>
    <n v="-50500"/>
    <d v="2015-02-19T00:00:00"/>
    <s v="Parked Car"/>
    <s v="?"/>
    <s v="Minor Damage"/>
    <s v="None"/>
    <x v="1"/>
    <x v="2"/>
    <s v="9988 Rock Ridge"/>
    <n v="4"/>
    <n v="1"/>
    <s v="NO"/>
    <n v="0"/>
    <n v="0"/>
    <s v="NO"/>
    <n v="6400"/>
    <n v="640"/>
    <n v="640"/>
    <n v="5120"/>
    <s v="Honda"/>
    <s v="Civic"/>
    <n v="2002"/>
    <s v="N"/>
    <n v="5.0342565425669994"/>
    <n v="-5129.71"/>
    <n v="0.19845180440556162"/>
    <n v="13"/>
    <n v="441"/>
    <x v="2"/>
    <x v="0"/>
  </r>
  <r>
    <n v="381"/>
    <n v="55"/>
    <n v="963761"/>
    <d v="1991-04-13T00:00:00"/>
    <s v="OH"/>
    <s v="500/1000"/>
    <n v="500"/>
    <n v="1459.99"/>
    <n v="0"/>
    <n v="445856"/>
    <s v="FEMALE"/>
    <s v="MD"/>
    <s v="other-service"/>
    <s v="chess"/>
    <s v="wife"/>
    <n v="35900"/>
    <n v="0"/>
    <d v="2015-01-12T00:00:00"/>
    <s v="Single Vehicle Collision"/>
    <s v="Rear Collision"/>
    <s v="Major Damage"/>
    <s v="Fire"/>
    <x v="0"/>
    <x v="6"/>
    <s v="7544 Washington Ave"/>
    <n v="8"/>
    <n v="1"/>
    <s v="YES"/>
    <n v="1"/>
    <n v="2"/>
    <s v="YES"/>
    <n v="60600"/>
    <n v="12120"/>
    <n v="6060"/>
    <n v="42420"/>
    <s v="Accura"/>
    <s v="TL"/>
    <n v="2011"/>
    <s v="N"/>
    <n v="41.478723331439639"/>
    <n v="-59140.01"/>
    <n v="2.4091846669196879E-2"/>
    <n v="4"/>
    <n v="381"/>
    <x v="0"/>
    <x v="0"/>
  </r>
  <r>
    <n v="191"/>
    <n v="38"/>
    <n v="753005"/>
    <d v="2005-11-20T00:00:00"/>
    <s v="IL"/>
    <s v="100/300"/>
    <n v="2000"/>
    <n v="1253.44"/>
    <n v="0"/>
    <n v="608525"/>
    <s v="FEMALE"/>
    <s v="Masters"/>
    <s v="craft-repair"/>
    <s v="sleeping"/>
    <s v="not-in-family"/>
    <n v="0"/>
    <n v="0"/>
    <d v="2015-02-07T00:00:00"/>
    <s v="Multi-vehicle Collision"/>
    <s v="Side Collision"/>
    <s v="Major Damage"/>
    <s v="Ambulance"/>
    <x v="1"/>
    <x v="4"/>
    <s v="7201 Washington Ave"/>
    <n v="19"/>
    <n v="3"/>
    <s v="NO"/>
    <n v="2"/>
    <n v="0"/>
    <s v="NO"/>
    <n v="56320"/>
    <n v="10240"/>
    <n v="5120"/>
    <n v="40960"/>
    <s v="Volkswagen"/>
    <s v="Jetta"/>
    <n v="2007"/>
    <s v="N"/>
    <n v="44.896527534198526"/>
    <n v="-55066.559999999998"/>
    <n v="2.2255286660393104E-2"/>
    <n v="8"/>
    <n v="191"/>
    <x v="0"/>
    <x v="0"/>
  </r>
  <r>
    <n v="145"/>
    <n v="34"/>
    <n v="454758"/>
    <d v="1990-05-20T00:00:00"/>
    <s v="IN"/>
    <s v="100/300"/>
    <n v="1000"/>
    <n v="1142.48"/>
    <n v="0"/>
    <n v="608813"/>
    <s v="FEMALE"/>
    <s v="JD"/>
    <s v="priv-house-serv"/>
    <s v="sleeping"/>
    <s v="other-relative"/>
    <n v="0"/>
    <n v="0"/>
    <d v="2015-01-13T00:00:00"/>
    <s v="Single Vehicle Collision"/>
    <s v="Side Collision"/>
    <s v="Total Loss"/>
    <s v="Ambulance"/>
    <x v="5"/>
    <x v="5"/>
    <s v="8805 Cherokee Drive"/>
    <n v="18"/>
    <n v="1"/>
    <s v="YES"/>
    <n v="2"/>
    <n v="0"/>
    <s v="NO"/>
    <n v="52250"/>
    <n v="9500"/>
    <n v="4750"/>
    <n v="38000"/>
    <s v="Suburu"/>
    <s v="Legacy"/>
    <n v="2012"/>
    <s v="N"/>
    <n v="45.693846853464862"/>
    <n v="-51107.519999999997"/>
    <n v="2.1865227459761535E-2"/>
    <n v="3"/>
    <n v="145"/>
    <x v="0"/>
    <x v="0"/>
  </r>
  <r>
    <n v="479"/>
    <n v="60"/>
    <n v="698589"/>
    <d v="2002-11-28T00:00:00"/>
    <s v="IL"/>
    <s v="500/1000"/>
    <n v="1000"/>
    <n v="1188.45"/>
    <n v="0"/>
    <n v="459295"/>
    <s v="FEMALE"/>
    <s v="MD"/>
    <s v="exec-managerial"/>
    <s v="camping"/>
    <s v="other-relative"/>
    <n v="0"/>
    <n v="-44800"/>
    <d v="2015-01-18T00:00:00"/>
    <s v="Multi-vehicle Collision"/>
    <s v="Rear Collision"/>
    <s v="Total Loss"/>
    <s v="Other"/>
    <x v="0"/>
    <x v="2"/>
    <s v="3275 Pine St"/>
    <n v="9"/>
    <n v="2"/>
    <s v="?"/>
    <n v="0"/>
    <n v="3"/>
    <s v="?"/>
    <n v="53900"/>
    <n v="5390"/>
    <n v="10780"/>
    <n v="37730"/>
    <s v="Saab"/>
    <n v="95"/>
    <n v="2006"/>
    <s v="N"/>
    <n v="45.315061583084621"/>
    <n v="-52711.55"/>
    <n v="2.2048756052763401E-2"/>
    <n v="9"/>
    <n v="479"/>
    <x v="0"/>
    <x v="0"/>
  </r>
  <r>
    <n v="215"/>
    <n v="35"/>
    <n v="330119"/>
    <d v="2004-06-15T00:00:00"/>
    <s v="IL"/>
    <s v="500/1000"/>
    <n v="1000"/>
    <n v="1125.4000000000001"/>
    <n v="0"/>
    <n v="606144"/>
    <s v="MALE"/>
    <s v="Masters"/>
    <s v="adm-clerical"/>
    <s v="yachting"/>
    <s v="husband"/>
    <n v="40000"/>
    <n v="-43400"/>
    <d v="2015-01-15T00:00:00"/>
    <s v="Vehicle Theft"/>
    <s v="?"/>
    <s v="Trivial Damage"/>
    <s v="None"/>
    <x v="4"/>
    <x v="0"/>
    <s v="7785 Lincoln Lane"/>
    <n v="6"/>
    <n v="1"/>
    <s v="?"/>
    <n v="2"/>
    <n v="1"/>
    <s v="NO"/>
    <n v="2640"/>
    <n v="220"/>
    <n v="440"/>
    <n v="1980"/>
    <s v="Jeep"/>
    <s v="Wrangler"/>
    <n v="2001"/>
    <s v="N"/>
    <n v="2.34375"/>
    <n v="-1514.6"/>
    <n v="0.42612646724725484"/>
    <n v="14"/>
    <n v="215"/>
    <x v="1"/>
    <x v="1"/>
  </r>
  <r>
    <n v="41"/>
    <n v="33"/>
    <n v="164464"/>
    <d v="2010-09-26T00:00:00"/>
    <s v="OH"/>
    <s v="250/500"/>
    <n v="500"/>
    <n v="1294.4100000000001"/>
    <n v="0"/>
    <n v="476315"/>
    <s v="MALE"/>
    <s v="High School"/>
    <s v="transport-moving"/>
    <s v="sleeping"/>
    <s v="husband"/>
    <n v="0"/>
    <n v="0"/>
    <d v="2015-02-23T00:00:00"/>
    <s v="Vehicle Theft"/>
    <s v="?"/>
    <s v="Minor Damage"/>
    <s v="None"/>
    <x v="5"/>
    <x v="2"/>
    <s v="4994 Lincoln Drive"/>
    <n v="8"/>
    <n v="1"/>
    <s v="YES"/>
    <n v="0"/>
    <n v="0"/>
    <s v="?"/>
    <n v="8970"/>
    <n v="1380"/>
    <n v="1380"/>
    <n v="6210"/>
    <s v="Dodge"/>
    <s v="Neon"/>
    <n v="2011"/>
    <s v="N"/>
    <n v="6.9244486301634227"/>
    <n v="-7675.59"/>
    <n v="0.14428826217812954"/>
    <n v="4"/>
    <n v="41"/>
    <x v="2"/>
    <x v="0"/>
  </r>
  <r>
    <n v="45"/>
    <n v="31"/>
    <n v="927354"/>
    <d v="1990-09-15T00:00:00"/>
    <s v="IN"/>
    <s v="100/300"/>
    <n v="500"/>
    <n v="1459.5"/>
    <n v="0"/>
    <n v="475891"/>
    <s v="MALE"/>
    <s v="MD"/>
    <s v="priv-house-serv"/>
    <s v="movies"/>
    <s v="not-in-family"/>
    <n v="0"/>
    <n v="0"/>
    <d v="2015-02-17T00:00:00"/>
    <s v="Parked Car"/>
    <s v="?"/>
    <s v="Minor Damage"/>
    <s v="None"/>
    <x v="2"/>
    <x v="3"/>
    <s v="1298 Maple Hwy"/>
    <n v="6"/>
    <n v="1"/>
    <s v="?"/>
    <n v="1"/>
    <n v="3"/>
    <s v="?"/>
    <n v="6000"/>
    <n v="1000"/>
    <n v="1000"/>
    <n v="4000"/>
    <s v="Suburu"/>
    <s v="Impreza"/>
    <n v="2000"/>
    <s v="N"/>
    <n v="4.1081821294077372"/>
    <n v="-4540.5"/>
    <n v="0.24320946508915181"/>
    <n v="15"/>
    <n v="45"/>
    <x v="1"/>
    <x v="1"/>
  </r>
  <r>
    <n v="156"/>
    <n v="38"/>
    <n v="231508"/>
    <d v="2009-09-16T00:00:00"/>
    <s v="IL"/>
    <s v="100/300"/>
    <n v="500"/>
    <n v="1367.99"/>
    <n v="0"/>
    <n v="462525"/>
    <s v="MALE"/>
    <s v="High School"/>
    <s v="armed-forces"/>
    <s v="board-games"/>
    <s v="own-child"/>
    <n v="26500"/>
    <n v="0"/>
    <d v="2015-02-17T00:00:00"/>
    <s v="Multi-vehicle Collision"/>
    <s v="Front Collision"/>
    <s v="Major Damage"/>
    <s v="Fire"/>
    <x v="4"/>
    <x v="5"/>
    <s v="2644 MLK Drive"/>
    <n v="23"/>
    <n v="3"/>
    <s v="?"/>
    <n v="0"/>
    <n v="3"/>
    <s v="?"/>
    <n v="55200"/>
    <n v="11040"/>
    <n v="5520"/>
    <n v="38640"/>
    <s v="Saab"/>
    <s v="92x"/>
    <n v="1998"/>
    <s v="Y"/>
    <n v="40.321697017509258"/>
    <n v="-53832.01"/>
    <n v="2.4781978587344433E-2"/>
    <n v="17"/>
    <n v="156"/>
    <x v="0"/>
    <x v="0"/>
  </r>
  <r>
    <n v="246"/>
    <n v="45"/>
    <n v="272910"/>
    <d v="1999-08-12T00:00:00"/>
    <s v="IN"/>
    <s v="250/500"/>
    <n v="500"/>
    <n v="1594.37"/>
    <n v="0"/>
    <n v="606283"/>
    <s v="MALE"/>
    <s v="Associate"/>
    <s v="exec-managerial"/>
    <s v="board-games"/>
    <s v="own-child"/>
    <n v="0"/>
    <n v="0"/>
    <d v="2015-01-18T00:00:00"/>
    <s v="Parked Car"/>
    <s v="?"/>
    <s v="Trivial Damage"/>
    <s v="None"/>
    <x v="0"/>
    <x v="1"/>
    <s v="5630 1st Drive"/>
    <n v="13"/>
    <n v="1"/>
    <s v="NO"/>
    <n v="0"/>
    <n v="3"/>
    <s v="YES"/>
    <n v="7260"/>
    <n v="660"/>
    <n v="1320"/>
    <n v="5280"/>
    <s v="Saab"/>
    <s v="92x"/>
    <n v="2008"/>
    <s v="N"/>
    <n v="4.5506684969630875"/>
    <n v="-5665.63"/>
    <n v="0.21957994766561079"/>
    <n v="7"/>
    <n v="246"/>
    <x v="1"/>
    <x v="0"/>
  </r>
  <r>
    <n v="178"/>
    <n v="39"/>
    <n v="305758"/>
    <d v="2009-03-08T00:00:00"/>
    <s v="IL"/>
    <s v="100/300"/>
    <n v="500"/>
    <n v="1035.99"/>
    <n v="0"/>
    <n v="465252"/>
    <s v="FEMALE"/>
    <s v="JD"/>
    <s v="exec-managerial"/>
    <s v="sleeping"/>
    <s v="own-child"/>
    <n v="0"/>
    <n v="0"/>
    <d v="2015-01-17T00:00:00"/>
    <s v="Multi-vehicle Collision"/>
    <s v="Front Collision"/>
    <s v="Minor Damage"/>
    <s v="Police"/>
    <x v="2"/>
    <x v="3"/>
    <s v="6137 MLK St"/>
    <n v="3"/>
    <n v="3"/>
    <s v="NO"/>
    <n v="2"/>
    <n v="0"/>
    <s v="?"/>
    <n v="64680"/>
    <n v="11760"/>
    <n v="11760"/>
    <n v="41160"/>
    <s v="Jeep"/>
    <s v="Wrangler"/>
    <n v="2010"/>
    <s v="N"/>
    <n v="62.372829053317773"/>
    <n v="-63644.01"/>
    <n v="1.6016913776843278E-2"/>
    <n v="5"/>
    <n v="178"/>
    <x v="0"/>
    <x v="0"/>
  </r>
  <r>
    <n v="237"/>
    <n v="43"/>
    <n v="950542"/>
    <d v="2009-04-27T00:00:00"/>
    <s v="OH"/>
    <s v="250/500"/>
    <n v="500"/>
    <n v="911.53"/>
    <n v="0"/>
    <n v="449979"/>
    <s v="FEMALE"/>
    <s v="PhD"/>
    <s v="sales"/>
    <s v="basketball"/>
    <s v="husband"/>
    <n v="53200"/>
    <n v="0"/>
    <d v="2015-02-25T00:00:00"/>
    <s v="Single Vehicle Collision"/>
    <s v="Rear Collision"/>
    <s v="Major Damage"/>
    <s v="Police"/>
    <x v="4"/>
    <x v="6"/>
    <s v="5383 Maple Drive"/>
    <n v="23"/>
    <n v="1"/>
    <s v="NO"/>
    <n v="0"/>
    <n v="1"/>
    <s v="NO"/>
    <n v="59200"/>
    <n v="0"/>
    <n v="11840"/>
    <n v="47360"/>
    <s v="Chevrolet"/>
    <s v="Malibu"/>
    <n v="1998"/>
    <s v="N"/>
    <n v="64.874579465880572"/>
    <n v="-58288.47"/>
    <n v="1.539720612827486E-2"/>
    <n v="17"/>
    <n v="237"/>
    <x v="0"/>
    <x v="0"/>
  </r>
  <r>
    <n v="127"/>
    <n v="34"/>
    <n v="291544"/>
    <d v="2006-08-02T00:00:00"/>
    <s v="OH"/>
    <s v="500/1000"/>
    <n v="500"/>
    <n v="1319.97"/>
    <n v="0"/>
    <n v="604681"/>
    <s v="FEMALE"/>
    <s v="Associate"/>
    <s v="craft-repair"/>
    <s v="paintball"/>
    <s v="own-child"/>
    <n v="73700"/>
    <n v="0"/>
    <d v="2015-01-06T00:00:00"/>
    <s v="Vehicle Theft"/>
    <s v="?"/>
    <s v="Minor Damage"/>
    <s v="None"/>
    <x v="5"/>
    <x v="2"/>
    <s v="4460 4th Lane"/>
    <n v="8"/>
    <n v="1"/>
    <s v="YES"/>
    <n v="1"/>
    <n v="3"/>
    <s v="?"/>
    <n v="4700"/>
    <n v="470"/>
    <n v="940"/>
    <n v="3290"/>
    <s v="Saab"/>
    <s v="92x"/>
    <n v="1998"/>
    <s v="N"/>
    <n v="3.5579914759608471"/>
    <n v="-3380.0299999999997"/>
    <n v="0.28078493937460114"/>
    <n v="17"/>
    <n v="127"/>
    <x v="1"/>
    <x v="1"/>
  </r>
  <r>
    <n v="1"/>
    <n v="33"/>
    <n v="388616"/>
    <d v="1995-12-06T00:00:00"/>
    <s v="OH"/>
    <s v="250/500"/>
    <n v="2000"/>
    <n v="1391.63"/>
    <n v="0"/>
    <n v="466390"/>
    <s v="MALE"/>
    <s v="Associate"/>
    <s v="sales"/>
    <s v="video-games"/>
    <s v="husband"/>
    <n v="61200"/>
    <n v="0"/>
    <d v="2015-02-26T00:00:00"/>
    <s v="Single Vehicle Collision"/>
    <s v="Side Collision"/>
    <s v="Total Loss"/>
    <s v="Other"/>
    <x v="2"/>
    <x v="0"/>
    <s v="8524 Pine Lane"/>
    <n v="23"/>
    <n v="1"/>
    <s v="YES"/>
    <n v="0"/>
    <n v="3"/>
    <s v="NO"/>
    <n v="69400"/>
    <n v="6940"/>
    <n v="6940"/>
    <n v="55520"/>
    <s v="Mercedes"/>
    <s v="C300"/>
    <n v="2000"/>
    <s v="N"/>
    <n v="49.833767763153169"/>
    <n v="-68008.37"/>
    <n v="2.0052016541548395E-2"/>
    <n v="15"/>
    <n v="1"/>
    <x v="0"/>
    <x v="0"/>
  </r>
  <r>
    <n v="5"/>
    <n v="21"/>
    <n v="577992"/>
    <d v="2002-11-13T00:00:00"/>
    <s v="IN"/>
    <s v="250/500"/>
    <n v="500"/>
    <n v="915.41"/>
    <n v="5000000"/>
    <n v="612316"/>
    <s v="FEMALE"/>
    <s v="High School"/>
    <s v="exec-managerial"/>
    <s v="sleeping"/>
    <s v="own-child"/>
    <n v="0"/>
    <n v="0"/>
    <d v="2015-02-11T00:00:00"/>
    <s v="Single Vehicle Collision"/>
    <s v="Side Collision"/>
    <s v="Total Loss"/>
    <s v="Police"/>
    <x v="2"/>
    <x v="6"/>
    <s v="8456 1st Ave"/>
    <n v="23"/>
    <n v="1"/>
    <s v="YES"/>
    <n v="0"/>
    <n v="0"/>
    <s v="NO"/>
    <n v="40500"/>
    <n v="4050"/>
    <n v="4050"/>
    <n v="32400"/>
    <s v="Nissan"/>
    <s v="Pathfinder"/>
    <n v="1998"/>
    <s v="N"/>
    <n v="44.194192555733785"/>
    <n v="-39584.589999999997"/>
    <n v="2.2602157971408111E-2"/>
    <n v="17"/>
    <n v="5"/>
    <x v="0"/>
    <x v="0"/>
  </r>
  <r>
    <n v="64"/>
    <n v="28"/>
    <n v="342830"/>
    <d v="1991-11-09T00:00:00"/>
    <s v="IL"/>
    <s v="500/1000"/>
    <n v="1000"/>
    <n v="1468.82"/>
    <n v="0"/>
    <n v="474731"/>
    <s v="MALE"/>
    <s v="JD"/>
    <s v="handlers-cleaners"/>
    <s v="skydiving"/>
    <s v="other-relative"/>
    <n v="56800"/>
    <n v="-51800"/>
    <d v="2015-02-13T00:00:00"/>
    <s v="Multi-vehicle Collision"/>
    <s v="Side Collision"/>
    <s v="Minor Damage"/>
    <s v="Fire"/>
    <x v="0"/>
    <x v="1"/>
    <s v="3639 Flute Hwy"/>
    <n v="9"/>
    <n v="3"/>
    <s v="NO"/>
    <n v="2"/>
    <n v="1"/>
    <s v="NO"/>
    <n v="60000"/>
    <n v="5000"/>
    <n v="10000"/>
    <n v="45000"/>
    <s v="Honda"/>
    <s v="Accord"/>
    <n v="1997"/>
    <s v="N"/>
    <n v="40.821325060211457"/>
    <n v="-58531.18"/>
    <n v="2.4479925334577757E-2"/>
    <n v="18"/>
    <n v="64"/>
    <x v="0"/>
    <x v="0"/>
  </r>
  <r>
    <n v="142"/>
    <n v="30"/>
    <n v="491170"/>
    <d v="1998-01-14T00:00:00"/>
    <s v="IN"/>
    <s v="500/1000"/>
    <n v="500"/>
    <n v="1412.76"/>
    <n v="0"/>
    <n v="603260"/>
    <s v="MALE"/>
    <s v="PhD"/>
    <s v="armed-forces"/>
    <s v="basketball"/>
    <s v="wife"/>
    <n v="66400"/>
    <n v="-63700"/>
    <d v="2015-01-10T00:00:00"/>
    <s v="Single Vehicle Collision"/>
    <s v="Side Collision"/>
    <s v="Minor Damage"/>
    <s v="Other"/>
    <x v="4"/>
    <x v="1"/>
    <s v="7900 Sky Hwy"/>
    <n v="22"/>
    <n v="1"/>
    <s v="YES"/>
    <n v="2"/>
    <n v="3"/>
    <s v="NO"/>
    <n v="67320"/>
    <n v="11220"/>
    <n v="11220"/>
    <n v="44880"/>
    <s v="Volkswagen"/>
    <s v="Jetta"/>
    <n v="1996"/>
    <s v="N"/>
    <n v="47.617700316885468"/>
    <n v="-65907.240000000005"/>
    <n v="2.0985428023944978E-2"/>
    <n v="19"/>
    <n v="142"/>
    <x v="0"/>
    <x v="0"/>
  </r>
  <r>
    <n v="97"/>
    <n v="27"/>
    <n v="175553"/>
    <d v="2002-04-25T00:00:00"/>
    <s v="OH"/>
    <s v="500/1000"/>
    <n v="500"/>
    <n v="1588.26"/>
    <n v="0"/>
    <n v="434370"/>
    <s v="FEMALE"/>
    <s v="High School"/>
    <s v="tech-support"/>
    <s v="movies"/>
    <s v="husband"/>
    <n v="56700"/>
    <n v="-49300"/>
    <d v="2015-01-24T00:00:00"/>
    <s v="Multi-vehicle Collision"/>
    <s v="Side Collision"/>
    <s v="Total Loss"/>
    <s v="Other"/>
    <x v="1"/>
    <x v="1"/>
    <s v="7835 Cherokee Hwy"/>
    <n v="22"/>
    <n v="3"/>
    <s v="YES"/>
    <n v="2"/>
    <n v="1"/>
    <s v="YES"/>
    <n v="75690"/>
    <n v="8410"/>
    <n v="8410"/>
    <n v="58870"/>
    <s v="Saab"/>
    <n v="95"/>
    <n v="2014"/>
    <s v="N"/>
    <n v="47.625939116318285"/>
    <n v="-74101.740000000005"/>
    <n v="2.0983472275435653E-2"/>
    <n v="1"/>
    <n v="97"/>
    <x v="0"/>
    <x v="0"/>
  </r>
  <r>
    <n v="121"/>
    <n v="31"/>
    <n v="439341"/>
    <d v="1991-07-20T00:00:00"/>
    <s v="IN"/>
    <s v="100/300"/>
    <n v="1000"/>
    <n v="1140.9100000000001"/>
    <n v="0"/>
    <n v="478388"/>
    <s v="MALE"/>
    <s v="Associate"/>
    <s v="adm-clerical"/>
    <s v="paintball"/>
    <s v="other-relative"/>
    <n v="51300"/>
    <n v="0"/>
    <d v="2015-02-15T00:00:00"/>
    <s v="Multi-vehicle Collision"/>
    <s v="Side Collision"/>
    <s v="Major Damage"/>
    <s v="Fire"/>
    <x v="1"/>
    <x v="5"/>
    <s v="1030 Pine Lane"/>
    <n v="15"/>
    <n v="3"/>
    <s v="NO"/>
    <n v="1"/>
    <n v="2"/>
    <s v="?"/>
    <n v="64300"/>
    <n v="6430"/>
    <n v="6430"/>
    <n v="51440"/>
    <s v="Chevrolet"/>
    <s v="Silverado"/>
    <n v="2002"/>
    <s v="Y"/>
    <n v="56.309166221506068"/>
    <n v="-63159.09"/>
    <n v="1.774326993359357E-2"/>
    <n v="13"/>
    <n v="121"/>
    <x v="0"/>
    <x v="0"/>
  </r>
  <r>
    <n v="225"/>
    <n v="43"/>
    <n v="221186"/>
    <d v="2004-08-13T00:00:00"/>
    <s v="OH"/>
    <s v="100/300"/>
    <n v="1000"/>
    <n v="1517.54"/>
    <n v="0"/>
    <n v="617883"/>
    <s v="MALE"/>
    <s v="JD"/>
    <s v="priv-house-serv"/>
    <s v="camping"/>
    <s v="own-child"/>
    <n v="0"/>
    <n v="-20900"/>
    <d v="2015-01-09T00:00:00"/>
    <s v="Multi-vehicle Collision"/>
    <s v="Rear Collision"/>
    <s v="Major Damage"/>
    <s v="Police"/>
    <x v="0"/>
    <x v="0"/>
    <s v="9278 Francis Ridge"/>
    <n v="16"/>
    <n v="3"/>
    <s v="NO"/>
    <n v="2"/>
    <n v="0"/>
    <s v="YES"/>
    <n v="64400"/>
    <n v="6440"/>
    <n v="6440"/>
    <n v="51520"/>
    <s v="BMW"/>
    <s v="X5"/>
    <n v="2011"/>
    <s v="N"/>
    <n v="42.409156163156716"/>
    <n v="-62882.46"/>
    <n v="2.3563919814909705E-2"/>
    <n v="4"/>
    <n v="225"/>
    <x v="0"/>
    <x v="0"/>
  </r>
  <r>
    <n v="425"/>
    <n v="53"/>
    <n v="868031"/>
    <d v="1990-06-24T00:00:00"/>
    <s v="OH"/>
    <s v="250/500"/>
    <n v="2000"/>
    <n v="912.29"/>
    <n v="0"/>
    <n v="464808"/>
    <s v="FEMALE"/>
    <s v="High School"/>
    <s v="priv-house-serv"/>
    <s v="paintball"/>
    <s v="husband"/>
    <n v="42900"/>
    <n v="-39100"/>
    <d v="2015-01-31T00:00:00"/>
    <s v="Multi-vehicle Collision"/>
    <s v="Front Collision"/>
    <s v="Minor Damage"/>
    <s v="Fire"/>
    <x v="4"/>
    <x v="5"/>
    <s v="6604 Apache Drive"/>
    <n v="17"/>
    <n v="3"/>
    <s v="?"/>
    <n v="1"/>
    <n v="2"/>
    <s v="?"/>
    <n v="97080"/>
    <n v="16180"/>
    <n v="16180"/>
    <n v="64720"/>
    <s v="Saab"/>
    <s v="92x"/>
    <n v="2005"/>
    <s v="N"/>
    <n v="106.29701409190947"/>
    <n v="-96167.71"/>
    <n v="9.3972043963288388E-3"/>
    <n v="10"/>
    <n v="425"/>
    <x v="0"/>
    <x v="0"/>
  </r>
  <r>
    <n v="285"/>
    <n v="44"/>
    <n v="844117"/>
    <d v="1991-08-21T00:00:00"/>
    <s v="OH"/>
    <s v="250/500"/>
    <n v="2000"/>
    <n v="1144.3"/>
    <n v="0"/>
    <n v="609458"/>
    <s v="MALE"/>
    <s v="MD"/>
    <s v="priv-house-serv"/>
    <s v="base-jumping"/>
    <s v="not-in-family"/>
    <n v="52600"/>
    <n v="0"/>
    <d v="2015-02-04T00:00:00"/>
    <s v="Vehicle Theft"/>
    <s v="?"/>
    <s v="Minor Damage"/>
    <s v="Police"/>
    <x v="4"/>
    <x v="6"/>
    <s v="2311 4th St"/>
    <n v="3"/>
    <n v="1"/>
    <s v="YES"/>
    <n v="1"/>
    <n v="0"/>
    <s v="?"/>
    <n v="5500"/>
    <n v="500"/>
    <n v="500"/>
    <n v="4500"/>
    <s v="Honda"/>
    <s v="Civic"/>
    <n v="2010"/>
    <s v="N"/>
    <n v="4.8022352222125209"/>
    <n v="-4355.7"/>
    <n v="0.20801672423195783"/>
    <n v="5"/>
    <n v="285"/>
    <x v="1"/>
    <x v="1"/>
  </r>
  <r>
    <n v="192"/>
    <n v="38"/>
    <n v="744557"/>
    <d v="2011-02-25T00:00:00"/>
    <s v="IN"/>
    <s v="500/1000"/>
    <n v="1000"/>
    <n v="1281.43"/>
    <n v="0"/>
    <n v="432405"/>
    <s v="FEMALE"/>
    <s v="Masters"/>
    <s v="transport-moving"/>
    <s v="skydiving"/>
    <s v="not-in-family"/>
    <n v="65100"/>
    <n v="-50300"/>
    <d v="2015-01-30T00:00:00"/>
    <s v="Multi-vehicle Collision"/>
    <s v="Rear Collision"/>
    <s v="Total Loss"/>
    <s v="Other"/>
    <x v="0"/>
    <x v="5"/>
    <s v="9523 Solo Hwy"/>
    <n v="10"/>
    <n v="3"/>
    <s v="?"/>
    <n v="0"/>
    <n v="2"/>
    <s v="NO"/>
    <n v="30700"/>
    <n v="3070"/>
    <n v="6140"/>
    <n v="21490"/>
    <s v="Jeep"/>
    <s v="Wrangler"/>
    <n v="2010"/>
    <s v="N"/>
    <n v="23.938928440538664"/>
    <n v="-29418.57"/>
    <n v="4.1739031301911991E-2"/>
    <n v="5"/>
    <n v="192"/>
    <x v="0"/>
    <x v="0"/>
  </r>
  <r>
    <n v="285"/>
    <n v="48"/>
    <n v="159536"/>
    <d v="2013-02-04T00:00:00"/>
    <s v="IL"/>
    <s v="100/300"/>
    <n v="2000"/>
    <n v="1101.8499999999999"/>
    <n v="0"/>
    <n v="457875"/>
    <s v="FEMALE"/>
    <s v="College"/>
    <s v="sales"/>
    <s v="dancing"/>
    <s v="wife"/>
    <n v="46100"/>
    <n v="0"/>
    <d v="2015-02-27T00:00:00"/>
    <s v="Single Vehicle Collision"/>
    <s v="Side Collision"/>
    <s v="Minor Damage"/>
    <s v="Police"/>
    <x v="6"/>
    <x v="3"/>
    <s v="3171 Andromedia Lane"/>
    <n v="9"/>
    <n v="1"/>
    <s v="NO"/>
    <n v="1"/>
    <n v="2"/>
    <s v="YES"/>
    <n v="33480"/>
    <n v="3720"/>
    <n v="3720"/>
    <n v="26040"/>
    <s v="Nissan"/>
    <s v="Pathfinder"/>
    <n v="2012"/>
    <s v="N"/>
    <n v="30.357709570657843"/>
    <n v="-32378.15"/>
    <n v="3.2909709984767478E-2"/>
    <n v="3"/>
    <n v="285"/>
    <x v="0"/>
    <x v="0"/>
  </r>
  <r>
    <n v="98"/>
    <n v="26"/>
    <n v="727109"/>
    <d v="2001-02-20T00:00:00"/>
    <s v="IN"/>
    <s v="500/1000"/>
    <n v="2000"/>
    <n v="1082.0999999999999"/>
    <n v="0"/>
    <n v="477268"/>
    <s v="MALE"/>
    <s v="JD"/>
    <s v="exec-managerial"/>
    <s v="kayaking"/>
    <s v="other-relative"/>
    <n v="0"/>
    <n v="-30900"/>
    <d v="2015-02-05T00:00:00"/>
    <s v="Multi-vehicle Collision"/>
    <s v="Front Collision"/>
    <s v="Total Loss"/>
    <s v="Police"/>
    <x v="4"/>
    <x v="5"/>
    <s v="2492 Lincoln Lane"/>
    <n v="13"/>
    <n v="2"/>
    <s v="?"/>
    <n v="0"/>
    <n v="1"/>
    <s v="YES"/>
    <n v="65430"/>
    <n v="14540"/>
    <n v="7270"/>
    <n v="43620"/>
    <s v="Jeep"/>
    <s v="Wrangler"/>
    <n v="2001"/>
    <s v="N"/>
    <n v="60.409934447419452"/>
    <n v="-64347.9"/>
    <n v="1.6538032431110634E-2"/>
    <n v="14"/>
    <n v="98"/>
    <x v="0"/>
    <x v="0"/>
  </r>
  <r>
    <n v="175"/>
    <n v="36"/>
    <n v="155604"/>
    <d v="1992-03-03T00:00:00"/>
    <s v="OH"/>
    <s v="500/1000"/>
    <n v="500"/>
    <n v="1185.44"/>
    <n v="0"/>
    <n v="437580"/>
    <s v="MALE"/>
    <s v="Masters"/>
    <s v="exec-managerial"/>
    <s v="kayaking"/>
    <s v="not-in-family"/>
    <n v="44900"/>
    <n v="-52500"/>
    <d v="2015-01-30T00:00:00"/>
    <s v="Multi-vehicle Collision"/>
    <s v="Rear Collision"/>
    <s v="Major Damage"/>
    <s v="Police"/>
    <x v="5"/>
    <x v="5"/>
    <s v="4477 5th Ave"/>
    <n v="15"/>
    <n v="3"/>
    <s v="YES"/>
    <n v="2"/>
    <n v="1"/>
    <s v="YES"/>
    <n v="42680"/>
    <n v="3880"/>
    <n v="7760"/>
    <n v="31040"/>
    <s v="Accura"/>
    <s v="RSX"/>
    <n v="2006"/>
    <s v="Y"/>
    <n v="35.973163413236236"/>
    <n v="-41494.559999999998"/>
    <n v="2.7774419530938826E-2"/>
    <n v="9"/>
    <n v="175"/>
    <x v="0"/>
    <x v="0"/>
  </r>
  <r>
    <n v="259"/>
    <n v="45"/>
    <n v="608443"/>
    <d v="2006-12-21T00:00:00"/>
    <s v="IL"/>
    <s v="500/1000"/>
    <n v="2000"/>
    <n v="1175.07"/>
    <n v="0"/>
    <n v="457121"/>
    <s v="MALE"/>
    <s v="MD"/>
    <s v="craft-repair"/>
    <s v="movies"/>
    <s v="not-in-family"/>
    <n v="30100"/>
    <n v="0"/>
    <d v="2015-01-03T00:00:00"/>
    <s v="Single Vehicle Collision"/>
    <s v="Side Collision"/>
    <s v="Minor Damage"/>
    <s v="Fire"/>
    <x v="4"/>
    <x v="3"/>
    <s v="6724 Andromedia St"/>
    <n v="23"/>
    <n v="1"/>
    <s v="?"/>
    <n v="1"/>
    <n v="1"/>
    <s v="NO"/>
    <n v="87780"/>
    <n v="7980"/>
    <n v="7980"/>
    <n v="71820"/>
    <s v="Honda"/>
    <s v="CRV"/>
    <n v="2011"/>
    <s v="N"/>
    <n v="74.638414380096421"/>
    <n v="-86604.93"/>
    <n v="1.3386382018887914E-2"/>
    <n v="4"/>
    <n v="259"/>
    <x v="0"/>
    <x v="0"/>
  </r>
  <r>
    <n v="140"/>
    <n v="36"/>
    <n v="117862"/>
    <d v="2000-07-14T00:00:00"/>
    <s v="OH"/>
    <s v="500/1000"/>
    <n v="2000"/>
    <n v="979.26"/>
    <n v="0"/>
    <n v="436364"/>
    <s v="FEMALE"/>
    <s v="JD"/>
    <s v="transport-moving"/>
    <s v="cross-fit"/>
    <s v="own-child"/>
    <n v="0"/>
    <n v="-67000"/>
    <d v="2015-03-01T00:00:00"/>
    <s v="Multi-vehicle Collision"/>
    <s v="Front Collision"/>
    <s v="Major Damage"/>
    <s v="Fire"/>
    <x v="2"/>
    <x v="1"/>
    <s v="7495 Washington Ave"/>
    <n v="2"/>
    <n v="4"/>
    <s v="YES"/>
    <n v="0"/>
    <n v="2"/>
    <s v="YES"/>
    <n v="72800"/>
    <n v="14560"/>
    <n v="14560"/>
    <n v="43680"/>
    <s v="Honda"/>
    <s v="Accord"/>
    <n v="1998"/>
    <s v="N"/>
    <n v="74.266011058290658"/>
    <n v="-71820.740000000005"/>
    <n v="1.3451188857295916E-2"/>
    <n v="17"/>
    <n v="140"/>
    <x v="0"/>
    <x v="0"/>
  </r>
  <r>
    <n v="231"/>
    <n v="37"/>
    <n v="991553"/>
    <d v="1991-12-12T00:00:00"/>
    <s v="OH"/>
    <s v="250/500"/>
    <n v="500"/>
    <n v="920.81"/>
    <n v="0"/>
    <n v="467654"/>
    <s v="FEMALE"/>
    <s v="High School"/>
    <s v="sales"/>
    <s v="chess"/>
    <s v="wife"/>
    <n v="0"/>
    <n v="0"/>
    <d v="2015-02-13T00:00:00"/>
    <s v="Single Vehicle Collision"/>
    <s v="Rear Collision"/>
    <s v="Major Damage"/>
    <s v="Fire"/>
    <x v="0"/>
    <x v="4"/>
    <s v="4291 Sky Hwy"/>
    <n v="14"/>
    <n v="1"/>
    <s v="YES"/>
    <n v="2"/>
    <n v="0"/>
    <s v="?"/>
    <n v="71190"/>
    <n v="0"/>
    <n v="7910"/>
    <n v="63280"/>
    <s v="Mercedes"/>
    <s v="C300"/>
    <n v="1997"/>
    <s v="Y"/>
    <n v="77.228496110912232"/>
    <n v="-70269.19"/>
    <n v="1.2934359680296666E-2"/>
    <n v="18"/>
    <n v="231"/>
    <x v="0"/>
    <x v="0"/>
  </r>
  <r>
    <n v="186"/>
    <n v="38"/>
    <n v="727443"/>
    <d v="2013-07-01T00:00:00"/>
    <s v="OH"/>
    <s v="100/300"/>
    <n v="500"/>
    <n v="922.85"/>
    <n v="0"/>
    <n v="471148"/>
    <s v="MALE"/>
    <s v="High School"/>
    <s v="adm-clerical"/>
    <s v="golf"/>
    <s v="husband"/>
    <n v="70300"/>
    <n v="-70900"/>
    <d v="2015-02-25T00:00:00"/>
    <s v="Vehicle Theft"/>
    <s v="?"/>
    <s v="Trivial Damage"/>
    <s v="None"/>
    <x v="2"/>
    <x v="4"/>
    <s v="5650 Rock Ave"/>
    <n v="7"/>
    <n v="1"/>
    <s v="?"/>
    <n v="1"/>
    <n v="1"/>
    <s v="YES"/>
    <n v="3600"/>
    <n v="400"/>
    <n v="400"/>
    <n v="2800"/>
    <s v="Honda"/>
    <s v="Civic"/>
    <n v="1999"/>
    <s v="N"/>
    <n v="3.896736483195324"/>
    <n v="-2677.15"/>
    <n v="0.25627603443487923"/>
    <n v="16"/>
    <n v="186"/>
    <x v="1"/>
    <x v="1"/>
  </r>
  <r>
    <n v="229"/>
    <n v="41"/>
    <n v="378587"/>
    <d v="1998-12-16T00:00:00"/>
    <s v="OH"/>
    <s v="250/500"/>
    <n v="2000"/>
    <n v="1107.5899999999999"/>
    <n v="3000000"/>
    <n v="468202"/>
    <s v="MALE"/>
    <s v="PhD"/>
    <s v="tech-support"/>
    <s v="chess"/>
    <s v="not-in-family"/>
    <n v="65400"/>
    <n v="0"/>
    <d v="2015-01-23T00:00:00"/>
    <s v="Single Vehicle Collision"/>
    <s v="Side Collision"/>
    <s v="Major Damage"/>
    <s v="Other"/>
    <x v="2"/>
    <x v="0"/>
    <s v="6888 Elm Ridge"/>
    <n v="23"/>
    <n v="1"/>
    <s v="NO"/>
    <n v="1"/>
    <n v="3"/>
    <s v="NO"/>
    <n v="62640"/>
    <n v="10440"/>
    <n v="10440"/>
    <n v="41760"/>
    <s v="Mercedes"/>
    <s v="C300"/>
    <n v="2009"/>
    <s v="N"/>
    <n v="56.504208048061052"/>
    <n v="-61532.41"/>
    <n v="1.7681550422247408E-2"/>
    <n v="6"/>
    <n v="229"/>
    <x v="0"/>
    <x v="0"/>
  </r>
  <r>
    <n v="180"/>
    <n v="36"/>
    <n v="420948"/>
    <d v="2015-01-03T00:00:00"/>
    <s v="IL"/>
    <s v="100/300"/>
    <n v="500"/>
    <n v="1272.46"/>
    <n v="0"/>
    <n v="456959"/>
    <s v="MALE"/>
    <s v="College"/>
    <s v="prof-specialty"/>
    <s v="exercise"/>
    <s v="wife"/>
    <n v="0"/>
    <n v="0"/>
    <d v="2015-02-19T00:00:00"/>
    <s v="Multi-vehicle Collision"/>
    <s v="Front Collision"/>
    <s v="Minor Damage"/>
    <s v="Ambulance"/>
    <x v="2"/>
    <x v="6"/>
    <s v="2352 Sky Drive"/>
    <n v="7"/>
    <n v="3"/>
    <s v="YES"/>
    <n v="2"/>
    <n v="1"/>
    <s v="?"/>
    <n v="69630"/>
    <n v="12660"/>
    <n v="6330"/>
    <n v="50640"/>
    <s v="Toyota"/>
    <s v="Corolla"/>
    <n v="1998"/>
    <s v="N"/>
    <n v="54.677806919730493"/>
    <n v="-68357.539999999994"/>
    <n v="1.8274331834958569E-2"/>
    <n v="17"/>
    <n v="180"/>
    <x v="0"/>
    <x v="0"/>
  </r>
  <r>
    <n v="188"/>
    <n v="33"/>
    <n v="457188"/>
    <d v="1994-04-01T00:00:00"/>
    <s v="IL"/>
    <s v="250/500"/>
    <n v="1000"/>
    <n v="1340.24"/>
    <n v="0"/>
    <n v="447274"/>
    <s v="MALE"/>
    <s v="High School"/>
    <s v="protective-serv"/>
    <s v="chess"/>
    <s v="own-child"/>
    <n v="0"/>
    <n v="-68800"/>
    <d v="2015-02-08T00:00:00"/>
    <s v="Multi-vehicle Collision"/>
    <s v="Rear Collision"/>
    <s v="Minor Damage"/>
    <s v="Police"/>
    <x v="2"/>
    <x v="4"/>
    <s v="5280 Pine Ave"/>
    <n v="8"/>
    <n v="3"/>
    <s v="YES"/>
    <n v="1"/>
    <n v="0"/>
    <s v="?"/>
    <n v="76010"/>
    <n v="13820"/>
    <n v="6910"/>
    <n v="55280"/>
    <s v="Dodge"/>
    <s v="RAM"/>
    <n v="1995"/>
    <s v="Y"/>
    <n v="56.67143837046315"/>
    <n v="-74669.759999999995"/>
    <n v="1.7632184815355674E-2"/>
    <n v="20"/>
    <n v="188"/>
    <x v="0"/>
    <x v="0"/>
  </r>
  <r>
    <n v="214"/>
    <n v="40"/>
    <n v="118236"/>
    <d v="2000-08-15T00:00:00"/>
    <s v="OH"/>
    <s v="100/300"/>
    <n v="1000"/>
    <n v="1648"/>
    <n v="0"/>
    <n v="608405"/>
    <s v="MALE"/>
    <s v="JD"/>
    <s v="transport-moving"/>
    <s v="base-jumping"/>
    <s v="not-in-family"/>
    <n v="57700"/>
    <n v="-43500"/>
    <d v="2015-02-04T00:00:00"/>
    <s v="Single Vehicle Collision"/>
    <s v="Rear Collision"/>
    <s v="Total Loss"/>
    <s v="Other"/>
    <x v="4"/>
    <x v="6"/>
    <s v="6638 Tree Drive"/>
    <n v="17"/>
    <n v="1"/>
    <s v="NO"/>
    <n v="1"/>
    <n v="0"/>
    <s v="YES"/>
    <n v="44220"/>
    <n v="8040"/>
    <n v="4020"/>
    <n v="32160"/>
    <s v="Accura"/>
    <s v="MDX"/>
    <n v="2000"/>
    <s v="N"/>
    <n v="26.816252274105519"/>
    <n v="-42572"/>
    <n v="3.7267361660749419E-2"/>
    <n v="15"/>
    <n v="214"/>
    <x v="0"/>
    <x v="0"/>
  </r>
  <r>
    <n v="178"/>
    <n v="38"/>
    <n v="987524"/>
    <d v="2014-11-13T00:00:00"/>
    <s v="IL"/>
    <s v="250/500"/>
    <n v="500"/>
    <n v="1381.14"/>
    <n v="0"/>
    <n v="472253"/>
    <s v="FEMALE"/>
    <s v="College"/>
    <s v="other-service"/>
    <s v="camping"/>
    <s v="wife"/>
    <n v="0"/>
    <n v="0"/>
    <d v="2015-02-22T00:00:00"/>
    <s v="Multi-vehicle Collision"/>
    <s v="Rear Collision"/>
    <s v="Minor Damage"/>
    <s v="Other"/>
    <x v="2"/>
    <x v="6"/>
    <s v="5678 Lincoln Drive"/>
    <n v="10"/>
    <n v="3"/>
    <s v="NO"/>
    <n v="0"/>
    <n v="3"/>
    <s v="NO"/>
    <n v="57200"/>
    <n v="5200"/>
    <n v="10400"/>
    <n v="41600"/>
    <s v="BMW"/>
    <s v="M5"/>
    <n v="2011"/>
    <s v="N"/>
    <n v="41.38509847048779"/>
    <n v="-55818.86"/>
    <n v="2.4145382073739972E-2"/>
    <n v="4"/>
    <n v="178"/>
    <x v="0"/>
    <x v="0"/>
  </r>
  <r>
    <n v="55"/>
    <n v="35"/>
    <n v="490596"/>
    <d v="2011-02-04T00:00:00"/>
    <s v="IL"/>
    <s v="500/1000"/>
    <n v="500"/>
    <n v="1198.44"/>
    <n v="8000000"/>
    <n v="438923"/>
    <s v="MALE"/>
    <s v="MD"/>
    <s v="priv-house-serv"/>
    <s v="polo"/>
    <s v="wife"/>
    <n v="0"/>
    <n v="0"/>
    <d v="2015-01-14T00:00:00"/>
    <s v="Vehicle Theft"/>
    <s v="?"/>
    <s v="Minor Damage"/>
    <s v="Police"/>
    <x v="4"/>
    <x v="0"/>
    <s v="4496 Pine Lane"/>
    <n v="9"/>
    <n v="1"/>
    <s v="NO"/>
    <n v="0"/>
    <n v="3"/>
    <s v="NO"/>
    <n v="3080"/>
    <n v="560"/>
    <n v="560"/>
    <n v="1960"/>
    <s v="Nissan"/>
    <s v="Ultima"/>
    <n v="1998"/>
    <s v="N"/>
    <n v="2.5678650036683783"/>
    <n v="-1881.56"/>
    <n v="0.38897760467380721"/>
    <n v="17"/>
    <n v="55"/>
    <x v="1"/>
    <x v="1"/>
  </r>
  <r>
    <n v="90"/>
    <n v="31"/>
    <n v="524215"/>
    <d v="1990-06-24T00:00:00"/>
    <s v="OH"/>
    <s v="250/500"/>
    <n v="2000"/>
    <n v="951.27"/>
    <n v="0"/>
    <n v="607131"/>
    <s v="FEMALE"/>
    <s v="PhD"/>
    <s v="other-service"/>
    <s v="hiking"/>
    <s v="not-in-family"/>
    <n v="42100"/>
    <n v="0"/>
    <d v="2015-01-06T00:00:00"/>
    <s v="Single Vehicle Collision"/>
    <s v="Rear Collision"/>
    <s v="Total Loss"/>
    <s v="Other"/>
    <x v="0"/>
    <x v="4"/>
    <s v="8845 5th Ave"/>
    <n v="2"/>
    <n v="1"/>
    <s v="YES"/>
    <n v="1"/>
    <n v="0"/>
    <s v="YES"/>
    <n v="75790"/>
    <n v="13780"/>
    <n v="6890"/>
    <n v="55120"/>
    <s v="Accura"/>
    <s v="RSX"/>
    <n v="2007"/>
    <s v="N"/>
    <n v="79.588772091948712"/>
    <n v="-74838.73"/>
    <n v="1.2551226398912799E-2"/>
    <n v="8"/>
    <n v="90"/>
    <x v="0"/>
    <x v="0"/>
  </r>
  <r>
    <n v="135"/>
    <n v="30"/>
    <n v="913464"/>
    <d v="2009-01-21T00:00:00"/>
    <s v="IN"/>
    <s v="500/1000"/>
    <n v="2000"/>
    <n v="1341.24"/>
    <n v="0"/>
    <n v="601701"/>
    <s v="FEMALE"/>
    <s v="MD"/>
    <s v="farming-fishing"/>
    <s v="skydiving"/>
    <s v="wife"/>
    <n v="37100"/>
    <n v="-46500"/>
    <d v="2015-01-19T00:00:00"/>
    <s v="Multi-vehicle Collision"/>
    <s v="Rear Collision"/>
    <s v="Minor Damage"/>
    <s v="Ambulance"/>
    <x v="4"/>
    <x v="1"/>
    <s v="9317 Apache Ave"/>
    <n v="18"/>
    <n v="3"/>
    <s v="NO"/>
    <n v="0"/>
    <n v="1"/>
    <s v="NO"/>
    <n v="32670"/>
    <n v="5940"/>
    <n v="2970"/>
    <n v="23760"/>
    <s v="Honda"/>
    <s v="Accord"/>
    <n v="2003"/>
    <s v="N"/>
    <n v="24.33990940517344"/>
    <n v="-31328.76"/>
    <n v="4.1052921551222796E-2"/>
    <n v="12"/>
    <n v="135"/>
    <x v="0"/>
    <x v="0"/>
  </r>
  <r>
    <n v="277"/>
    <n v="46"/>
    <n v="398484"/>
    <d v="1992-11-07T00:00:00"/>
    <s v="IL"/>
    <s v="250/500"/>
    <n v="2000"/>
    <n v="1177.57"/>
    <n v="0"/>
    <n v="469220"/>
    <s v="FEMALE"/>
    <s v="Associate"/>
    <s v="adm-clerical"/>
    <s v="video-games"/>
    <s v="husband"/>
    <n v="0"/>
    <n v="-65500"/>
    <d v="2015-01-24T00:00:00"/>
    <s v="Vehicle Theft"/>
    <s v="?"/>
    <s v="Minor Damage"/>
    <s v="Police"/>
    <x v="1"/>
    <x v="2"/>
    <s v="8638 3rd Ave"/>
    <n v="4"/>
    <n v="1"/>
    <s v="?"/>
    <n v="2"/>
    <n v="3"/>
    <s v="NO"/>
    <n v="3870"/>
    <n v="430"/>
    <n v="860"/>
    <n v="2580"/>
    <s v="Jeep"/>
    <s v="Wrangler"/>
    <n v="2010"/>
    <s v="N"/>
    <n v="3.2836403438064776"/>
    <n v="-2692.4300000000003"/>
    <n v="0.30420304830793077"/>
    <n v="5"/>
    <n v="277"/>
    <x v="1"/>
    <x v="1"/>
  </r>
  <r>
    <n v="211"/>
    <n v="38"/>
    <n v="752504"/>
    <d v="1997-05-15T00:00:00"/>
    <s v="IN"/>
    <s v="250/500"/>
    <n v="1000"/>
    <n v="1055.0899999999999"/>
    <n v="0"/>
    <n v="433250"/>
    <s v="FEMALE"/>
    <s v="Masters"/>
    <s v="transport-moving"/>
    <s v="video-games"/>
    <s v="own-child"/>
    <n v="0"/>
    <n v="0"/>
    <d v="2015-01-27T00:00:00"/>
    <s v="Single Vehicle Collision"/>
    <s v="Front Collision"/>
    <s v="Total Loss"/>
    <s v="Fire"/>
    <x v="2"/>
    <x v="0"/>
    <s v="3061 Francis Hwy"/>
    <n v="12"/>
    <n v="1"/>
    <s v="?"/>
    <n v="0"/>
    <n v="3"/>
    <s v="YES"/>
    <n v="91520"/>
    <n v="8320"/>
    <n v="16640"/>
    <n v="66560"/>
    <s v="BMW"/>
    <s v="X6"/>
    <n v="2005"/>
    <s v="Y"/>
    <n v="86.659280932496287"/>
    <n v="-90464.91"/>
    <n v="1.1528392390817406E-2"/>
    <n v="10"/>
    <n v="211"/>
    <x v="0"/>
    <x v="0"/>
  </r>
  <r>
    <n v="156"/>
    <n v="32"/>
    <n v="449263"/>
    <d v="1992-03-20T00:00:00"/>
    <s v="IL"/>
    <s v="250/500"/>
    <n v="500"/>
    <n v="1479.48"/>
    <n v="0"/>
    <n v="444413"/>
    <s v="MALE"/>
    <s v="Masters"/>
    <s v="prof-specialty"/>
    <s v="bungie-jumping"/>
    <s v="unmarried"/>
    <n v="0"/>
    <n v="0"/>
    <d v="2015-01-13T00:00:00"/>
    <s v="Single Vehicle Collision"/>
    <s v="Front Collision"/>
    <s v="Major Damage"/>
    <s v="Other"/>
    <x v="2"/>
    <x v="6"/>
    <s v="1173 Andromedia Ave"/>
    <n v="15"/>
    <n v="1"/>
    <s v="YES"/>
    <n v="1"/>
    <n v="3"/>
    <s v="YES"/>
    <n v="74690"/>
    <n v="6790"/>
    <n v="13580"/>
    <n v="54320"/>
    <s v="Dodge"/>
    <s v="RAM"/>
    <n v="2008"/>
    <s v="Y"/>
    <n v="50.44985410137253"/>
    <n v="-73210.52"/>
    <n v="1.980800899706792E-2"/>
    <n v="7"/>
    <n v="156"/>
    <x v="0"/>
    <x v="0"/>
  </r>
  <r>
    <n v="84"/>
    <n v="30"/>
    <n v="844007"/>
    <d v="1995-07-17T00:00:00"/>
    <s v="IN"/>
    <s v="500/1000"/>
    <n v="2000"/>
    <n v="1827.38"/>
    <n v="0"/>
    <n v="433593"/>
    <s v="MALE"/>
    <s v="Associate"/>
    <s v="priv-house-serv"/>
    <s v="polo"/>
    <s v="other-relative"/>
    <n v="0"/>
    <n v="-15900"/>
    <d v="2015-01-15T00:00:00"/>
    <s v="Vehicle Theft"/>
    <s v="?"/>
    <s v="Trivial Damage"/>
    <s v="Police"/>
    <x v="1"/>
    <x v="3"/>
    <s v="6068 2nd St"/>
    <n v="9"/>
    <n v="1"/>
    <s v="YES"/>
    <n v="1"/>
    <n v="3"/>
    <s v="?"/>
    <n v="4620"/>
    <n v="420"/>
    <n v="840"/>
    <n v="3360"/>
    <s v="Audi"/>
    <s v="A5"/>
    <n v="1998"/>
    <s v="N"/>
    <n v="2.5268270272044102"/>
    <n v="-2792.62"/>
    <n v="0.39545120103873621"/>
    <n v="17"/>
    <n v="84"/>
    <x v="1"/>
    <x v="1"/>
  </r>
  <r>
    <n v="136"/>
    <n v="32"/>
    <n v="686522"/>
    <d v="2000-12-27T00:00:00"/>
    <s v="IN"/>
    <s v="100/300"/>
    <n v="500"/>
    <n v="1169.6199999999999"/>
    <n v="0"/>
    <n v="458143"/>
    <s v="FEMALE"/>
    <s v="JD"/>
    <s v="sales"/>
    <s v="yachting"/>
    <s v="not-in-family"/>
    <n v="0"/>
    <n v="0"/>
    <d v="2015-02-04T00:00:00"/>
    <s v="Single Vehicle Collision"/>
    <s v="Side Collision"/>
    <s v="Major Damage"/>
    <s v="Police"/>
    <x v="0"/>
    <x v="2"/>
    <s v="7937 Weaver Ridge"/>
    <n v="6"/>
    <n v="1"/>
    <s v="YES"/>
    <n v="0"/>
    <n v="0"/>
    <s v="NO"/>
    <n v="55000"/>
    <n v="10000"/>
    <n v="10000"/>
    <n v="35000"/>
    <s v="Toyota"/>
    <s v="Camry"/>
    <n v="2008"/>
    <s v="Y"/>
    <n v="46.983649689907914"/>
    <n v="-53830.38"/>
    <n v="2.1265431537608404E-2"/>
    <n v="7"/>
    <n v="136"/>
    <x v="0"/>
    <x v="0"/>
  </r>
  <r>
    <n v="310"/>
    <n v="48"/>
    <n v="670142"/>
    <d v="1999-08-06T00:00:00"/>
    <s v="IN"/>
    <s v="100/300"/>
    <n v="500"/>
    <n v="1516.34"/>
    <n v="0"/>
    <n v="474167"/>
    <s v="FEMALE"/>
    <s v="JD"/>
    <s v="adm-clerical"/>
    <s v="sleeping"/>
    <s v="unmarried"/>
    <n v="11000"/>
    <n v="0"/>
    <d v="2015-01-04T00:00:00"/>
    <s v="Multi-vehicle Collision"/>
    <s v="Rear Collision"/>
    <s v="Major Damage"/>
    <s v="Police"/>
    <x v="0"/>
    <x v="3"/>
    <s v="2823 Weaver Lane"/>
    <n v="11"/>
    <n v="4"/>
    <s v="YES"/>
    <n v="0"/>
    <n v="2"/>
    <s v="NO"/>
    <n v="59400"/>
    <n v="13200"/>
    <n v="6600"/>
    <n v="39600"/>
    <s v="Saab"/>
    <n v="93"/>
    <n v="1996"/>
    <s v="Y"/>
    <n v="39.147455415397999"/>
    <n v="-57883.66"/>
    <n v="2.5527179677109813E-2"/>
    <n v="19"/>
    <n v="310"/>
    <x v="0"/>
    <x v="0"/>
  </r>
  <r>
    <n v="123"/>
    <n v="34"/>
    <n v="607687"/>
    <d v="2007-03-03T00:00:00"/>
    <s v="OH"/>
    <s v="500/1000"/>
    <n v="2000"/>
    <n v="1270.21"/>
    <n v="0"/>
    <n v="476413"/>
    <s v="FEMALE"/>
    <s v="College"/>
    <s v="sales"/>
    <s v="sleeping"/>
    <s v="husband"/>
    <n v="16100"/>
    <n v="-61200"/>
    <d v="2015-01-14T00:00:00"/>
    <s v="Multi-vehicle Collision"/>
    <s v="Side Collision"/>
    <s v="Total Loss"/>
    <s v="Fire"/>
    <x v="6"/>
    <x v="0"/>
    <s v="1809 Sky St"/>
    <n v="13"/>
    <n v="3"/>
    <s v="NO"/>
    <n v="1"/>
    <n v="1"/>
    <s v="?"/>
    <n v="55260"/>
    <n v="6140"/>
    <n v="0"/>
    <n v="49120"/>
    <s v="Nissan"/>
    <s v="Ultima"/>
    <n v="2000"/>
    <s v="N"/>
    <n v="43.4703943486914"/>
    <n v="-53989.79"/>
    <n v="2.2985649915853858E-2"/>
    <n v="15"/>
    <n v="123"/>
    <x v="0"/>
    <x v="0"/>
  </r>
  <r>
    <n v="243"/>
    <n v="44"/>
    <n v="967713"/>
    <d v="1997-12-25T00:00:00"/>
    <s v="IL"/>
    <s v="250/500"/>
    <n v="500"/>
    <n v="809.11"/>
    <n v="0"/>
    <n v="600208"/>
    <s v="MALE"/>
    <s v="JD"/>
    <s v="craft-repair"/>
    <s v="polo"/>
    <s v="other-relative"/>
    <n v="33200"/>
    <n v="0"/>
    <d v="2015-01-27T00:00:00"/>
    <s v="Multi-vehicle Collision"/>
    <s v="Side Collision"/>
    <s v="Minor Damage"/>
    <s v="Other"/>
    <x v="5"/>
    <x v="3"/>
    <s v="9352 Washington Ave"/>
    <n v="4"/>
    <n v="3"/>
    <s v="?"/>
    <n v="2"/>
    <n v="1"/>
    <s v="YES"/>
    <n v="51400"/>
    <n v="5140"/>
    <n v="10280"/>
    <n v="35980"/>
    <s v="Honda"/>
    <s v="Civic"/>
    <n v="1996"/>
    <s v="N"/>
    <n v="63.448173704805519"/>
    <n v="-50590.89"/>
    <n v="1.5741133440983639E-2"/>
    <n v="19"/>
    <n v="243"/>
    <x v="0"/>
    <x v="0"/>
  </r>
  <r>
    <n v="36"/>
    <n v="37"/>
    <n v="291902"/>
    <d v="2013-11-06T00:00:00"/>
    <s v="IL"/>
    <s v="500/1000"/>
    <n v="1000"/>
    <n v="1115.81"/>
    <n v="0"/>
    <n v="618926"/>
    <s v="FEMALE"/>
    <s v="Masters"/>
    <s v="machine-op-inspct"/>
    <s v="reading"/>
    <s v="husband"/>
    <n v="0"/>
    <n v="-59800"/>
    <d v="2015-02-12T00:00:00"/>
    <s v="Multi-vehicle Collision"/>
    <s v="Side Collision"/>
    <s v="Minor Damage"/>
    <s v="Ambulance"/>
    <x v="2"/>
    <x v="0"/>
    <s v="2697 Oak Drive"/>
    <n v="20"/>
    <n v="3"/>
    <s v="YES"/>
    <n v="1"/>
    <n v="3"/>
    <s v="?"/>
    <n v="48780"/>
    <n v="5420"/>
    <n v="10840"/>
    <n v="32520"/>
    <s v="Dodge"/>
    <s v="Neon"/>
    <n v="2008"/>
    <s v="N"/>
    <n v="43.677975662825368"/>
    <n v="-47664.19"/>
    <n v="2.2873864824419343E-2"/>
    <n v="7"/>
    <n v="36"/>
    <x v="0"/>
    <x v="0"/>
  </r>
  <r>
    <n v="146"/>
    <n v="31"/>
    <n v="149839"/>
    <d v="1990-09-21T00:00:00"/>
    <s v="OH"/>
    <s v="100/300"/>
    <n v="1000"/>
    <n v="1457.65"/>
    <n v="5000000"/>
    <n v="606219"/>
    <s v="FEMALE"/>
    <s v="College"/>
    <s v="armed-forces"/>
    <s v="camping"/>
    <s v="own-child"/>
    <n v="0"/>
    <n v="0"/>
    <d v="2015-02-03T00:00:00"/>
    <s v="Multi-vehicle Collision"/>
    <s v="Rear Collision"/>
    <s v="Major Damage"/>
    <s v="Ambulance"/>
    <x v="1"/>
    <x v="1"/>
    <s v="1110 4th Drive"/>
    <n v="0"/>
    <n v="3"/>
    <s v="NO"/>
    <n v="1"/>
    <n v="3"/>
    <s v="?"/>
    <n v="52380"/>
    <n v="5820"/>
    <n v="5820"/>
    <n v="40740"/>
    <s v="Toyota"/>
    <s v="Highlander"/>
    <n v="2010"/>
    <s v="N"/>
    <n v="35.909916703801457"/>
    <n v="-50922.35"/>
    <n v="2.7827838338328786E-2"/>
    <n v="5"/>
    <n v="146"/>
    <x v="0"/>
    <x v="0"/>
  </r>
  <r>
    <n v="154"/>
    <n v="34"/>
    <n v="840225"/>
    <d v="1999-10-05T00:00:00"/>
    <s v="OH"/>
    <s v="100/300"/>
    <n v="1000"/>
    <n v="1041.3599999999999"/>
    <n v="0"/>
    <n v="448436"/>
    <s v="FEMALE"/>
    <s v="JD"/>
    <s v="priv-house-serv"/>
    <s v="cross-fit"/>
    <s v="husband"/>
    <n v="53100"/>
    <n v="-43900"/>
    <d v="2015-01-26T00:00:00"/>
    <s v="Multi-vehicle Collision"/>
    <s v="Side Collision"/>
    <s v="Total Loss"/>
    <s v="Other"/>
    <x v="4"/>
    <x v="4"/>
    <s v="7535 5th Lane"/>
    <n v="18"/>
    <n v="4"/>
    <s v="?"/>
    <n v="2"/>
    <n v="3"/>
    <s v="YES"/>
    <n v="74360"/>
    <n v="13520"/>
    <n v="13520"/>
    <n v="47320"/>
    <s v="Toyota"/>
    <s v="Highlander"/>
    <n v="2005"/>
    <s v="Y"/>
    <n v="71.338117349092457"/>
    <n v="-73318.64"/>
    <n v="1.4004115060313873E-2"/>
    <n v="10"/>
    <n v="154"/>
    <x v="0"/>
    <x v="0"/>
  </r>
  <r>
    <n v="204"/>
    <n v="40"/>
    <n v="643226"/>
    <d v="1992-04-07T00:00:00"/>
    <s v="OH"/>
    <s v="250/500"/>
    <n v="1000"/>
    <n v="1693.83"/>
    <n v="7000000"/>
    <n v="447976"/>
    <s v="MALE"/>
    <s v="High School"/>
    <s v="protective-serv"/>
    <s v="polo"/>
    <s v="other-relative"/>
    <n v="44000"/>
    <n v="-20800"/>
    <d v="2015-01-09T00:00:00"/>
    <s v="Single Vehicle Collision"/>
    <s v="Front Collision"/>
    <s v="Minor Damage"/>
    <s v="Police"/>
    <x v="2"/>
    <x v="6"/>
    <s v="9043 Maple Hwy"/>
    <n v="6"/>
    <n v="1"/>
    <s v="?"/>
    <n v="1"/>
    <n v="0"/>
    <s v="?"/>
    <n v="53400"/>
    <n v="5340"/>
    <n v="5340"/>
    <n v="42720"/>
    <s v="Honda"/>
    <s v="CRV"/>
    <n v="2003"/>
    <s v="N"/>
    <n v="31.507584831517025"/>
    <n v="-51706.17"/>
    <n v="3.171906893129342E-2"/>
    <n v="12"/>
    <n v="204"/>
    <x v="0"/>
    <x v="0"/>
  </r>
  <r>
    <n v="458"/>
    <n v="59"/>
    <n v="535879"/>
    <d v="2009-03-05T00:00:00"/>
    <s v="IN"/>
    <s v="100/300"/>
    <n v="1000"/>
    <n v="1685.69"/>
    <n v="0"/>
    <n v="472236"/>
    <s v="FEMALE"/>
    <s v="High School"/>
    <s v="protective-serv"/>
    <s v="hiking"/>
    <s v="wife"/>
    <n v="31400"/>
    <n v="0"/>
    <d v="2015-02-17T00:00:00"/>
    <s v="Single Vehicle Collision"/>
    <s v="Front Collision"/>
    <s v="Total Loss"/>
    <s v="Police"/>
    <x v="1"/>
    <x v="4"/>
    <s v="3777 Maple Ave"/>
    <n v="23"/>
    <n v="1"/>
    <s v="?"/>
    <n v="2"/>
    <n v="2"/>
    <s v="YES"/>
    <n v="71800"/>
    <n v="14360"/>
    <n v="14360"/>
    <n v="43080"/>
    <s v="Jeep"/>
    <s v="Grand Cherokee"/>
    <n v="1995"/>
    <s v="N"/>
    <n v="42.568581067060336"/>
    <n v="-70114.31"/>
    <n v="2.3477249620478823E-2"/>
    <n v="20"/>
    <n v="458"/>
    <x v="0"/>
    <x v="0"/>
  </r>
  <r>
    <n v="147"/>
    <n v="31"/>
    <n v="746630"/>
    <d v="1997-02-10T00:00:00"/>
    <s v="IN"/>
    <s v="250/500"/>
    <n v="500"/>
    <n v="1054.92"/>
    <n v="6000000"/>
    <n v="468232"/>
    <s v="FEMALE"/>
    <s v="PhD"/>
    <s v="prof-specialty"/>
    <s v="exercise"/>
    <s v="own-child"/>
    <n v="51900"/>
    <n v="0"/>
    <d v="2015-01-16T00:00:00"/>
    <s v="Single Vehicle Collision"/>
    <s v="Front Collision"/>
    <s v="Major Damage"/>
    <s v="Other"/>
    <x v="2"/>
    <x v="6"/>
    <s v="5608 Solo St"/>
    <n v="4"/>
    <n v="1"/>
    <s v="?"/>
    <n v="0"/>
    <n v="0"/>
    <s v="?"/>
    <n v="68240"/>
    <n v="8530"/>
    <n v="0"/>
    <n v="59710"/>
    <s v="Toyota"/>
    <s v="Corolla"/>
    <n v="2013"/>
    <s v="Y"/>
    <n v="64.626108038487757"/>
    <n v="-67185.08"/>
    <n v="1.5458741812107091E-2"/>
    <n v="2"/>
    <n v="147"/>
    <x v="0"/>
    <x v="0"/>
  </r>
  <r>
    <n v="279"/>
    <n v="45"/>
    <n v="598308"/>
    <d v="1992-01-28T00:00:00"/>
    <s v="IN"/>
    <s v="250/500"/>
    <n v="2000"/>
    <n v="1333.97"/>
    <n v="6000000"/>
    <n v="620819"/>
    <s v="FEMALE"/>
    <s v="MD"/>
    <s v="other-service"/>
    <s v="bungie-jumping"/>
    <s v="unmarried"/>
    <n v="61100"/>
    <n v="-30700"/>
    <d v="2015-01-12T00:00:00"/>
    <s v="Multi-vehicle Collision"/>
    <s v="Rear Collision"/>
    <s v="Major Damage"/>
    <s v="Other"/>
    <x v="0"/>
    <x v="2"/>
    <s v="6981 Weaver St"/>
    <n v="21"/>
    <n v="3"/>
    <s v="?"/>
    <n v="1"/>
    <n v="0"/>
    <s v="?"/>
    <n v="61050"/>
    <n v="11100"/>
    <n v="11100"/>
    <n v="38850"/>
    <s v="Dodge"/>
    <s v="RAM"/>
    <n v="2011"/>
    <s v="Y"/>
    <n v="45.731364749769654"/>
    <n v="-59716.03"/>
    <n v="2.1850092545576648E-2"/>
    <n v="4"/>
    <n v="279"/>
    <x v="0"/>
    <x v="0"/>
  </r>
  <r>
    <n v="308"/>
    <n v="47"/>
    <n v="720356"/>
    <d v="2013-09-16T00:00:00"/>
    <s v="OH"/>
    <s v="100/300"/>
    <n v="1000"/>
    <n v="1013.61"/>
    <n v="6000000"/>
    <n v="452349"/>
    <s v="FEMALE"/>
    <s v="Associate"/>
    <s v="craft-repair"/>
    <s v="movies"/>
    <s v="own-child"/>
    <n v="45700"/>
    <n v="-41400"/>
    <d v="2015-01-03T00:00:00"/>
    <s v="Parked Car"/>
    <s v="?"/>
    <s v="Minor Damage"/>
    <s v="None"/>
    <x v="2"/>
    <x v="3"/>
    <s v="4369 Maple Lane"/>
    <n v="7"/>
    <n v="1"/>
    <s v="?"/>
    <n v="1"/>
    <n v="1"/>
    <s v="YES"/>
    <n v="5590"/>
    <n v="860"/>
    <n v="860"/>
    <n v="3870"/>
    <s v="Suburu"/>
    <s v="Impreza"/>
    <n v="2002"/>
    <s v="N"/>
    <n v="5.509506115650348"/>
    <n v="-4576.3900000000003"/>
    <n v="0.18129314970488286"/>
    <n v="13"/>
    <n v="308"/>
    <x v="2"/>
    <x v="1"/>
  </r>
  <r>
    <n v="284"/>
    <n v="48"/>
    <n v="724752"/>
    <d v="2008-05-16T00:00:00"/>
    <s v="IL"/>
    <s v="500/1000"/>
    <n v="500"/>
    <n v="958.3"/>
    <n v="0"/>
    <n v="464646"/>
    <s v="FEMALE"/>
    <s v="PhD"/>
    <s v="machine-op-inspct"/>
    <s v="exercise"/>
    <s v="husband"/>
    <n v="47900"/>
    <n v="0"/>
    <d v="2015-01-22T00:00:00"/>
    <s v="Multi-vehicle Collision"/>
    <s v="Side Collision"/>
    <s v="Major Damage"/>
    <s v="Fire"/>
    <x v="2"/>
    <x v="0"/>
    <s v="6931 Elm St"/>
    <n v="19"/>
    <n v="3"/>
    <s v="?"/>
    <n v="0"/>
    <n v="0"/>
    <s v="?"/>
    <n v="46860"/>
    <n v="8520"/>
    <n v="8520"/>
    <n v="29820"/>
    <s v="Volkswagen"/>
    <s v="Passat"/>
    <n v="1998"/>
    <s v="N"/>
    <n v="48.848118419681022"/>
    <n v="-45901.7"/>
    <n v="2.0449841019184397E-2"/>
    <n v="17"/>
    <n v="284"/>
    <x v="0"/>
    <x v="0"/>
  </r>
  <r>
    <n v="108"/>
    <n v="31"/>
    <n v="148498"/>
    <d v="2002-01-04T00:00:00"/>
    <s v="IN"/>
    <s v="250/500"/>
    <n v="2000"/>
    <n v="1112.04"/>
    <n v="6000000"/>
    <n v="472209"/>
    <s v="FEMALE"/>
    <s v="PhD"/>
    <s v="other-service"/>
    <s v="base-jumping"/>
    <s v="own-child"/>
    <n v="52800"/>
    <n v="-54300"/>
    <d v="2015-01-13T00:00:00"/>
    <s v="Parked Car"/>
    <s v="?"/>
    <s v="Minor Damage"/>
    <s v="None"/>
    <x v="0"/>
    <x v="2"/>
    <s v="7583 Washington Ave"/>
    <n v="5"/>
    <n v="1"/>
    <s v="NO"/>
    <n v="1"/>
    <n v="3"/>
    <s v="NO"/>
    <n v="4290"/>
    <n v="780"/>
    <n v="780"/>
    <n v="2730"/>
    <s v="Volkswagen"/>
    <s v="Passat"/>
    <n v="1998"/>
    <s v="N"/>
    <n v="3.8543089197153741"/>
    <n v="-3177.96"/>
    <n v="0.25915637380563972"/>
    <n v="17"/>
    <n v="108"/>
    <x v="1"/>
    <x v="1"/>
  </r>
  <r>
    <n v="421"/>
    <n v="57"/>
    <n v="110122"/>
    <d v="2002-04-02T00:00:00"/>
    <s v="IN"/>
    <s v="250/500"/>
    <n v="2000"/>
    <n v="1206.26"/>
    <n v="0"/>
    <n v="459955"/>
    <s v="FEMALE"/>
    <s v="Associate"/>
    <s v="armed-forces"/>
    <s v="bungie-jumping"/>
    <s v="own-child"/>
    <n v="69900"/>
    <n v="0"/>
    <d v="2015-01-31T00:00:00"/>
    <s v="Multi-vehicle Collision"/>
    <s v="Front Collision"/>
    <s v="Minor Damage"/>
    <s v="Police"/>
    <x v="5"/>
    <x v="2"/>
    <s v="7552 3rd St"/>
    <n v="22"/>
    <n v="3"/>
    <s v="YES"/>
    <n v="0"/>
    <n v="0"/>
    <s v="NO"/>
    <n v="78500"/>
    <n v="15700"/>
    <n v="7850"/>
    <n v="54950"/>
    <s v="Audi"/>
    <s v="A3"/>
    <n v="2015"/>
    <s v="N"/>
    <n v="65.023275847787559"/>
    <n v="-77293.740000000005"/>
    <n v="1.5366173679316187E-2"/>
    <n v="0"/>
    <n v="421"/>
    <x v="0"/>
    <x v="0"/>
  </r>
  <r>
    <n v="266"/>
    <n v="42"/>
    <n v="281388"/>
    <d v="1998-07-16T00:00:00"/>
    <s v="IL"/>
    <s v="500/1000"/>
    <n v="1000"/>
    <n v="763.67"/>
    <n v="0"/>
    <n v="473389"/>
    <s v="MALE"/>
    <s v="Associate"/>
    <s v="prof-specialty"/>
    <s v="movies"/>
    <s v="own-child"/>
    <n v="12800"/>
    <n v="-49700"/>
    <d v="2015-02-04T00:00:00"/>
    <s v="Single Vehicle Collision"/>
    <s v="Side Collision"/>
    <s v="Total Loss"/>
    <s v="Police"/>
    <x v="0"/>
    <x v="6"/>
    <s v="1654 Pine St"/>
    <n v="12"/>
    <n v="1"/>
    <s v="YES"/>
    <n v="1"/>
    <n v="3"/>
    <s v="YES"/>
    <n v="70830"/>
    <n v="7870"/>
    <n v="7870"/>
    <n v="55090"/>
    <s v="Jeep"/>
    <s v="Grand Cherokee"/>
    <n v="2005"/>
    <s v="N"/>
    <n v="92.628192553650592"/>
    <n v="-70066.33"/>
    <n v="1.0781578687297934E-2"/>
    <n v="10"/>
    <n v="266"/>
    <x v="0"/>
    <x v="0"/>
  </r>
  <r>
    <n v="412"/>
    <n v="56"/>
    <n v="728600"/>
    <d v="2002-08-15T00:00:00"/>
    <s v="IL"/>
    <s v="250/500"/>
    <n v="500"/>
    <n v="1042.56"/>
    <n v="0"/>
    <n v="616767"/>
    <s v="MALE"/>
    <s v="High School"/>
    <s v="handlers-cleaners"/>
    <s v="yachting"/>
    <s v="own-child"/>
    <n v="0"/>
    <n v="-66100"/>
    <d v="2015-01-20T00:00:00"/>
    <s v="Multi-vehicle Collision"/>
    <s v="Front Collision"/>
    <s v="Total Loss"/>
    <s v="Police"/>
    <x v="0"/>
    <x v="3"/>
    <s v="6058 Andromedia Hwy"/>
    <n v="19"/>
    <n v="3"/>
    <s v="NO"/>
    <n v="0"/>
    <n v="2"/>
    <s v="NO"/>
    <n v="68040"/>
    <n v="15120"/>
    <n v="7560"/>
    <n v="45360"/>
    <s v="Suburu"/>
    <s v="Forrestor"/>
    <n v="1997"/>
    <s v="N"/>
    <n v="65.199892675073784"/>
    <n v="-66997.440000000002"/>
    <n v="1.5322526123954674E-2"/>
    <n v="18"/>
    <n v="412"/>
    <x v="0"/>
    <x v="0"/>
  </r>
  <r>
    <n v="31"/>
    <n v="32"/>
    <n v="231548"/>
    <d v="1999-09-07T00:00:00"/>
    <s v="IL"/>
    <s v="100/300"/>
    <n v="2000"/>
    <n v="1263.48"/>
    <n v="4000000"/>
    <n v="442948"/>
    <s v="FEMALE"/>
    <s v="JD"/>
    <s v="other-service"/>
    <s v="hiking"/>
    <s v="wife"/>
    <n v="46800"/>
    <n v="-87300"/>
    <d v="2015-02-07T00:00:00"/>
    <s v="Single Vehicle Collision"/>
    <s v="Side Collision"/>
    <s v="Major Damage"/>
    <s v="Fire"/>
    <x v="4"/>
    <x v="4"/>
    <s v="6536 MLK Hwy"/>
    <n v="10"/>
    <n v="1"/>
    <s v="?"/>
    <n v="2"/>
    <n v="0"/>
    <s v="?"/>
    <n v="63600"/>
    <n v="5300"/>
    <n v="10600"/>
    <n v="47700"/>
    <s v="Audi"/>
    <s v="A5"/>
    <n v="1997"/>
    <s v="Y"/>
    <n v="50.29735543464507"/>
    <n v="-62336.52"/>
    <n v="1.9865725381676389E-2"/>
    <n v="18"/>
    <n v="31"/>
    <x v="0"/>
    <x v="0"/>
  </r>
  <r>
    <n v="465"/>
    <n v="63"/>
    <n v="531160"/>
    <d v="2012-01-12T00:00:00"/>
    <s v="IL"/>
    <s v="250/500"/>
    <n v="500"/>
    <n v="1006.99"/>
    <n v="6000000"/>
    <n v="458936"/>
    <s v="FEMALE"/>
    <s v="Masters"/>
    <s v="sales"/>
    <s v="board-games"/>
    <s v="own-child"/>
    <n v="0"/>
    <n v="0"/>
    <d v="2015-02-05T00:00:00"/>
    <s v="Single Vehicle Collision"/>
    <s v="Side Collision"/>
    <s v="Minor Damage"/>
    <s v="Other"/>
    <x v="4"/>
    <x v="0"/>
    <s v="8198 Embaracadero Lane"/>
    <n v="7"/>
    <n v="1"/>
    <s v="NO"/>
    <n v="0"/>
    <n v="3"/>
    <s v="?"/>
    <n v="43560"/>
    <n v="4840"/>
    <n v="4840"/>
    <n v="33880"/>
    <s v="Suburu"/>
    <s v="Legacy"/>
    <n v="2015"/>
    <s v="N"/>
    <n v="43.214714431690787"/>
    <n v="-42553.01"/>
    <n v="2.3116778770000689E-2"/>
    <n v="0"/>
    <n v="465"/>
    <x v="0"/>
    <x v="0"/>
  </r>
  <r>
    <n v="126"/>
    <n v="31"/>
    <n v="889003"/>
    <d v="1996-08-18T00:00:00"/>
    <s v="OH"/>
    <s v="250/500"/>
    <n v="1000"/>
    <n v="1328.26"/>
    <n v="0"/>
    <n v="613921"/>
    <s v="MALE"/>
    <s v="Masters"/>
    <s v="sales"/>
    <s v="exercise"/>
    <s v="not-in-family"/>
    <n v="42300"/>
    <n v="-45800"/>
    <d v="2015-01-02T00:00:00"/>
    <s v="Single Vehicle Collision"/>
    <s v="Front Collision"/>
    <s v="Total Loss"/>
    <s v="Police"/>
    <x v="4"/>
    <x v="4"/>
    <s v="3447 Solo Ave"/>
    <n v="17"/>
    <n v="1"/>
    <s v="NO"/>
    <n v="1"/>
    <n v="1"/>
    <s v="NO"/>
    <n v="60840"/>
    <n v="13520"/>
    <n v="6760"/>
    <n v="40560"/>
    <s v="Suburu"/>
    <s v="Forrestor"/>
    <n v="2011"/>
    <s v="N"/>
    <n v="45.769826820937965"/>
    <n v="-59511.74"/>
    <n v="2.1831659571670419E-2"/>
    <n v="4"/>
    <n v="126"/>
    <x v="0"/>
    <x v="0"/>
  </r>
  <r>
    <n v="407"/>
    <n v="55"/>
    <n v="193213"/>
    <d v="1996-03-11T00:00:00"/>
    <s v="OH"/>
    <s v="100/300"/>
    <n v="1000"/>
    <n v="1250.08"/>
    <n v="5000000"/>
    <n v="474598"/>
    <s v="FEMALE"/>
    <s v="PhD"/>
    <s v="tech-support"/>
    <s v="bungie-jumping"/>
    <s v="wife"/>
    <n v="0"/>
    <n v="-57700"/>
    <d v="2015-02-08T00:00:00"/>
    <s v="Multi-vehicle Collision"/>
    <s v="Side Collision"/>
    <s v="Total Loss"/>
    <s v="Police"/>
    <x v="4"/>
    <x v="2"/>
    <s v="1806 Weaver Ridge"/>
    <n v="0"/>
    <n v="3"/>
    <s v="?"/>
    <n v="2"/>
    <n v="3"/>
    <s v="YES"/>
    <n v="68160"/>
    <n v="11360"/>
    <n v="11360"/>
    <n v="45440"/>
    <s v="Ford"/>
    <s v="Escape"/>
    <n v="2010"/>
    <s v="N"/>
    <n v="54.480928477795189"/>
    <n v="-66909.919999999998"/>
    <n v="1.8340106512521822E-2"/>
    <n v="5"/>
    <n v="407"/>
    <x v="0"/>
    <x v="0"/>
  </r>
  <r>
    <n v="101"/>
    <n v="27"/>
    <n v="557218"/>
    <d v="1997-11-23T00:00:00"/>
    <s v="IL"/>
    <s v="500/1000"/>
    <n v="500"/>
    <n v="982.7"/>
    <n v="6000000"/>
    <n v="440865"/>
    <s v="FEMALE"/>
    <s v="College"/>
    <s v="transport-moving"/>
    <s v="video-games"/>
    <s v="unmarried"/>
    <n v="30800"/>
    <n v="-43700"/>
    <d v="2015-01-13T00:00:00"/>
    <s v="Parked Car"/>
    <s v="?"/>
    <s v="Minor Damage"/>
    <s v="None"/>
    <x v="0"/>
    <x v="2"/>
    <s v="7930 Texas Ave"/>
    <n v="9"/>
    <n v="1"/>
    <s v="NO"/>
    <n v="1"/>
    <n v="0"/>
    <s v="NO"/>
    <n v="5170"/>
    <n v="940"/>
    <n v="470"/>
    <n v="3760"/>
    <s v="Toyota"/>
    <s v="Camry"/>
    <n v="2001"/>
    <s v="N"/>
    <n v="5.2556673782657315"/>
    <n v="-4187.3"/>
    <n v="0.19004061110036743"/>
    <n v="14"/>
    <n v="101"/>
    <x v="2"/>
    <x v="1"/>
  </r>
  <r>
    <n v="187"/>
    <n v="37"/>
    <n v="125591"/>
    <d v="2013-08-08T00:00:00"/>
    <s v="IN"/>
    <s v="500/1000"/>
    <n v="1000"/>
    <n v="1412.06"/>
    <n v="5000000"/>
    <n v="450947"/>
    <s v="FEMALE"/>
    <s v="Masters"/>
    <s v="protective-serv"/>
    <s v="reading"/>
    <s v="not-in-family"/>
    <n v="60100"/>
    <n v="0"/>
    <d v="2015-01-16T00:00:00"/>
    <s v="Single Vehicle Collision"/>
    <s v="Side Collision"/>
    <s v="Total Loss"/>
    <s v="Ambulance"/>
    <x v="5"/>
    <x v="1"/>
    <s v="7082 Oak Ridge"/>
    <n v="21"/>
    <n v="1"/>
    <s v="?"/>
    <n v="0"/>
    <n v="3"/>
    <s v="?"/>
    <n v="57700"/>
    <n v="5770"/>
    <n v="5770"/>
    <n v="46160"/>
    <s v="Nissan"/>
    <s v="Maxima"/>
    <n v="2000"/>
    <s v="N"/>
    <n v="40.833368717534995"/>
    <n v="-56287.94"/>
    <n v="2.4472019549054608E-2"/>
    <n v="15"/>
    <n v="187"/>
    <x v="0"/>
    <x v="0"/>
  </r>
  <r>
    <n v="252"/>
    <n v="46"/>
    <n v="227244"/>
    <d v="1996-11-30T00:00:00"/>
    <s v="IN"/>
    <s v="500/1000"/>
    <n v="2000"/>
    <n v="1066.7"/>
    <n v="0"/>
    <n v="473370"/>
    <s v="FEMALE"/>
    <s v="JD"/>
    <s v="handlers-cleaners"/>
    <s v="sleeping"/>
    <s v="own-child"/>
    <n v="0"/>
    <n v="0"/>
    <d v="2015-01-30T00:00:00"/>
    <s v="Multi-vehicle Collision"/>
    <s v="Front Collision"/>
    <s v="Total Loss"/>
    <s v="Other"/>
    <x v="1"/>
    <x v="5"/>
    <s v="6357 Texas Lane"/>
    <n v="22"/>
    <n v="3"/>
    <s v="NO"/>
    <n v="0"/>
    <n v="2"/>
    <s v="NO"/>
    <n v="89520"/>
    <n v="14920"/>
    <n v="14920"/>
    <n v="59680"/>
    <s v="Audi"/>
    <s v="A3"/>
    <n v="2014"/>
    <s v="N"/>
    <n v="83.843776341668999"/>
    <n v="-88453.3"/>
    <n v="1.1915639905720445E-2"/>
    <n v="1"/>
    <n v="252"/>
    <x v="0"/>
    <x v="0"/>
  </r>
  <r>
    <n v="229"/>
    <n v="43"/>
    <n v="791425"/>
    <d v="1997-06-18T00:00:00"/>
    <s v="IN"/>
    <s v="250/500"/>
    <n v="2000"/>
    <n v="1585.54"/>
    <n v="0"/>
    <n v="463153"/>
    <s v="MALE"/>
    <s v="High School"/>
    <s v="protective-serv"/>
    <s v="reading"/>
    <s v="not-in-family"/>
    <n v="42600"/>
    <n v="-44400"/>
    <d v="2015-02-26T00:00:00"/>
    <s v="Vehicle Theft"/>
    <s v="?"/>
    <s v="Minor Damage"/>
    <s v="None"/>
    <x v="4"/>
    <x v="4"/>
    <s v="9322 Rock Hwy"/>
    <n v="3"/>
    <n v="1"/>
    <s v="NO"/>
    <n v="1"/>
    <n v="0"/>
    <s v="YES"/>
    <n v="4620"/>
    <n v="420"/>
    <n v="840"/>
    <n v="3360"/>
    <s v="Volkswagen"/>
    <s v="Jetta"/>
    <n v="2012"/>
    <s v="N"/>
    <n v="2.9119971762451624"/>
    <n v="-3034.46"/>
    <n v="0.34311620861285436"/>
    <n v="3"/>
    <n v="229"/>
    <x v="1"/>
    <x v="1"/>
  </r>
  <r>
    <n v="246"/>
    <n v="39"/>
    <n v="354455"/>
    <d v="2007-04-19T00:00:00"/>
    <s v="IN"/>
    <s v="250/500"/>
    <n v="1000"/>
    <n v="1416.08"/>
    <n v="0"/>
    <n v="612546"/>
    <s v="FEMALE"/>
    <s v="JD"/>
    <s v="craft-repair"/>
    <s v="yachting"/>
    <s v="other-relative"/>
    <n v="0"/>
    <n v="-36600"/>
    <d v="2015-01-27T00:00:00"/>
    <s v="Single Vehicle Collision"/>
    <s v="Rear Collision"/>
    <s v="Minor Damage"/>
    <s v="Ambulance"/>
    <x v="4"/>
    <x v="6"/>
    <s v="6684 Solo Lane"/>
    <n v="16"/>
    <n v="1"/>
    <s v="YES"/>
    <n v="0"/>
    <n v="3"/>
    <s v="?"/>
    <n v="45180"/>
    <n v="5020"/>
    <n v="5020"/>
    <n v="35140"/>
    <s v="Honda"/>
    <s v="CRV"/>
    <n v="2004"/>
    <s v="N"/>
    <n v="31.882462528579897"/>
    <n v="-43763.92"/>
    <n v="3.1342378433412275E-2"/>
    <n v="11"/>
    <n v="246"/>
    <x v="0"/>
    <x v="0"/>
  </r>
  <r>
    <n v="190"/>
    <n v="38"/>
    <n v="601042"/>
    <d v="2007-09-19T00:00:00"/>
    <s v="OH"/>
    <s v="250/500"/>
    <n v="500"/>
    <n v="1246.03"/>
    <n v="0"/>
    <n v="442919"/>
    <s v="MALE"/>
    <s v="JD"/>
    <s v="craft-repair"/>
    <s v="movies"/>
    <s v="unmarried"/>
    <n v="61900"/>
    <n v="-50000"/>
    <d v="2015-01-28T00:00:00"/>
    <s v="Single Vehicle Collision"/>
    <s v="Side Collision"/>
    <s v="Total Loss"/>
    <s v="Other"/>
    <x v="2"/>
    <x v="1"/>
    <s v="4885 Oak Lane"/>
    <n v="14"/>
    <n v="1"/>
    <s v="YES"/>
    <n v="0"/>
    <n v="0"/>
    <s v="NO"/>
    <n v="45100"/>
    <n v="9020"/>
    <n v="4510"/>
    <n v="31570"/>
    <s v="Nissan"/>
    <s v="Maxima"/>
    <n v="2013"/>
    <s v="N"/>
    <n v="36.165930250274656"/>
    <n v="-43853.97"/>
    <n v="2.7627547061040775E-2"/>
    <n v="2"/>
    <n v="190"/>
    <x v="0"/>
    <x v="0"/>
  </r>
  <r>
    <n v="95"/>
    <n v="32"/>
    <n v="433663"/>
    <d v="1996-12-21T00:00:00"/>
    <s v="IN"/>
    <s v="500/1000"/>
    <n v="2000"/>
    <n v="1356.64"/>
    <n v="0"/>
    <n v="449352"/>
    <s v="MALE"/>
    <s v="Masters"/>
    <s v="machine-op-inspct"/>
    <s v="golf"/>
    <s v="not-in-family"/>
    <n v="67800"/>
    <n v="-48600"/>
    <d v="2015-02-23T00:00:00"/>
    <s v="Multi-vehicle Collision"/>
    <s v="Side Collision"/>
    <s v="Total Loss"/>
    <s v="Police"/>
    <x v="0"/>
    <x v="3"/>
    <s v="7846 Andromedia Drive"/>
    <n v="21"/>
    <n v="3"/>
    <s v="YES"/>
    <n v="0"/>
    <n v="3"/>
    <s v="YES"/>
    <n v="83160"/>
    <n v="15120"/>
    <n v="15120"/>
    <n v="52920"/>
    <s v="Toyota"/>
    <s v="Camry"/>
    <n v="2003"/>
    <s v="N"/>
    <n v="61.253351403906777"/>
    <n v="-81803.360000000001"/>
    <n v="1.6313416144587006E-2"/>
    <n v="12"/>
    <n v="95"/>
    <x v="0"/>
    <x v="0"/>
  </r>
  <r>
    <n v="205"/>
    <n v="42"/>
    <n v="471938"/>
    <d v="2008-02-03T00:00:00"/>
    <s v="IL"/>
    <s v="100/300"/>
    <n v="2000"/>
    <n v="1387.7"/>
    <n v="4000000"/>
    <n v="470104"/>
    <s v="FEMALE"/>
    <s v="High School"/>
    <s v="priv-house-serv"/>
    <s v="skydiving"/>
    <s v="other-relative"/>
    <n v="0"/>
    <n v="0"/>
    <d v="2015-01-18T00:00:00"/>
    <s v="Single Vehicle Collision"/>
    <s v="Rear Collision"/>
    <s v="Minor Damage"/>
    <s v="Police"/>
    <x v="4"/>
    <x v="0"/>
    <s v="3915 Embaracadero St"/>
    <n v="19"/>
    <n v="1"/>
    <s v="NO"/>
    <n v="2"/>
    <n v="1"/>
    <s v="NO"/>
    <n v="86130"/>
    <n v="15660"/>
    <n v="15660"/>
    <n v="54810"/>
    <s v="Chevrolet"/>
    <s v="Silverado"/>
    <n v="1995"/>
    <s v="N"/>
    <n v="62.022034996759558"/>
    <n v="-84742.3"/>
    <n v="1.6111504568622214E-2"/>
    <n v="20"/>
    <n v="205"/>
    <x v="0"/>
    <x v="0"/>
  </r>
  <r>
    <n v="41"/>
    <n v="25"/>
    <n v="564654"/>
    <d v="2003-07-16T00:00:00"/>
    <s v="OH"/>
    <s v="100/300"/>
    <n v="1000"/>
    <n v="1004.14"/>
    <n v="0"/>
    <n v="459889"/>
    <s v="MALE"/>
    <s v="Masters"/>
    <s v="priv-house-serv"/>
    <s v="sleeping"/>
    <s v="wife"/>
    <n v="35400"/>
    <n v="0"/>
    <d v="2015-02-15T00:00:00"/>
    <s v="Multi-vehicle Collision"/>
    <s v="Front Collision"/>
    <s v="Major Damage"/>
    <s v="Fire"/>
    <x v="5"/>
    <x v="4"/>
    <s v="4242 Rock Lane"/>
    <n v="13"/>
    <n v="3"/>
    <s v="NO"/>
    <n v="1"/>
    <n v="3"/>
    <s v="NO"/>
    <n v="48000"/>
    <n v="9600"/>
    <n v="4800"/>
    <n v="33600"/>
    <s v="Dodge"/>
    <s v="RAM"/>
    <n v="1995"/>
    <s v="N"/>
    <n v="47.75454165588873"/>
    <n v="-46995.86"/>
    <n v="2.0919147517760046E-2"/>
    <n v="20"/>
    <n v="41"/>
    <x v="0"/>
    <x v="0"/>
  </r>
  <r>
    <n v="137"/>
    <n v="35"/>
    <n v="645723"/>
    <d v="1991-05-05T00:00:00"/>
    <s v="OH"/>
    <s v="500/1000"/>
    <n v="500"/>
    <n v="1107.07"/>
    <n v="0"/>
    <n v="478868"/>
    <s v="FEMALE"/>
    <s v="High School"/>
    <s v="protective-serv"/>
    <s v="movies"/>
    <s v="husband"/>
    <n v="0"/>
    <n v="-45300"/>
    <d v="2015-02-04T00:00:00"/>
    <s v="Vehicle Theft"/>
    <s v="?"/>
    <s v="Minor Damage"/>
    <s v="Police"/>
    <x v="1"/>
    <x v="4"/>
    <s v="7405 Oak St"/>
    <n v="21"/>
    <n v="1"/>
    <s v="NO"/>
    <n v="0"/>
    <n v="0"/>
    <s v="YES"/>
    <n v="3300"/>
    <n v="600"/>
    <n v="600"/>
    <n v="2100"/>
    <s v="Saab"/>
    <s v="92x"/>
    <n v="2008"/>
    <s v="N"/>
    <n v="2.9781511998339458"/>
    <n v="-2192.9300000000003"/>
    <n v="0.33537412905180247"/>
    <n v="7"/>
    <n v="137"/>
    <x v="1"/>
    <x v="1"/>
  </r>
  <r>
    <n v="194"/>
    <n v="34"/>
    <n v="573572"/>
    <d v="1991-06-16T00:00:00"/>
    <s v="IL"/>
    <s v="100/300"/>
    <n v="500"/>
    <n v="1429.96"/>
    <n v="0"/>
    <n v="463307"/>
    <s v="FEMALE"/>
    <s v="JD"/>
    <s v="protective-serv"/>
    <s v="board-games"/>
    <s v="husband"/>
    <n v="67800"/>
    <n v="0"/>
    <d v="2015-01-12T00:00:00"/>
    <s v="Multi-vehicle Collision"/>
    <s v="Rear Collision"/>
    <s v="Minor Damage"/>
    <s v="Ambulance"/>
    <x v="2"/>
    <x v="5"/>
    <s v="9633 4th St"/>
    <n v="11"/>
    <n v="3"/>
    <s v="NO"/>
    <n v="1"/>
    <n v="2"/>
    <s v="YES"/>
    <n v="57200"/>
    <n v="11440"/>
    <n v="5720"/>
    <n v="40040"/>
    <s v="Toyota"/>
    <s v="Camry"/>
    <n v="2005"/>
    <s v="N"/>
    <n v="39.973164868340135"/>
    <n v="-55770.04"/>
    <n v="2.4998863656229785E-2"/>
    <n v="10"/>
    <n v="194"/>
    <x v="0"/>
    <x v="0"/>
  </r>
  <r>
    <n v="128"/>
    <n v="35"/>
    <n v="437960"/>
    <d v="2001-04-03T00:00:00"/>
    <s v="IN"/>
    <s v="250/500"/>
    <n v="1000"/>
    <n v="1074.99"/>
    <n v="0"/>
    <n v="453620"/>
    <s v="FEMALE"/>
    <s v="Associate"/>
    <s v="adm-clerical"/>
    <s v="bungie-jumping"/>
    <s v="husband"/>
    <n v="0"/>
    <n v="-48800"/>
    <d v="2015-01-02T00:00:00"/>
    <s v="Vehicle Theft"/>
    <s v="?"/>
    <s v="Trivial Damage"/>
    <s v="Police"/>
    <x v="1"/>
    <x v="0"/>
    <s v="3492 Britain St"/>
    <n v="16"/>
    <n v="1"/>
    <s v="?"/>
    <n v="2"/>
    <n v="0"/>
    <s v="?"/>
    <n v="7590"/>
    <n v="1380"/>
    <n v="690"/>
    <n v="5520"/>
    <s v="Accura"/>
    <s v="MDX"/>
    <n v="2012"/>
    <s v="N"/>
    <n v="7.0539689030567194"/>
    <n v="-6515.01"/>
    <n v="0.14161375312870506"/>
    <n v="3"/>
    <n v="128"/>
    <x v="2"/>
    <x v="0"/>
  </r>
  <r>
    <n v="150"/>
    <n v="37"/>
    <n v="649800"/>
    <d v="2014-03-16T00:00:00"/>
    <s v="OH"/>
    <s v="500/1000"/>
    <n v="1000"/>
    <n v="1007"/>
    <n v="0"/>
    <n v="466238"/>
    <s v="FEMALE"/>
    <s v="PhD"/>
    <s v="transport-moving"/>
    <s v="board-games"/>
    <s v="unmarried"/>
    <n v="30400"/>
    <n v="-89400"/>
    <d v="2015-01-27T00:00:00"/>
    <s v="Single Vehicle Collision"/>
    <s v="Rear Collision"/>
    <s v="Total Loss"/>
    <s v="Police"/>
    <x v="1"/>
    <x v="2"/>
    <s v="7973 4th St"/>
    <n v="9"/>
    <n v="1"/>
    <s v="NO"/>
    <n v="0"/>
    <n v="2"/>
    <s v="?"/>
    <n v="80080"/>
    <n v="12320"/>
    <n v="12320"/>
    <n v="55440"/>
    <s v="Chevrolet"/>
    <s v="Silverado"/>
    <n v="2013"/>
    <s v="N"/>
    <n v="79.444444444444443"/>
    <n v="-79073"/>
    <n v="1.2574768047352056E-2"/>
    <n v="2"/>
    <n v="150"/>
    <x v="0"/>
    <x v="0"/>
  </r>
  <r>
    <n v="104"/>
    <n v="30"/>
    <n v="544225"/>
    <d v="2010-08-03T00:00:00"/>
    <s v="OH"/>
    <s v="100/300"/>
    <n v="500"/>
    <n v="1052.8499999999999"/>
    <n v="0"/>
    <n v="607697"/>
    <s v="FEMALE"/>
    <s v="MD"/>
    <s v="protective-serv"/>
    <s v="skydiving"/>
    <s v="other-relative"/>
    <n v="0"/>
    <n v="-70100"/>
    <d v="2015-02-09T00:00:00"/>
    <s v="Vehicle Theft"/>
    <s v="?"/>
    <s v="Minor Damage"/>
    <s v="Police"/>
    <x v="4"/>
    <x v="1"/>
    <s v="3952 Andromedia Lane"/>
    <n v="8"/>
    <n v="1"/>
    <s v="NO"/>
    <n v="0"/>
    <n v="0"/>
    <s v="YES"/>
    <n v="4800"/>
    <n v="960"/>
    <n v="480"/>
    <n v="3360"/>
    <s v="BMW"/>
    <s v="3 Series"/>
    <n v="2006"/>
    <s v="N"/>
    <n v="4.5547279024529113"/>
    <n v="-3747.15"/>
    <n v="0.21929806290356174"/>
    <n v="9"/>
    <n v="104"/>
    <x v="1"/>
    <x v="1"/>
  </r>
  <r>
    <n v="163"/>
    <n v="37"/>
    <n v="390256"/>
    <d v="2009-11-25T00:00:00"/>
    <s v="IN"/>
    <s v="500/1000"/>
    <n v="1000"/>
    <n v="1200.33"/>
    <n v="4000000"/>
    <n v="477631"/>
    <s v="FEMALE"/>
    <s v="High School"/>
    <s v="craft-repair"/>
    <s v="cross-fit"/>
    <s v="own-child"/>
    <n v="0"/>
    <n v="-36400"/>
    <d v="2015-02-06T00:00:00"/>
    <s v="Vehicle Theft"/>
    <s v="?"/>
    <s v="Minor Damage"/>
    <s v="Police"/>
    <x v="4"/>
    <x v="3"/>
    <s v="6702 Andromedia St"/>
    <n v="7"/>
    <n v="1"/>
    <s v="?"/>
    <n v="2"/>
    <n v="1"/>
    <s v="YES"/>
    <n v="3900"/>
    <n v="390"/>
    <n v="780"/>
    <n v="2730"/>
    <s v="Volkswagen"/>
    <s v="Jetta"/>
    <n v="2008"/>
    <s v="Y"/>
    <n v="3.2464019045557841"/>
    <n v="-2699.67"/>
    <n v="0.30769802614714176"/>
    <n v="7"/>
    <n v="163"/>
    <x v="1"/>
    <x v="1"/>
  </r>
  <r>
    <n v="80"/>
    <n v="26"/>
    <n v="488597"/>
    <d v="2001-05-08T00:00:00"/>
    <s v="IL"/>
    <s v="100/300"/>
    <n v="1000"/>
    <n v="1343"/>
    <n v="0"/>
    <n v="443625"/>
    <s v="MALE"/>
    <s v="Masters"/>
    <s v="handlers-cleaners"/>
    <s v="camping"/>
    <s v="other-relative"/>
    <n v="64600"/>
    <n v="0"/>
    <d v="2015-01-03T00:00:00"/>
    <s v="Single Vehicle Collision"/>
    <s v="Front Collision"/>
    <s v="Minor Damage"/>
    <s v="Other"/>
    <x v="0"/>
    <x v="2"/>
    <s v="5455 Oak Hwy"/>
    <n v="12"/>
    <n v="1"/>
    <s v="?"/>
    <n v="0"/>
    <n v="0"/>
    <s v="NO"/>
    <n v="90400"/>
    <n v="9040"/>
    <n v="9040"/>
    <n v="72320"/>
    <s v="BMW"/>
    <s v="3 Series"/>
    <n v="1995"/>
    <s v="N"/>
    <n v="67.261904761904759"/>
    <n v="-89057"/>
    <n v="1.485603035364653E-2"/>
    <n v="20"/>
    <n v="80"/>
    <x v="0"/>
    <x v="0"/>
  </r>
  <r>
    <n v="65"/>
    <n v="29"/>
    <n v="133889"/>
    <d v="2004-06-14T00:00:00"/>
    <s v="OH"/>
    <s v="250/500"/>
    <n v="2000"/>
    <n v="1441.6"/>
    <n v="5000000"/>
    <n v="472223"/>
    <s v="FEMALE"/>
    <s v="MD"/>
    <s v="sales"/>
    <s v="kayaking"/>
    <s v="own-child"/>
    <n v="0"/>
    <n v="0"/>
    <d v="2015-01-12T00:00:00"/>
    <s v="Multi-vehicle Collision"/>
    <s v="Rear Collision"/>
    <s v="Minor Damage"/>
    <s v="Other"/>
    <x v="5"/>
    <x v="0"/>
    <s v="2253 Maple Ave"/>
    <n v="21"/>
    <n v="3"/>
    <s v="YES"/>
    <n v="0"/>
    <n v="0"/>
    <s v="?"/>
    <n v="62900"/>
    <n v="6290"/>
    <n v="12580"/>
    <n v="44030"/>
    <s v="Jeep"/>
    <s v="Grand Cherokee"/>
    <n v="1998"/>
    <s v="N"/>
    <n v="43.601830029114105"/>
    <n v="-61458.400000000001"/>
    <n v="2.2918554553981653E-2"/>
    <n v="17"/>
    <n v="65"/>
    <x v="0"/>
    <x v="0"/>
  </r>
  <r>
    <n v="179"/>
    <n v="32"/>
    <n v="931901"/>
    <d v="1994-08-07T00:00:00"/>
    <s v="OH"/>
    <s v="100/300"/>
    <n v="1000"/>
    <n v="1433.42"/>
    <n v="6000000"/>
    <n v="608328"/>
    <s v="FEMALE"/>
    <s v="Associate"/>
    <s v="protective-serv"/>
    <s v="base-jumping"/>
    <s v="own-child"/>
    <n v="53800"/>
    <n v="0"/>
    <d v="2015-01-22T00:00:00"/>
    <s v="Single Vehicle Collision"/>
    <s v="Rear Collision"/>
    <s v="Major Damage"/>
    <s v="Police"/>
    <x v="5"/>
    <x v="2"/>
    <s v="7897 Lincoln St"/>
    <n v="4"/>
    <n v="1"/>
    <s v="YES"/>
    <n v="1"/>
    <n v="2"/>
    <s v="NO"/>
    <n v="54200"/>
    <n v="5420"/>
    <n v="10840"/>
    <n v="37940"/>
    <s v="Nissan"/>
    <s v="Ultima"/>
    <n v="2014"/>
    <s v="Y"/>
    <n v="37.785306953333055"/>
    <n v="-52766.58"/>
    <n v="2.644637552812679E-2"/>
    <n v="1"/>
    <n v="179"/>
    <x v="0"/>
    <x v="0"/>
  </r>
  <r>
    <n v="372"/>
    <n v="50"/>
    <n v="769475"/>
    <d v="2004-08-26T00:00:00"/>
    <s v="OH"/>
    <s v="500/1000"/>
    <n v="2000"/>
    <n v="1368.57"/>
    <n v="0"/>
    <n v="474860"/>
    <s v="FEMALE"/>
    <s v="MD"/>
    <s v="tech-support"/>
    <s v="paintball"/>
    <s v="other-relative"/>
    <n v="0"/>
    <n v="0"/>
    <d v="2015-01-03T00:00:00"/>
    <s v="Multi-vehicle Collision"/>
    <s v="Side Collision"/>
    <s v="Major Damage"/>
    <s v="Police"/>
    <x v="2"/>
    <x v="5"/>
    <s v="8811 Maple Hwy"/>
    <n v="18"/>
    <n v="3"/>
    <s v="NO"/>
    <n v="2"/>
    <n v="2"/>
    <s v="YES"/>
    <n v="51800"/>
    <n v="5180"/>
    <n v="10360"/>
    <n v="36260"/>
    <s v="Accura"/>
    <s v="MDX"/>
    <n v="2003"/>
    <s v="N"/>
    <n v="37.822090145082036"/>
    <n v="-50431.43"/>
    <n v="2.6419760236288874E-2"/>
    <n v="12"/>
    <n v="372"/>
    <x v="0"/>
    <x v="0"/>
  </r>
  <r>
    <n v="398"/>
    <n v="55"/>
    <n v="844062"/>
    <d v="1990-05-25T00:00:00"/>
    <s v="OH"/>
    <s v="250/500"/>
    <n v="500"/>
    <n v="862.19"/>
    <n v="0"/>
    <n v="606858"/>
    <s v="MALE"/>
    <s v="High School"/>
    <s v="adm-clerical"/>
    <s v="movies"/>
    <s v="unmarried"/>
    <n v="69400"/>
    <n v="0"/>
    <d v="2015-02-23T00:00:00"/>
    <s v="Vehicle Theft"/>
    <s v="?"/>
    <s v="Trivial Damage"/>
    <s v="Police"/>
    <x v="0"/>
    <x v="5"/>
    <s v="8167 Apache Ave"/>
    <n v="7"/>
    <n v="1"/>
    <s v="?"/>
    <n v="2"/>
    <n v="3"/>
    <s v="?"/>
    <n v="6600"/>
    <n v="600"/>
    <n v="1200"/>
    <n v="4800"/>
    <s v="Accura"/>
    <s v="MDX"/>
    <n v="2012"/>
    <s v="N"/>
    <n v="7.6460570673895658"/>
    <n v="-5737.8099999999995"/>
    <n v="0.1306150583244963"/>
    <n v="3"/>
    <n v="398"/>
    <x v="2"/>
    <x v="0"/>
  </r>
  <r>
    <n v="213"/>
    <n v="35"/>
    <n v="844129"/>
    <d v="1990-09-20T00:00:00"/>
    <s v="OH"/>
    <s v="250/500"/>
    <n v="500"/>
    <n v="871.46"/>
    <n v="0"/>
    <n v="477938"/>
    <s v="MALE"/>
    <s v="MD"/>
    <s v="tech-support"/>
    <s v="movies"/>
    <s v="husband"/>
    <n v="58500"/>
    <n v="-77700"/>
    <d v="2015-01-22T00:00:00"/>
    <s v="Single Vehicle Collision"/>
    <s v="Side Collision"/>
    <s v="Total Loss"/>
    <s v="Fire"/>
    <x v="0"/>
    <x v="6"/>
    <s v="5475 Rock Lane"/>
    <n v="13"/>
    <n v="1"/>
    <s v="YES"/>
    <n v="2"/>
    <n v="0"/>
    <s v="YES"/>
    <n v="74140"/>
    <n v="13480"/>
    <n v="6740"/>
    <n v="53920"/>
    <s v="Ford"/>
    <s v="Escape"/>
    <n v="2007"/>
    <s v="N"/>
    <n v="84.978107878871228"/>
    <n v="-73268.539999999994"/>
    <n v="1.1754090179522801E-2"/>
    <n v="8"/>
    <n v="213"/>
    <x v="0"/>
    <x v="0"/>
  </r>
  <r>
    <n v="79"/>
    <n v="25"/>
    <n v="732169"/>
    <d v="2000-11-05T00:00:00"/>
    <s v="OH"/>
    <s v="500/1000"/>
    <n v="500"/>
    <n v="1863.04"/>
    <n v="0"/>
    <n v="462698"/>
    <s v="FEMALE"/>
    <s v="Associate"/>
    <s v="priv-house-serv"/>
    <s v="paintball"/>
    <s v="not-in-family"/>
    <n v="53400"/>
    <n v="-35200"/>
    <d v="2015-02-13T00:00:00"/>
    <s v="Single Vehicle Collision"/>
    <s v="Front Collision"/>
    <s v="Total Loss"/>
    <s v="Fire"/>
    <x v="1"/>
    <x v="5"/>
    <s v="8215 Flute Drive"/>
    <n v="0"/>
    <n v="1"/>
    <s v="NO"/>
    <n v="2"/>
    <n v="1"/>
    <s v="?"/>
    <n v="67800"/>
    <n v="13560"/>
    <n v="6780"/>
    <n v="47460"/>
    <s v="Mercedes"/>
    <s v="C300"/>
    <n v="1995"/>
    <s v="N"/>
    <n v="36.372610029827683"/>
    <n v="-65936.960000000006"/>
    <n v="2.7478060795563485E-2"/>
    <n v="20"/>
    <n v="79"/>
    <x v="0"/>
    <x v="0"/>
  </r>
  <r>
    <n v="232"/>
    <n v="44"/>
    <n v="221854"/>
    <d v="1994-10-03T00:00:00"/>
    <s v="OH"/>
    <s v="250/500"/>
    <n v="2000"/>
    <n v="1181.6400000000001"/>
    <n v="0"/>
    <n v="454552"/>
    <s v="MALE"/>
    <s v="College"/>
    <s v="other-service"/>
    <s v="exercise"/>
    <s v="wife"/>
    <n v="25800"/>
    <n v="0"/>
    <d v="2015-02-08T00:00:00"/>
    <s v="Single Vehicle Collision"/>
    <s v="Rear Collision"/>
    <s v="Major Damage"/>
    <s v="Fire"/>
    <x v="2"/>
    <x v="5"/>
    <s v="1320 Flute Lane"/>
    <n v="22"/>
    <n v="1"/>
    <s v="?"/>
    <n v="1"/>
    <n v="1"/>
    <s v="YES"/>
    <n v="55400"/>
    <n v="5540"/>
    <n v="11080"/>
    <n v="38780"/>
    <s v="Jeep"/>
    <s v="Grand Cherokee"/>
    <n v="2002"/>
    <s v="Y"/>
    <n v="46.844348237840762"/>
    <n v="-54218.36"/>
    <n v="2.1328856879839715E-2"/>
    <n v="13"/>
    <n v="232"/>
    <x v="0"/>
    <x v="0"/>
  </r>
  <r>
    <n v="230"/>
    <n v="37"/>
    <n v="776950"/>
    <d v="2005-04-11T00:00:00"/>
    <s v="IL"/>
    <s v="500/1000"/>
    <n v="1000"/>
    <n v="1060.74"/>
    <n v="0"/>
    <n v="471585"/>
    <s v="MALE"/>
    <s v="PhD"/>
    <s v="tech-support"/>
    <s v="reading"/>
    <s v="own-child"/>
    <n v="0"/>
    <n v="-51500"/>
    <d v="2015-01-09T00:00:00"/>
    <s v="Single Vehicle Collision"/>
    <s v="Rear Collision"/>
    <s v="Major Damage"/>
    <s v="Ambulance"/>
    <x v="0"/>
    <x v="0"/>
    <s v="1229 5th Ave"/>
    <n v="15"/>
    <n v="1"/>
    <s v="YES"/>
    <n v="2"/>
    <n v="3"/>
    <s v="?"/>
    <n v="49100"/>
    <n v="9820"/>
    <n v="4910"/>
    <n v="34370"/>
    <s v="Suburu"/>
    <s v="Impreza"/>
    <n v="1996"/>
    <s v="Y"/>
    <n v="46.244843370316651"/>
    <n v="-48039.26"/>
    <n v="2.1603226003543717E-2"/>
    <n v="19"/>
    <n v="230"/>
    <x v="0"/>
    <x v="0"/>
  </r>
  <r>
    <n v="234"/>
    <n v="41"/>
    <n v="291006"/>
    <d v="1990-05-16T00:00:00"/>
    <s v="IN"/>
    <s v="100/300"/>
    <n v="500"/>
    <n v="951.56"/>
    <n v="0"/>
    <n v="455426"/>
    <s v="FEMALE"/>
    <s v="JD"/>
    <s v="transport-moving"/>
    <s v="video-games"/>
    <s v="wife"/>
    <n v="59400"/>
    <n v="-78600"/>
    <d v="2015-02-08T00:00:00"/>
    <s v="Multi-vehicle Collision"/>
    <s v="Side Collision"/>
    <s v="Major Damage"/>
    <s v="Police"/>
    <x v="0"/>
    <x v="1"/>
    <s v="3884 Pine Lane"/>
    <n v="3"/>
    <n v="3"/>
    <s v="NO"/>
    <n v="2"/>
    <n v="1"/>
    <s v="?"/>
    <n v="98280"/>
    <n v="15120"/>
    <n v="7560"/>
    <n v="75600"/>
    <s v="Chevrolet"/>
    <s v="Tahoe"/>
    <n v="2007"/>
    <s v="Y"/>
    <n v="103.17460317460318"/>
    <n v="-97328.44"/>
    <n v="9.6820341673365135E-3"/>
    <n v="8"/>
    <n v="234"/>
    <x v="0"/>
    <x v="0"/>
  </r>
  <r>
    <n v="240"/>
    <n v="40"/>
    <n v="845751"/>
    <d v="2004-09-11T00:00:00"/>
    <s v="IN"/>
    <s v="100/300"/>
    <n v="500"/>
    <n v="1533.71"/>
    <n v="9000000"/>
    <n v="469856"/>
    <s v="FEMALE"/>
    <s v="JD"/>
    <s v="protective-serv"/>
    <s v="polo"/>
    <s v="own-child"/>
    <n v="0"/>
    <n v="-70900"/>
    <d v="2015-01-10T00:00:00"/>
    <s v="Multi-vehicle Collision"/>
    <s v="Rear Collision"/>
    <s v="Total Loss"/>
    <s v="Fire"/>
    <x v="1"/>
    <x v="5"/>
    <s v="7108 Tree St"/>
    <n v="18"/>
    <n v="2"/>
    <s v="YES"/>
    <n v="0"/>
    <n v="2"/>
    <s v="?"/>
    <n v="66550"/>
    <n v="6050"/>
    <n v="12100"/>
    <n v="48400"/>
    <s v="Ford"/>
    <s v="Escape"/>
    <n v="2008"/>
    <s v="N"/>
    <n v="43.363241263821827"/>
    <n v="-65016.29"/>
    <n v="2.3045634175294136E-2"/>
    <n v="7"/>
    <n v="240"/>
    <x v="0"/>
    <x v="0"/>
  </r>
  <r>
    <n v="143"/>
    <n v="33"/>
    <n v="889764"/>
    <d v="1993-11-30T00:00:00"/>
    <s v="OH"/>
    <s v="500/1000"/>
    <n v="1000"/>
    <n v="1200.0899999999999"/>
    <n v="0"/>
    <n v="454191"/>
    <s v="FEMALE"/>
    <s v="Associate"/>
    <s v="craft-repair"/>
    <s v="board-games"/>
    <s v="unmarried"/>
    <n v="38400"/>
    <n v="-5700"/>
    <d v="2015-01-26T00:00:00"/>
    <s v="Multi-vehicle Collision"/>
    <s v="Side Collision"/>
    <s v="Major Damage"/>
    <s v="Fire"/>
    <x v="4"/>
    <x v="2"/>
    <s v="8014 Embaracadero Drive"/>
    <n v="17"/>
    <n v="3"/>
    <s v="?"/>
    <n v="2"/>
    <n v="2"/>
    <s v="?"/>
    <n v="70400"/>
    <n v="14080"/>
    <n v="7040"/>
    <n v="49280"/>
    <s v="Accura"/>
    <s v="RSX"/>
    <n v="2002"/>
    <s v="N"/>
    <n v="58.613426137924719"/>
    <n v="-69199.91"/>
    <n v="1.7046490816891805E-2"/>
    <n v="13"/>
    <n v="143"/>
    <x v="0"/>
    <x v="0"/>
  </r>
  <r>
    <n v="266"/>
    <n v="42"/>
    <n v="929306"/>
    <d v="2003-03-06T00:00:00"/>
    <s v="IN"/>
    <s v="100/300"/>
    <n v="500"/>
    <n v="1093.83"/>
    <n v="4000000"/>
    <n v="468454"/>
    <s v="MALE"/>
    <s v="Associate"/>
    <s v="adm-clerical"/>
    <s v="board-games"/>
    <s v="other-relative"/>
    <n v="0"/>
    <n v="-49600"/>
    <d v="2015-02-21T00:00:00"/>
    <s v="Multi-vehicle Collision"/>
    <s v="Side Collision"/>
    <s v="Major Damage"/>
    <s v="Ambulance"/>
    <x v="4"/>
    <x v="3"/>
    <s v="4937 Flute Drive"/>
    <n v="18"/>
    <n v="3"/>
    <s v="?"/>
    <n v="1"/>
    <n v="1"/>
    <s v="NO"/>
    <n v="53280"/>
    <n v="4440"/>
    <n v="8880"/>
    <n v="39960"/>
    <s v="Suburu"/>
    <s v="Impreza"/>
    <n v="2015"/>
    <s v="Y"/>
    <n v="48.665089557282869"/>
    <n v="-52186.17"/>
    <n v="2.0529457029710402E-2"/>
    <n v="0"/>
    <n v="266"/>
    <x v="0"/>
    <x v="0"/>
  </r>
  <r>
    <n v="89"/>
    <n v="32"/>
    <n v="515457"/>
    <d v="1996-12-18T00:00:00"/>
    <s v="IN"/>
    <s v="250/500"/>
    <n v="1000"/>
    <n v="988.93"/>
    <n v="0"/>
    <n v="614187"/>
    <s v="FEMALE"/>
    <s v="High School"/>
    <s v="craft-repair"/>
    <s v="golf"/>
    <s v="unmarried"/>
    <n v="27600"/>
    <n v="0"/>
    <d v="2015-01-23T00:00:00"/>
    <s v="Single Vehicle Collision"/>
    <s v="Front Collision"/>
    <s v="Total Loss"/>
    <s v="Other"/>
    <x v="2"/>
    <x v="0"/>
    <s v="2889 Francis St"/>
    <n v="11"/>
    <n v="1"/>
    <s v="?"/>
    <n v="2"/>
    <n v="3"/>
    <s v="YES"/>
    <n v="84590"/>
    <n v="15380"/>
    <n v="15380"/>
    <n v="53830"/>
    <s v="Dodge"/>
    <s v="Neon"/>
    <n v="1999"/>
    <s v="N"/>
    <n v="85.450486398028147"/>
    <n v="-83601.070000000007"/>
    <n v="1.1690723599437292E-2"/>
    <n v="16"/>
    <n v="89"/>
    <x v="0"/>
    <x v="0"/>
  </r>
  <r>
    <n v="229"/>
    <n v="37"/>
    <n v="556270"/>
    <d v="1995-02-21T00:00:00"/>
    <s v="IN"/>
    <s v="500/1000"/>
    <n v="1000"/>
    <n v="1331.94"/>
    <n v="0"/>
    <n v="433974"/>
    <s v="FEMALE"/>
    <s v="Masters"/>
    <s v="farming-fishing"/>
    <s v="base-jumping"/>
    <s v="not-in-family"/>
    <n v="0"/>
    <n v="-55400"/>
    <d v="2015-02-05T00:00:00"/>
    <s v="Single Vehicle Collision"/>
    <s v="Rear Collision"/>
    <s v="Total Loss"/>
    <s v="Other"/>
    <x v="2"/>
    <x v="0"/>
    <s v="7504 Flute Drive"/>
    <n v="17"/>
    <n v="1"/>
    <s v="NO"/>
    <n v="0"/>
    <n v="2"/>
    <s v="YES"/>
    <n v="54560"/>
    <n v="9920"/>
    <n v="9920"/>
    <n v="34720"/>
    <s v="Saab"/>
    <n v="95"/>
    <n v="2004"/>
    <s v="N"/>
    <n v="40.932074962113823"/>
    <n v="-53228.06"/>
    <n v="2.4411942596360037E-2"/>
    <n v="11"/>
    <n v="229"/>
    <x v="0"/>
    <x v="0"/>
  </r>
  <r>
    <n v="245"/>
    <n v="40"/>
    <n v="908935"/>
    <d v="2009-12-11T00:00:00"/>
    <s v="IL"/>
    <s v="500/1000"/>
    <n v="1000"/>
    <n v="1361.45"/>
    <n v="0"/>
    <n v="604833"/>
    <s v="MALE"/>
    <s v="PhD"/>
    <s v="handlers-cleaners"/>
    <s v="camping"/>
    <s v="unmarried"/>
    <n v="39300"/>
    <n v="0"/>
    <d v="2015-02-15T00:00:00"/>
    <s v="Single Vehicle Collision"/>
    <s v="Rear Collision"/>
    <s v="Minor Damage"/>
    <s v="Ambulance"/>
    <x v="3"/>
    <x v="5"/>
    <s v="7570 Cherokee Drive"/>
    <n v="12"/>
    <n v="1"/>
    <s v="YES"/>
    <n v="0"/>
    <n v="2"/>
    <s v="YES"/>
    <n v="82170"/>
    <n v="7470"/>
    <n v="7470"/>
    <n v="67230"/>
    <s v="Suburu"/>
    <s v="Forrestor"/>
    <n v="1999"/>
    <s v="N"/>
    <n v="60.310470108994821"/>
    <n v="-80808.55"/>
    <n v="1.6568497401759745E-2"/>
    <n v="16"/>
    <n v="245"/>
    <x v="0"/>
    <x v="0"/>
  </r>
  <r>
    <n v="50"/>
    <n v="44"/>
    <n v="525862"/>
    <d v="2000-10-18T00:00:00"/>
    <s v="OH"/>
    <s v="250/500"/>
    <n v="2000"/>
    <n v="1188.51"/>
    <n v="0"/>
    <n v="447469"/>
    <s v="MALE"/>
    <s v="College"/>
    <s v="handlers-cleaners"/>
    <s v="bungie-jumping"/>
    <s v="unmarried"/>
    <n v="0"/>
    <n v="-65800"/>
    <d v="2015-01-08T00:00:00"/>
    <s v="Multi-vehicle Collision"/>
    <s v="Front Collision"/>
    <s v="Total Loss"/>
    <s v="Police"/>
    <x v="2"/>
    <x v="5"/>
    <s v="4710 Lincoln Hwy"/>
    <n v="15"/>
    <n v="3"/>
    <s v="?"/>
    <n v="1"/>
    <n v="2"/>
    <s v="NO"/>
    <n v="61100"/>
    <n v="6110"/>
    <n v="12220"/>
    <n v="42770"/>
    <s v="Dodge"/>
    <s v="Neon"/>
    <n v="2008"/>
    <s v="N"/>
    <n v="51.365688392699518"/>
    <n v="-59911.49"/>
    <n v="1.9451563804193057E-2"/>
    <n v="7"/>
    <n v="50"/>
    <x v="0"/>
    <x v="0"/>
  </r>
  <r>
    <n v="230"/>
    <n v="43"/>
    <n v="490514"/>
    <d v="2007-02-09T00:00:00"/>
    <s v="IN"/>
    <s v="500/1000"/>
    <n v="2000"/>
    <n v="1101.83"/>
    <n v="0"/>
    <n v="451529"/>
    <s v="MALE"/>
    <s v="High School"/>
    <s v="exec-managerial"/>
    <s v="cross-fit"/>
    <s v="other-relative"/>
    <n v="28900"/>
    <n v="0"/>
    <d v="2015-01-01T00:00:00"/>
    <s v="Multi-vehicle Collision"/>
    <s v="Front Collision"/>
    <s v="Minor Damage"/>
    <s v="Police"/>
    <x v="2"/>
    <x v="2"/>
    <s v="7511 1st Ave"/>
    <n v="0"/>
    <n v="3"/>
    <s v="?"/>
    <n v="0"/>
    <n v="3"/>
    <s v="YES"/>
    <n v="51900"/>
    <n v="5190"/>
    <n v="10380"/>
    <n v="36330"/>
    <s v="BMW"/>
    <s v="M5"/>
    <n v="2011"/>
    <s v="Y"/>
    <n v="47.060743722967281"/>
    <n v="-50798.17"/>
    <n v="2.1229456079844316E-2"/>
    <n v="4"/>
    <n v="230"/>
    <x v="0"/>
    <x v="0"/>
  </r>
  <r>
    <n v="17"/>
    <n v="39"/>
    <n v="774895"/>
    <d v="2006-10-28T00:00:00"/>
    <s v="IL"/>
    <s v="250/500"/>
    <n v="1000"/>
    <n v="840.95"/>
    <n v="0"/>
    <n v="431202"/>
    <s v="FEMALE"/>
    <s v="JD"/>
    <s v="adm-clerical"/>
    <s v="hiking"/>
    <s v="unmarried"/>
    <n v="32500"/>
    <n v="-80800"/>
    <d v="2015-02-26T00:00:00"/>
    <s v="Parked Car"/>
    <s v="?"/>
    <s v="Trivial Damage"/>
    <s v="Police"/>
    <x v="0"/>
    <x v="2"/>
    <s v="7042 Maple Ridge"/>
    <n v="9"/>
    <n v="1"/>
    <s v="?"/>
    <n v="2"/>
    <n v="1"/>
    <s v="?"/>
    <n v="3440"/>
    <n v="430"/>
    <n v="430"/>
    <n v="2580"/>
    <s v="Suburu"/>
    <s v="Legacy"/>
    <n v="2002"/>
    <s v="N"/>
    <n v="4.0857533107666724"/>
    <n v="-2599.0500000000002"/>
    <n v="0.24439116535890731"/>
    <n v="13"/>
    <n v="17"/>
    <x v="1"/>
    <x v="1"/>
  </r>
  <r>
    <n v="163"/>
    <n v="36"/>
    <n v="974522"/>
    <d v="2000-01-27T00:00:00"/>
    <s v="IN"/>
    <s v="250/500"/>
    <n v="1000"/>
    <n v="1503.21"/>
    <n v="0"/>
    <n v="448190"/>
    <s v="MALE"/>
    <s v="MD"/>
    <s v="other-service"/>
    <s v="cross-fit"/>
    <s v="husband"/>
    <n v="55700"/>
    <n v="-49900"/>
    <d v="2015-02-28T00:00:00"/>
    <s v="Single Vehicle Collision"/>
    <s v="Side Collision"/>
    <s v="Total Loss"/>
    <s v="Ambulance"/>
    <x v="4"/>
    <x v="3"/>
    <s v="4475 Lincoln Ridge"/>
    <n v="1"/>
    <n v="1"/>
    <s v="YES"/>
    <n v="2"/>
    <n v="1"/>
    <s v="NO"/>
    <n v="51390"/>
    <n v="5710"/>
    <n v="11420"/>
    <n v="34260"/>
    <s v="Toyota"/>
    <s v="Corolla"/>
    <n v="2013"/>
    <s v="N"/>
    <n v="34.164112723622367"/>
    <n v="-49886.79"/>
    <n v="2.9250452413846783E-2"/>
    <n v="2"/>
    <n v="163"/>
    <x v="0"/>
    <x v="0"/>
  </r>
  <r>
    <n v="29"/>
    <n v="32"/>
    <n v="669809"/>
    <d v="2002-04-05T00:00:00"/>
    <s v="OH"/>
    <s v="100/300"/>
    <n v="1000"/>
    <n v="1722.5"/>
    <n v="0"/>
    <n v="453713"/>
    <s v="MALE"/>
    <s v="High School"/>
    <s v="other-service"/>
    <s v="base-jumping"/>
    <s v="wife"/>
    <n v="0"/>
    <n v="-21500"/>
    <d v="2015-01-13T00:00:00"/>
    <s v="Single Vehicle Collision"/>
    <s v="Side Collision"/>
    <s v="Major Damage"/>
    <s v="Other"/>
    <x v="4"/>
    <x v="0"/>
    <s v="9439 MLK St"/>
    <n v="22"/>
    <n v="1"/>
    <s v="?"/>
    <n v="0"/>
    <n v="2"/>
    <s v="?"/>
    <n v="76900"/>
    <n v="7690"/>
    <n v="7690"/>
    <n v="61520"/>
    <s v="Jeep"/>
    <s v="Wrangler"/>
    <n v="1995"/>
    <s v="N"/>
    <n v="44.618508848273862"/>
    <n v="-75177.5"/>
    <n v="2.2398928492477342E-2"/>
    <n v="20"/>
    <n v="29"/>
    <x v="0"/>
    <x v="0"/>
  </r>
  <r>
    <n v="232"/>
    <n v="42"/>
    <n v="182953"/>
    <d v="2013-04-30T00:00:00"/>
    <s v="IN"/>
    <s v="100/300"/>
    <n v="500"/>
    <n v="944.03"/>
    <n v="0"/>
    <n v="440153"/>
    <s v="MALE"/>
    <s v="College"/>
    <s v="handlers-cleaners"/>
    <s v="kayaking"/>
    <s v="not-in-family"/>
    <n v="0"/>
    <n v="-58400"/>
    <d v="2015-02-19T00:00:00"/>
    <s v="Single Vehicle Collision"/>
    <s v="Rear Collision"/>
    <s v="Minor Damage"/>
    <s v="Other"/>
    <x v="4"/>
    <x v="1"/>
    <s v="8269 Sky Hwy"/>
    <n v="11"/>
    <n v="1"/>
    <s v="YES"/>
    <n v="2"/>
    <n v="3"/>
    <s v="?"/>
    <n v="77000"/>
    <n v="15400"/>
    <n v="7700"/>
    <n v="53900"/>
    <s v="Toyota"/>
    <s v="Highlander"/>
    <n v="2015"/>
    <s v="Y"/>
    <n v="81.47889484989895"/>
    <n v="-76055.97"/>
    <n v="1.2259970649731821E-2"/>
    <n v="0"/>
    <n v="232"/>
    <x v="0"/>
    <x v="0"/>
  </r>
  <r>
    <n v="235"/>
    <n v="39"/>
    <n v="836349"/>
    <d v="2013-05-01T00:00:00"/>
    <s v="IL"/>
    <s v="500/1000"/>
    <n v="2000"/>
    <n v="1453.61"/>
    <n v="4000000"/>
    <n v="619570"/>
    <s v="MALE"/>
    <s v="JD"/>
    <s v="craft-repair"/>
    <s v="yachting"/>
    <s v="other-relative"/>
    <n v="0"/>
    <n v="0"/>
    <d v="2015-01-13T00:00:00"/>
    <s v="Single Vehicle Collision"/>
    <s v="Side Collision"/>
    <s v="Major Damage"/>
    <s v="Other"/>
    <x v="5"/>
    <x v="4"/>
    <s v="5663 Oak Lane"/>
    <n v="10"/>
    <n v="1"/>
    <s v="?"/>
    <n v="0"/>
    <n v="3"/>
    <s v="?"/>
    <n v="60320"/>
    <n v="9280"/>
    <n v="9280"/>
    <n v="41760"/>
    <s v="Chevrolet"/>
    <s v="Tahoe"/>
    <n v="2012"/>
    <s v="Y"/>
    <n v="41.468159850406643"/>
    <n v="-58866.39"/>
    <n v="2.409790951741516E-2"/>
    <n v="3"/>
    <n v="235"/>
    <x v="0"/>
    <x v="0"/>
  </r>
  <r>
    <n v="295"/>
    <n v="46"/>
    <n v="591269"/>
    <d v="1999-01-09T00:00:00"/>
    <s v="IN"/>
    <s v="100/300"/>
    <n v="500"/>
    <n v="1672.88"/>
    <n v="0"/>
    <n v="478947"/>
    <s v="FEMALE"/>
    <s v="High School"/>
    <s v="armed-forces"/>
    <s v="dancing"/>
    <s v="wife"/>
    <n v="0"/>
    <n v="0"/>
    <d v="2015-02-17T00:00:00"/>
    <s v="Single Vehicle Collision"/>
    <s v="Rear Collision"/>
    <s v="Minor Damage"/>
    <s v="Fire"/>
    <x v="2"/>
    <x v="0"/>
    <s v="4633 5th Lane"/>
    <n v="5"/>
    <n v="1"/>
    <s v="YES"/>
    <n v="1"/>
    <n v="1"/>
    <s v="NO"/>
    <n v="60700"/>
    <n v="12140"/>
    <n v="6070"/>
    <n v="42490"/>
    <s v="Honda"/>
    <s v="Civic"/>
    <n v="1997"/>
    <s v="N"/>
    <n v="36.263053504432811"/>
    <n v="-59027.12"/>
    <n v="2.7559348280917943E-2"/>
    <n v="18"/>
    <n v="295"/>
    <x v="0"/>
    <x v="0"/>
  </r>
  <r>
    <n v="22"/>
    <n v="21"/>
    <n v="550127"/>
    <d v="2007-07-04T00:00:00"/>
    <s v="IN"/>
    <s v="250/500"/>
    <n v="1000"/>
    <n v="1248.05"/>
    <n v="0"/>
    <n v="443550"/>
    <s v="FEMALE"/>
    <s v="High School"/>
    <s v="exec-managerial"/>
    <s v="movies"/>
    <s v="husband"/>
    <n v="37500"/>
    <n v="-54000"/>
    <d v="2015-02-15T00:00:00"/>
    <s v="Multi-vehicle Collision"/>
    <s v="Rear Collision"/>
    <s v="Total Loss"/>
    <s v="Police"/>
    <x v="0"/>
    <x v="2"/>
    <s v="9682 Cherokee Ridge"/>
    <n v="3"/>
    <n v="3"/>
    <s v="YES"/>
    <n v="1"/>
    <n v="2"/>
    <s v="?"/>
    <n v="53280"/>
    <n v="5920"/>
    <n v="0"/>
    <n v="47360"/>
    <s v="Chevrolet"/>
    <s v="Malibu"/>
    <n v="2015"/>
    <s v="N"/>
    <n v="42.656418878347544"/>
    <n v="-52031.95"/>
    <n v="2.3423922223681986E-2"/>
    <n v="0"/>
    <n v="22"/>
    <x v="0"/>
    <x v="0"/>
  </r>
  <r>
    <n v="286"/>
    <n v="43"/>
    <n v="663190"/>
    <d v="1994-02-05T00:00:00"/>
    <s v="IL"/>
    <s v="100/300"/>
    <n v="500"/>
    <n v="1564.43"/>
    <n v="3000000"/>
    <n v="477644"/>
    <s v="FEMALE"/>
    <s v="MD"/>
    <s v="prof-specialty"/>
    <s v="movies"/>
    <s v="unmarried"/>
    <n v="77500"/>
    <n v="-32800"/>
    <d v="2015-01-31T00:00:00"/>
    <s v="Single Vehicle Collision"/>
    <s v="Rear Collision"/>
    <s v="Minor Damage"/>
    <s v="Fire"/>
    <x v="2"/>
    <x v="6"/>
    <s v="4755 1st St"/>
    <n v="18"/>
    <n v="1"/>
    <s v="?"/>
    <n v="2"/>
    <n v="2"/>
    <s v="YES"/>
    <n v="34290"/>
    <n v="3810"/>
    <n v="3810"/>
    <n v="26670"/>
    <s v="Jeep"/>
    <s v="Grand Cherokee"/>
    <n v="2013"/>
    <s v="N"/>
    <n v="21.904524635403689"/>
    <n v="-32725.57"/>
    <n v="4.562217491470065E-2"/>
    <n v="2"/>
    <n v="286"/>
    <x v="0"/>
    <x v="0"/>
  </r>
  <r>
    <n v="257"/>
    <n v="44"/>
    <n v="109392"/>
    <d v="2006-07-12T00:00:00"/>
    <s v="OH"/>
    <s v="100/300"/>
    <n v="1000"/>
    <n v="1280.8800000000001"/>
    <n v="0"/>
    <n v="433981"/>
    <s v="MALE"/>
    <s v="MD"/>
    <s v="other-service"/>
    <s v="basketball"/>
    <s v="other-relative"/>
    <n v="59400"/>
    <n v="-32200"/>
    <d v="2015-02-06T00:00:00"/>
    <s v="Single Vehicle Collision"/>
    <s v="Rear Collision"/>
    <s v="Total Loss"/>
    <s v="Other"/>
    <x v="4"/>
    <x v="1"/>
    <s v="5312 Francis Ridge"/>
    <n v="21"/>
    <n v="1"/>
    <s v="NO"/>
    <n v="0"/>
    <n v="1"/>
    <s v="NO"/>
    <n v="46980"/>
    <n v="0"/>
    <n v="5220"/>
    <n v="41760"/>
    <s v="Accura"/>
    <s v="TL"/>
    <n v="2002"/>
    <s v="N"/>
    <n v="36.649296345991822"/>
    <n v="-45699.12"/>
    <n v="2.7263787488559208E-2"/>
    <n v="13"/>
    <n v="257"/>
    <x v="0"/>
    <x v="0"/>
  </r>
  <r>
    <n v="94"/>
    <n v="26"/>
    <n v="215278"/>
    <d v="2007-10-24T00:00:00"/>
    <s v="IN"/>
    <s v="100/300"/>
    <n v="500"/>
    <n v="722.66"/>
    <n v="0"/>
    <n v="433696"/>
    <s v="MALE"/>
    <s v="MD"/>
    <s v="exec-managerial"/>
    <s v="camping"/>
    <s v="husband"/>
    <n v="50300"/>
    <n v="0"/>
    <d v="2015-01-23T00:00:00"/>
    <s v="Multi-vehicle Collision"/>
    <s v="Front Collision"/>
    <s v="Major Damage"/>
    <s v="Fire"/>
    <x v="3"/>
    <x v="3"/>
    <s v="1705 Weaver St"/>
    <n v="6"/>
    <n v="3"/>
    <s v="YES"/>
    <n v="1"/>
    <n v="2"/>
    <s v="YES"/>
    <n v="36700"/>
    <n v="3670"/>
    <n v="7340"/>
    <n v="25690"/>
    <s v="Nissan"/>
    <s v="Pathfinder"/>
    <n v="2010"/>
    <s v="N"/>
    <n v="50.714423900726864"/>
    <n v="-35977.339999999997"/>
    <n v="1.9690471649273861E-2"/>
    <n v="5"/>
    <n v="94"/>
    <x v="0"/>
    <x v="0"/>
  </r>
  <r>
    <n v="124"/>
    <n v="28"/>
    <n v="674570"/>
    <d v="2001-12-08T00:00:00"/>
    <s v="OH"/>
    <s v="250/500"/>
    <n v="1000"/>
    <n v="1235.1400000000001"/>
    <n v="0"/>
    <n v="443567"/>
    <s v="MALE"/>
    <s v="MD"/>
    <s v="exec-managerial"/>
    <s v="camping"/>
    <s v="husband"/>
    <n v="0"/>
    <n v="-32100"/>
    <d v="2015-02-17T00:00:00"/>
    <s v="Multi-vehicle Collision"/>
    <s v="Side Collision"/>
    <s v="Total Loss"/>
    <s v="Other"/>
    <x v="3"/>
    <x v="4"/>
    <s v="1643 Washington Hwy"/>
    <n v="20"/>
    <n v="3"/>
    <s v="?"/>
    <n v="0"/>
    <n v="1"/>
    <s v="?"/>
    <n v="60200"/>
    <n v="6020"/>
    <n v="6020"/>
    <n v="48160"/>
    <s v="Volkswagen"/>
    <s v="Passat"/>
    <n v="2012"/>
    <s v="N"/>
    <n v="48.699985438542555"/>
    <n v="-58964.86"/>
    <n v="2.051693493463564E-2"/>
    <n v="3"/>
    <n v="124"/>
    <x v="0"/>
    <x v="0"/>
  </r>
  <r>
    <n v="141"/>
    <n v="30"/>
    <n v="681486"/>
    <d v="2007-03-24T00:00:00"/>
    <s v="IN"/>
    <s v="500/1000"/>
    <n v="1000"/>
    <n v="1347.04"/>
    <n v="0"/>
    <n v="430665"/>
    <s v="MALE"/>
    <s v="High School"/>
    <s v="sales"/>
    <s v="bungie-jumping"/>
    <s v="own-child"/>
    <n v="0"/>
    <n v="-82100"/>
    <d v="2015-01-22T00:00:00"/>
    <s v="Parked Car"/>
    <s v="?"/>
    <s v="Minor Damage"/>
    <s v="None"/>
    <x v="0"/>
    <x v="5"/>
    <s v="6516 Solo Drive"/>
    <n v="6"/>
    <n v="1"/>
    <s v="?"/>
    <n v="1"/>
    <n v="2"/>
    <s v="YES"/>
    <n v="6480"/>
    <n v="540"/>
    <n v="1080"/>
    <n v="4860"/>
    <s v="Honda"/>
    <s v="Civic"/>
    <n v="1996"/>
    <s v="N"/>
    <n v="4.8069790213940244"/>
    <n v="-5132.96"/>
    <n v="0.20784446844622742"/>
    <n v="19"/>
    <n v="141"/>
    <x v="1"/>
    <x v="0"/>
  </r>
  <r>
    <n v="3"/>
    <n v="38"/>
    <n v="941851"/>
    <d v="1991-07-16T00:00:00"/>
    <s v="OH"/>
    <s v="500/1000"/>
    <n v="1000"/>
    <n v="1310.8"/>
    <n v="0"/>
    <n v="431289"/>
    <s v="FEMALE"/>
    <s v="Masters"/>
    <s v="craft-repair"/>
    <s v="paintball"/>
    <s v="unmarried"/>
    <n v="0"/>
    <n v="0"/>
    <d v="2015-02-22T00:00:00"/>
    <s v="Single Vehicle Collision"/>
    <s v="Front Collision"/>
    <s v="Minor Damage"/>
    <s v="Fire"/>
    <x v="5"/>
    <x v="6"/>
    <s v="6045 Andromedia St"/>
    <n v="20"/>
    <n v="1"/>
    <s v="YES"/>
    <n v="0"/>
    <n v="1"/>
    <s v="?"/>
    <n v="87200"/>
    <n v="17440"/>
    <n v="8720"/>
    <n v="61040"/>
    <s v="Honda"/>
    <s v="Accord"/>
    <n v="2006"/>
    <s v="N"/>
    <n v="66.473547796920258"/>
    <n v="-85889.2"/>
    <n v="1.5031937707136386E-2"/>
    <n v="9"/>
    <n v="3"/>
    <x v="0"/>
    <x v="0"/>
  </r>
  <r>
    <n v="285"/>
    <n v="41"/>
    <n v="186934"/>
    <d v="2014-01-05T00:00:00"/>
    <s v="IL"/>
    <s v="100/300"/>
    <n v="1000"/>
    <n v="1436.79"/>
    <n v="0"/>
    <n v="608177"/>
    <s v="FEMALE"/>
    <s v="PhD"/>
    <s v="prof-specialty"/>
    <s v="sleeping"/>
    <s v="wife"/>
    <n v="70900"/>
    <n v="0"/>
    <d v="2015-01-24T00:00:00"/>
    <s v="Single Vehicle Collision"/>
    <s v="Rear Collision"/>
    <s v="Major Damage"/>
    <s v="Fire"/>
    <x v="0"/>
    <x v="5"/>
    <s v="3092 Texas Drive"/>
    <n v="23"/>
    <n v="1"/>
    <s v="YES"/>
    <n v="2"/>
    <n v="3"/>
    <s v="?"/>
    <n v="108480"/>
    <n v="18080"/>
    <n v="18080"/>
    <n v="72320"/>
    <s v="Volkswagen"/>
    <s v="Passat"/>
    <n v="2015"/>
    <s v="N"/>
    <n v="75.449126784857313"/>
    <n v="-107043.21"/>
    <n v="1.3244623482453147E-2"/>
    <n v="0"/>
    <n v="285"/>
    <x v="0"/>
    <x v="0"/>
  </r>
  <r>
    <n v="130"/>
    <n v="34"/>
    <n v="918516"/>
    <d v="2003-02-17T00:00:00"/>
    <s v="OH"/>
    <s v="250/500"/>
    <n v="500"/>
    <n v="1383.49"/>
    <n v="3000000"/>
    <n v="442797"/>
    <s v="FEMALE"/>
    <s v="Masters"/>
    <s v="armed-forces"/>
    <s v="bungie-jumping"/>
    <s v="other-relative"/>
    <n v="35100"/>
    <n v="0"/>
    <d v="2015-01-23T00:00:00"/>
    <s v="Multi-vehicle Collision"/>
    <s v="Side Collision"/>
    <s v="Minor Damage"/>
    <s v="Police"/>
    <x v="5"/>
    <x v="2"/>
    <s v="7629 5th St"/>
    <n v="4"/>
    <n v="3"/>
    <s v="?"/>
    <n v="2"/>
    <n v="3"/>
    <s v="YES"/>
    <n v="67500"/>
    <n v="7500"/>
    <n v="7500"/>
    <n v="52500"/>
    <s v="Suburu"/>
    <s v="Impreza"/>
    <n v="1996"/>
    <s v="N"/>
    <n v="48.754414983134581"/>
    <n v="-66116.509999999995"/>
    <n v="2.0495844506007319E-2"/>
    <n v="19"/>
    <n v="130"/>
    <x v="0"/>
    <x v="0"/>
  </r>
  <r>
    <n v="458"/>
    <n v="62"/>
    <n v="533940"/>
    <d v="2011-11-18T00:00:00"/>
    <s v="IL"/>
    <s v="500/1000"/>
    <n v="2000"/>
    <n v="1356.92"/>
    <n v="5000000"/>
    <n v="441714"/>
    <s v="MALE"/>
    <s v="Associate"/>
    <s v="handlers-cleaners"/>
    <s v="base-jumping"/>
    <s v="wife"/>
    <n v="0"/>
    <n v="0"/>
    <d v="2015-02-26T00:00:00"/>
    <s v="Single Vehicle Collision"/>
    <s v="Rear Collision"/>
    <s v="Major Damage"/>
    <s v="Other"/>
    <x v="2"/>
    <x v="2"/>
    <s v="6128 Elm Lane"/>
    <n v="2"/>
    <n v="1"/>
    <s v="?"/>
    <n v="0"/>
    <n v="1"/>
    <s v="YES"/>
    <n v="46980"/>
    <n v="5220"/>
    <n v="5220"/>
    <n v="36540"/>
    <s v="Audi"/>
    <s v="A5"/>
    <n v="1998"/>
    <s v="N"/>
    <n v="34.597030752916226"/>
    <n v="-45623.08"/>
    <n v="2.8882314126987507E-2"/>
    <n v="17"/>
    <n v="458"/>
    <x v="0"/>
    <x v="0"/>
  </r>
  <r>
    <n v="456"/>
    <n v="60"/>
    <n v="556080"/>
    <d v="1996-11-11T00:00:00"/>
    <s v="OH"/>
    <s v="250/500"/>
    <n v="1000"/>
    <n v="766.19"/>
    <n v="0"/>
    <n v="612260"/>
    <s v="FEMALE"/>
    <s v="Associate"/>
    <s v="sales"/>
    <s v="kayaking"/>
    <s v="husband"/>
    <n v="0"/>
    <n v="0"/>
    <d v="2015-02-26T00:00:00"/>
    <s v="Parked Car"/>
    <s v="?"/>
    <s v="Minor Damage"/>
    <s v="Police"/>
    <x v="4"/>
    <x v="0"/>
    <s v="1416 Cherokee Ridge"/>
    <n v="6"/>
    <n v="1"/>
    <s v="?"/>
    <n v="0"/>
    <n v="3"/>
    <s v="?"/>
    <n v="5060"/>
    <n v="460"/>
    <n v="920"/>
    <n v="3680"/>
    <s v="Mercedes"/>
    <s v="E400"/>
    <n v="2007"/>
    <s v="N"/>
    <n v="6.595497855811467"/>
    <n v="-4293.8099999999995"/>
    <n v="0.15139102944082197"/>
    <n v="8"/>
    <n v="456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9F884-AF0E-6D4B-A125-E7BCDF3629A6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4" firstHeaderRow="1" firstDataRow="3" firstDataCol="1"/>
  <pivotFields count="46"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8">
        <item x="5"/>
        <item x="2"/>
        <item x="3"/>
        <item x="6"/>
        <item x="0"/>
        <item x="1"/>
        <item x="4"/>
        <item t="default"/>
      </items>
    </pivotField>
    <pivotField showAll="0">
      <items count="8">
        <item x="2"/>
        <item x="0"/>
        <item x="4"/>
        <item x="5"/>
        <item x="6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2">
    <field x="45"/>
    <field x="22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2">
    <field x="4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total_claim_amount" fld="31" baseField="0" baseItem="0"/>
    <dataField name="Sum of policy_annual_premium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B9AB-6E4D-A04A-955F-CE427CD243C3}">
  <dimension ref="A3:I24"/>
  <sheetViews>
    <sheetView workbookViewId="0">
      <selection activeCell="A8" sqref="A8"/>
    </sheetView>
  </sheetViews>
  <sheetFormatPr baseColWidth="10" defaultRowHeight="16" x14ac:dyDescent="0.2"/>
  <cols>
    <col min="1" max="1" width="13.1640625" bestFit="1" customWidth="1"/>
    <col min="2" max="2" width="24" bestFit="1" customWidth="1"/>
    <col min="3" max="3" width="27.1640625" bestFit="1" customWidth="1"/>
    <col min="4" max="4" width="24" bestFit="1" customWidth="1"/>
    <col min="5" max="5" width="27.1640625" bestFit="1" customWidth="1"/>
    <col min="6" max="6" width="24" bestFit="1" customWidth="1"/>
    <col min="7" max="7" width="27.1640625" bestFit="1" customWidth="1"/>
    <col min="8" max="8" width="28.5" bestFit="1" customWidth="1"/>
    <col min="9" max="9" width="31.5" bestFit="1" customWidth="1"/>
    <col min="10" max="10" width="16.1640625" bestFit="1" customWidth="1"/>
    <col min="11" max="11" width="3.5" bestFit="1" customWidth="1"/>
    <col min="12" max="12" width="3.83203125" bestFit="1" customWidth="1"/>
    <col min="13" max="15" width="3.5" bestFit="1" customWidth="1"/>
    <col min="16" max="16" width="4" bestFit="1" customWidth="1"/>
    <col min="17" max="17" width="19" bestFit="1" customWidth="1"/>
    <col min="18" max="18" width="19.6640625" bestFit="1" customWidth="1"/>
    <col min="19" max="19" width="3.5" bestFit="1" customWidth="1"/>
    <col min="20" max="20" width="3.83203125" bestFit="1" customWidth="1"/>
    <col min="21" max="23" width="3.5" bestFit="1" customWidth="1"/>
    <col min="24" max="24" width="4" bestFit="1" customWidth="1"/>
    <col min="25" max="25" width="22.5" bestFit="1" customWidth="1"/>
    <col min="26" max="26" width="10.5" bestFit="1" customWidth="1"/>
  </cols>
  <sheetData>
    <row r="3" spans="1:9" x14ac:dyDescent="0.2">
      <c r="B3" s="4" t="s">
        <v>1186</v>
      </c>
    </row>
    <row r="4" spans="1:9" x14ac:dyDescent="0.2">
      <c r="B4" t="s">
        <v>1192</v>
      </c>
      <c r="D4" t="s">
        <v>1193</v>
      </c>
      <c r="F4" t="s">
        <v>1194</v>
      </c>
      <c r="H4" t="s">
        <v>1195</v>
      </c>
      <c r="I4" t="s">
        <v>1197</v>
      </c>
    </row>
    <row r="5" spans="1:9" x14ac:dyDescent="0.2">
      <c r="A5" s="4" t="s">
        <v>1184</v>
      </c>
      <c r="B5" t="s">
        <v>1196</v>
      </c>
      <c r="C5" t="s">
        <v>1198</v>
      </c>
      <c r="D5" t="s">
        <v>1196</v>
      </c>
      <c r="E5" t="s">
        <v>1198</v>
      </c>
      <c r="F5" t="s">
        <v>1196</v>
      </c>
      <c r="G5" t="s">
        <v>1198</v>
      </c>
    </row>
    <row r="6" spans="1:9" x14ac:dyDescent="0.2">
      <c r="A6" s="5" t="s">
        <v>1189</v>
      </c>
      <c r="B6" s="6">
        <v>51593500</v>
      </c>
      <c r="C6" s="6">
        <v>1023288.05</v>
      </c>
      <c r="D6" s="6">
        <v>82800</v>
      </c>
      <c r="E6" s="6">
        <v>17656.440000000002</v>
      </c>
      <c r="F6" s="6">
        <v>525350</v>
      </c>
      <c r="G6" s="6">
        <v>59464.36</v>
      </c>
      <c r="H6" s="6">
        <v>52201650</v>
      </c>
      <c r="I6" s="6">
        <v>1100408.8500000001</v>
      </c>
    </row>
    <row r="7" spans="1:9" x14ac:dyDescent="0.2">
      <c r="A7" s="7" t="s">
        <v>121</v>
      </c>
      <c r="B7" s="6">
        <v>5234120</v>
      </c>
      <c r="C7" s="6">
        <v>104923.27000000002</v>
      </c>
      <c r="D7" s="6">
        <v>13820</v>
      </c>
      <c r="E7" s="6">
        <v>2897.6400000000003</v>
      </c>
      <c r="F7" s="6">
        <v>117260</v>
      </c>
      <c r="G7" s="6">
        <v>12697.91</v>
      </c>
      <c r="H7" s="6">
        <v>5365200</v>
      </c>
      <c r="I7" s="6">
        <v>120518.82000000002</v>
      </c>
    </row>
    <row r="8" spans="1:9" x14ac:dyDescent="0.2">
      <c r="A8" s="7" t="s">
        <v>77</v>
      </c>
      <c r="B8" s="6">
        <v>14576540</v>
      </c>
      <c r="C8" s="6">
        <v>288332.56000000011</v>
      </c>
      <c r="D8" s="6">
        <v>6560</v>
      </c>
      <c r="E8" s="6">
        <v>1474.66</v>
      </c>
      <c r="F8" s="6">
        <v>73030</v>
      </c>
      <c r="G8" s="6">
        <v>8451.7800000000007</v>
      </c>
      <c r="H8" s="6">
        <v>14656130</v>
      </c>
      <c r="I8" s="6">
        <v>298259.00000000012</v>
      </c>
    </row>
    <row r="9" spans="1:9" x14ac:dyDescent="0.2">
      <c r="A9" s="7" t="s">
        <v>39</v>
      </c>
      <c r="B9" s="6">
        <v>1118500</v>
      </c>
      <c r="C9" s="6">
        <v>23550.690000000002</v>
      </c>
      <c r="D9" s="6"/>
      <c r="E9" s="6"/>
      <c r="F9" s="6">
        <v>21120</v>
      </c>
      <c r="G9" s="6">
        <v>3038.4900000000002</v>
      </c>
      <c r="H9" s="6">
        <v>1139620</v>
      </c>
      <c r="I9" s="6">
        <v>26589.180000000004</v>
      </c>
    </row>
    <row r="10" spans="1:9" x14ac:dyDescent="0.2">
      <c r="A10" s="7" t="s">
        <v>175</v>
      </c>
      <c r="B10" s="6">
        <v>1452330</v>
      </c>
      <c r="C10" s="6">
        <v>30130.339999999997</v>
      </c>
      <c r="D10" s="6"/>
      <c r="E10" s="6"/>
      <c r="F10" s="6">
        <v>16170</v>
      </c>
      <c r="G10" s="6">
        <v>2257.87</v>
      </c>
      <c r="H10" s="6">
        <v>1468500</v>
      </c>
      <c r="I10" s="6">
        <v>32388.209999999995</v>
      </c>
    </row>
    <row r="11" spans="1:9" x14ac:dyDescent="0.2">
      <c r="A11" s="7" t="s">
        <v>50</v>
      </c>
      <c r="B11" s="6">
        <v>13285240</v>
      </c>
      <c r="C11" s="6">
        <v>257617.93000000005</v>
      </c>
      <c r="D11" s="6">
        <v>34530</v>
      </c>
      <c r="E11" s="6">
        <v>7336.52</v>
      </c>
      <c r="F11" s="6">
        <v>103530</v>
      </c>
      <c r="G11" s="6">
        <v>12163.25</v>
      </c>
      <c r="H11" s="6">
        <v>13423300</v>
      </c>
      <c r="I11" s="6">
        <v>277117.70000000007</v>
      </c>
    </row>
    <row r="12" spans="1:9" x14ac:dyDescent="0.2">
      <c r="A12" s="7" t="s">
        <v>64</v>
      </c>
      <c r="B12" s="6">
        <v>5344000</v>
      </c>
      <c r="C12" s="6">
        <v>108890.23999999996</v>
      </c>
      <c r="D12" s="6">
        <v>13690</v>
      </c>
      <c r="E12" s="6">
        <v>3044.9700000000003</v>
      </c>
      <c r="F12" s="6">
        <v>75870</v>
      </c>
      <c r="G12" s="6">
        <v>9416.1400000000012</v>
      </c>
      <c r="H12" s="6">
        <v>5433560</v>
      </c>
      <c r="I12" s="6">
        <v>121351.34999999996</v>
      </c>
    </row>
    <row r="13" spans="1:9" x14ac:dyDescent="0.2">
      <c r="A13" s="7" t="s">
        <v>113</v>
      </c>
      <c r="B13" s="6">
        <v>10582770</v>
      </c>
      <c r="C13" s="6">
        <v>209843.0199999999</v>
      </c>
      <c r="D13" s="6">
        <v>14200</v>
      </c>
      <c r="E13" s="6">
        <v>2902.6499999999996</v>
      </c>
      <c r="F13" s="6">
        <v>118370</v>
      </c>
      <c r="G13" s="6">
        <v>11438.92</v>
      </c>
      <c r="H13" s="6">
        <v>10715340</v>
      </c>
      <c r="I13" s="6">
        <v>224184.58999999991</v>
      </c>
    </row>
    <row r="14" spans="1:9" x14ac:dyDescent="0.2">
      <c r="A14" s="5" t="s">
        <v>1190</v>
      </c>
      <c r="B14" s="6"/>
      <c r="C14" s="6"/>
      <c r="D14" s="6">
        <v>100</v>
      </c>
      <c r="E14" s="6">
        <v>1482.53</v>
      </c>
      <c r="F14" s="6"/>
      <c r="G14" s="6"/>
      <c r="H14" s="6">
        <v>100</v>
      </c>
      <c r="I14" s="6">
        <v>1482.53</v>
      </c>
    </row>
    <row r="15" spans="1:9" x14ac:dyDescent="0.2">
      <c r="A15" s="7" t="s">
        <v>113</v>
      </c>
      <c r="B15" s="6"/>
      <c r="C15" s="6"/>
      <c r="D15" s="6">
        <v>100</v>
      </c>
      <c r="E15" s="6">
        <v>1482.53</v>
      </c>
      <c r="F15" s="6"/>
      <c r="G15" s="6"/>
      <c r="H15" s="6">
        <v>100</v>
      </c>
      <c r="I15" s="6">
        <v>1482.53</v>
      </c>
    </row>
    <row r="16" spans="1:9" x14ac:dyDescent="0.2">
      <c r="A16" s="5" t="s">
        <v>1191</v>
      </c>
      <c r="B16" s="6"/>
      <c r="C16" s="6"/>
      <c r="D16" s="6">
        <v>476470</v>
      </c>
      <c r="E16" s="6">
        <v>139617.75</v>
      </c>
      <c r="F16" s="6">
        <v>83720</v>
      </c>
      <c r="G16" s="6">
        <v>14897.019999999999</v>
      </c>
      <c r="H16" s="6">
        <v>560190</v>
      </c>
      <c r="I16" s="6">
        <v>154514.77000000002</v>
      </c>
    </row>
    <row r="17" spans="1:9" x14ac:dyDescent="0.2">
      <c r="A17" s="7" t="s">
        <v>121</v>
      </c>
      <c r="B17" s="6"/>
      <c r="C17" s="6"/>
      <c r="D17" s="6">
        <v>50430</v>
      </c>
      <c r="E17" s="6">
        <v>14762.92</v>
      </c>
      <c r="F17" s="6">
        <v>5600</v>
      </c>
      <c r="G17" s="6">
        <v>969.5</v>
      </c>
      <c r="H17" s="6">
        <v>56030</v>
      </c>
      <c r="I17" s="6">
        <v>15732.42</v>
      </c>
    </row>
    <row r="18" spans="1:9" x14ac:dyDescent="0.2">
      <c r="A18" s="7" t="s">
        <v>77</v>
      </c>
      <c r="B18" s="6"/>
      <c r="C18" s="6"/>
      <c r="D18" s="6">
        <v>100020</v>
      </c>
      <c r="E18" s="6">
        <v>27107.82</v>
      </c>
      <c r="F18" s="6">
        <v>17620</v>
      </c>
      <c r="G18" s="6">
        <v>3206.96</v>
      </c>
      <c r="H18" s="6">
        <v>117640</v>
      </c>
      <c r="I18" s="6">
        <v>30314.78</v>
      </c>
    </row>
    <row r="19" spans="1:9" x14ac:dyDescent="0.2">
      <c r="A19" s="7" t="s">
        <v>39</v>
      </c>
      <c r="B19" s="6"/>
      <c r="C19" s="6"/>
      <c r="D19" s="6">
        <v>5100</v>
      </c>
      <c r="E19" s="6">
        <v>1252.48</v>
      </c>
      <c r="F19" s="6"/>
      <c r="G19" s="6"/>
      <c r="H19" s="6">
        <v>5100</v>
      </c>
      <c r="I19" s="6">
        <v>1252.48</v>
      </c>
    </row>
    <row r="20" spans="1:9" x14ac:dyDescent="0.2">
      <c r="A20" s="7" t="s">
        <v>175</v>
      </c>
      <c r="B20" s="6"/>
      <c r="C20" s="6"/>
      <c r="D20" s="6">
        <v>13650</v>
      </c>
      <c r="E20" s="6">
        <v>3748.99</v>
      </c>
      <c r="F20" s="6">
        <v>5000</v>
      </c>
      <c r="G20" s="6">
        <v>995.7</v>
      </c>
      <c r="H20" s="6">
        <v>18650</v>
      </c>
      <c r="I20" s="6">
        <v>4744.6899999999996</v>
      </c>
    </row>
    <row r="21" spans="1:9" x14ac:dyDescent="0.2">
      <c r="A21" s="7" t="s">
        <v>50</v>
      </c>
      <c r="B21" s="6"/>
      <c r="C21" s="6"/>
      <c r="D21" s="6">
        <v>81880</v>
      </c>
      <c r="E21" s="6">
        <v>24706.790000000005</v>
      </c>
      <c r="F21" s="6">
        <v>32970</v>
      </c>
      <c r="G21" s="6">
        <v>5833.4199999999992</v>
      </c>
      <c r="H21" s="6">
        <v>114850</v>
      </c>
      <c r="I21" s="6">
        <v>30540.210000000003</v>
      </c>
    </row>
    <row r="22" spans="1:9" x14ac:dyDescent="0.2">
      <c r="A22" s="7" t="s">
        <v>64</v>
      </c>
      <c r="B22" s="6"/>
      <c r="C22" s="6"/>
      <c r="D22" s="6">
        <v>54590</v>
      </c>
      <c r="E22" s="6">
        <v>18977.079999999998</v>
      </c>
      <c r="F22" s="6">
        <v>11620</v>
      </c>
      <c r="G22" s="6">
        <v>1963.3400000000001</v>
      </c>
      <c r="H22" s="6">
        <v>66210</v>
      </c>
      <c r="I22" s="6">
        <v>20940.419999999998</v>
      </c>
    </row>
    <row r="23" spans="1:9" x14ac:dyDescent="0.2">
      <c r="A23" s="7" t="s">
        <v>113</v>
      </c>
      <c r="B23" s="6"/>
      <c r="C23" s="6"/>
      <c r="D23" s="6">
        <v>170800</v>
      </c>
      <c r="E23" s="6">
        <v>49061.670000000006</v>
      </c>
      <c r="F23" s="6">
        <v>10910</v>
      </c>
      <c r="G23" s="6">
        <v>1928.1000000000001</v>
      </c>
      <c r="H23" s="6">
        <v>181710</v>
      </c>
      <c r="I23" s="6">
        <v>50989.770000000004</v>
      </c>
    </row>
    <row r="24" spans="1:9" x14ac:dyDescent="0.2">
      <c r="A24" s="5" t="s">
        <v>1185</v>
      </c>
      <c r="B24" s="6">
        <v>51593500</v>
      </c>
      <c r="C24" s="6">
        <v>1023288.05</v>
      </c>
      <c r="D24" s="6">
        <v>559370</v>
      </c>
      <c r="E24" s="6">
        <v>158756.72000000003</v>
      </c>
      <c r="F24" s="6">
        <v>609070</v>
      </c>
      <c r="G24" s="6">
        <v>74361.38</v>
      </c>
      <c r="H24" s="6">
        <v>52761940</v>
      </c>
      <c r="I24" s="6">
        <v>1256406.1499999999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AAA0-8CB8-6A48-98C0-ECFC22D235F5}">
  <dimension ref="A1:AT1001"/>
  <sheetViews>
    <sheetView tabSelected="1" topLeftCell="S1" workbookViewId="0">
      <selection activeCell="AU2" sqref="AU2"/>
    </sheetView>
  </sheetViews>
  <sheetFormatPr baseColWidth="10" defaultRowHeight="16" x14ac:dyDescent="0.2"/>
  <cols>
    <col min="40" max="40" width="11.6640625" bestFit="1" customWidth="1"/>
    <col min="43" max="43" width="10.6640625" bestFit="1" customWidth="1"/>
  </cols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1179</v>
      </c>
      <c r="AO1" s="3" t="s">
        <v>1180</v>
      </c>
      <c r="AP1" s="3" t="s">
        <v>1181</v>
      </c>
      <c r="AQ1" s="3" t="s">
        <v>1182</v>
      </c>
      <c r="AR1" s="3" t="s">
        <v>1183</v>
      </c>
      <c r="AS1" s="3" t="s">
        <v>1187</v>
      </c>
      <c r="AT1" s="3" t="s">
        <v>1188</v>
      </c>
    </row>
    <row r="2" spans="1:46" x14ac:dyDescent="0.2">
      <c r="A2">
        <v>328</v>
      </c>
      <c r="B2">
        <v>48</v>
      </c>
      <c r="C2">
        <v>521585</v>
      </c>
      <c r="D2" s="1">
        <v>41929</v>
      </c>
      <c r="E2" t="s">
        <v>39</v>
      </c>
      <c r="F2" t="s">
        <v>40</v>
      </c>
      <c r="G2">
        <v>1000</v>
      </c>
      <c r="H2">
        <v>1406.91</v>
      </c>
      <c r="I2">
        <v>0</v>
      </c>
      <c r="J2">
        <v>466132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53300</v>
      </c>
      <c r="Q2">
        <v>0</v>
      </c>
      <c r="R2" s="1">
        <v>42029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>
        <v>5</v>
      </c>
      <c r="AA2">
        <v>1</v>
      </c>
      <c r="AB2" t="s">
        <v>53</v>
      </c>
      <c r="AC2">
        <v>1</v>
      </c>
      <c r="AD2">
        <v>2</v>
      </c>
      <c r="AE2" t="s">
        <v>53</v>
      </c>
      <c r="AF2">
        <v>71610</v>
      </c>
      <c r="AG2">
        <v>6510</v>
      </c>
      <c r="AH2">
        <v>13020</v>
      </c>
      <c r="AI2">
        <v>52080</v>
      </c>
      <c r="AJ2" t="s">
        <v>54</v>
      </c>
      <c r="AK2" t="s">
        <v>55</v>
      </c>
      <c r="AL2">
        <v>2004</v>
      </c>
      <c r="AM2" t="s">
        <v>56</v>
      </c>
      <c r="AN2" s="2">
        <f>AF2/(H2+1)</f>
        <v>50.862626162183659</v>
      </c>
      <c r="AO2">
        <f>H2-AF2</f>
        <v>-70203.09</v>
      </c>
      <c r="AP2" s="2">
        <f>H2/(AF2+1)</f>
        <v>1.9646562678918046E-2</v>
      </c>
      <c r="AQ2" s="2">
        <f>YEAR(R2)-(AL2)</f>
        <v>11</v>
      </c>
      <c r="AR2">
        <f>A2</f>
        <v>328</v>
      </c>
      <c r="AS2" t="str">
        <f>IF(AN2&lt;5,"Low Claim Ratio",
 IF(AN2&lt;20,"Medium Claim Ratio",
 "High Claim Ratio"))</f>
        <v>High Claim Ratio</v>
      </c>
      <c r="AT2" t="str">
        <f>IF(-AO2&lt;0,"Loss Making",
 IF(-AO2&lt;5000,"Low Profit",
 "High Profit"))</f>
        <v>High Profit</v>
      </c>
    </row>
    <row r="3" spans="1:46" x14ac:dyDescent="0.2">
      <c r="A3">
        <v>228</v>
      </c>
      <c r="B3">
        <v>42</v>
      </c>
      <c r="C3">
        <v>342868</v>
      </c>
      <c r="D3" s="1">
        <v>38895</v>
      </c>
      <c r="E3" t="s">
        <v>57</v>
      </c>
      <c r="F3" t="s">
        <v>40</v>
      </c>
      <c r="G3">
        <v>2000</v>
      </c>
      <c r="H3">
        <v>1197.22</v>
      </c>
      <c r="I3">
        <v>5000000</v>
      </c>
      <c r="J3">
        <v>468176</v>
      </c>
      <c r="K3" t="s">
        <v>41</v>
      </c>
      <c r="L3" t="s">
        <v>42</v>
      </c>
      <c r="M3" t="s">
        <v>58</v>
      </c>
      <c r="N3" t="s">
        <v>59</v>
      </c>
      <c r="O3" t="s">
        <v>60</v>
      </c>
      <c r="P3">
        <v>0</v>
      </c>
      <c r="Q3">
        <v>0</v>
      </c>
      <c r="R3" s="1">
        <v>42025</v>
      </c>
      <c r="S3" t="s">
        <v>61</v>
      </c>
      <c r="T3" t="s">
        <v>62</v>
      </c>
      <c r="U3" t="s">
        <v>63</v>
      </c>
      <c r="V3" t="s">
        <v>49</v>
      </c>
      <c r="W3" t="s">
        <v>64</v>
      </c>
      <c r="X3" t="s">
        <v>65</v>
      </c>
      <c r="Y3" t="s">
        <v>66</v>
      </c>
      <c r="Z3">
        <v>8</v>
      </c>
      <c r="AA3">
        <v>1</v>
      </c>
      <c r="AB3" t="s">
        <v>62</v>
      </c>
      <c r="AC3">
        <v>0</v>
      </c>
      <c r="AD3">
        <v>0</v>
      </c>
      <c r="AE3" t="s">
        <v>62</v>
      </c>
      <c r="AF3">
        <v>5070</v>
      </c>
      <c r="AG3">
        <v>780</v>
      </c>
      <c r="AH3">
        <v>780</v>
      </c>
      <c r="AI3">
        <v>3510</v>
      </c>
      <c r="AJ3" t="s">
        <v>67</v>
      </c>
      <c r="AK3" t="s">
        <v>68</v>
      </c>
      <c r="AL3">
        <v>2007</v>
      </c>
      <c r="AM3" t="s">
        <v>56</v>
      </c>
      <c r="AN3" s="2">
        <f t="shared" ref="AN3:AN66" si="0">AF3/(H3+1)</f>
        <v>4.2312763933167528</v>
      </c>
      <c r="AO3">
        <f t="shared" ref="AO3:AO66" si="1">H3-AF3</f>
        <v>-3872.7799999999997</v>
      </c>
      <c r="AP3" s="2">
        <f t="shared" ref="AP3:AP66" si="2">H3/(AF3+1)</f>
        <v>0.23609150069019919</v>
      </c>
      <c r="AQ3" s="2">
        <f>YEAR(R3)-(AL3)</f>
        <v>8</v>
      </c>
      <c r="AR3">
        <f t="shared" ref="AR3:AR66" si="3">A3</f>
        <v>228</v>
      </c>
      <c r="AS3" t="str">
        <f t="shared" ref="AS3:AS66" si="4">IF(AN3&lt;5,"Low Claim Ratio",
 IF(AN3&lt;20,"Medium Claim Ratio",
 "High Claim Ratio"))</f>
        <v>Low Claim Ratio</v>
      </c>
      <c r="AT3" t="str">
        <f t="shared" ref="AT3:AT66" si="5">IF(-AO3&lt;0,"Loss Making",
 IF(-AO3&lt;5000,"Low Profit",
 "High Profit"))</f>
        <v>Low Profit</v>
      </c>
    </row>
    <row r="4" spans="1:46" x14ac:dyDescent="0.2">
      <c r="A4">
        <v>134</v>
      </c>
      <c r="B4">
        <v>29</v>
      </c>
      <c r="C4">
        <v>687698</v>
      </c>
      <c r="D4" s="1">
        <v>36775</v>
      </c>
      <c r="E4" t="s">
        <v>39</v>
      </c>
      <c r="F4" t="s">
        <v>69</v>
      </c>
      <c r="G4">
        <v>2000</v>
      </c>
      <c r="H4">
        <v>1413.14</v>
      </c>
      <c r="I4">
        <v>5000000</v>
      </c>
      <c r="J4">
        <v>430632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>
        <v>35100</v>
      </c>
      <c r="Q4">
        <v>0</v>
      </c>
      <c r="R4" s="1">
        <v>42057</v>
      </c>
      <c r="S4" t="s">
        <v>75</v>
      </c>
      <c r="T4" t="s">
        <v>76</v>
      </c>
      <c r="U4" t="s">
        <v>63</v>
      </c>
      <c r="V4" t="s">
        <v>49</v>
      </c>
      <c r="W4" t="s">
        <v>77</v>
      </c>
      <c r="X4" t="s">
        <v>51</v>
      </c>
      <c r="Y4" t="s">
        <v>78</v>
      </c>
      <c r="Z4">
        <v>7</v>
      </c>
      <c r="AA4">
        <v>3</v>
      </c>
      <c r="AB4" t="s">
        <v>79</v>
      </c>
      <c r="AC4">
        <v>2</v>
      </c>
      <c r="AD4">
        <v>3</v>
      </c>
      <c r="AE4" t="s">
        <v>79</v>
      </c>
      <c r="AF4">
        <v>34650</v>
      </c>
      <c r="AG4">
        <v>7700</v>
      </c>
      <c r="AH4">
        <v>3850</v>
      </c>
      <c r="AI4">
        <v>23100</v>
      </c>
      <c r="AJ4" t="s">
        <v>80</v>
      </c>
      <c r="AK4" t="s">
        <v>81</v>
      </c>
      <c r="AL4">
        <v>2007</v>
      </c>
      <c r="AM4" t="s">
        <v>82</v>
      </c>
      <c r="AN4" s="2">
        <f t="shared" si="0"/>
        <v>24.502524502524501</v>
      </c>
      <c r="AO4">
        <f t="shared" si="1"/>
        <v>-33236.86</v>
      </c>
      <c r="AP4" s="2">
        <f t="shared" si="2"/>
        <v>4.0782084211133877E-2</v>
      </c>
      <c r="AQ4" s="2">
        <f t="shared" ref="AQ4:AQ67" si="6">YEAR(R4)-(AL4)</f>
        <v>8</v>
      </c>
      <c r="AR4">
        <f t="shared" si="3"/>
        <v>134</v>
      </c>
      <c r="AS4" t="str">
        <f t="shared" si="4"/>
        <v>High Claim Ratio</v>
      </c>
      <c r="AT4" t="str">
        <f t="shared" si="5"/>
        <v>High Profit</v>
      </c>
    </row>
    <row r="5" spans="1:46" x14ac:dyDescent="0.2">
      <c r="A5">
        <v>256</v>
      </c>
      <c r="B5">
        <v>41</v>
      </c>
      <c r="C5">
        <v>227811</v>
      </c>
      <c r="D5" s="1">
        <v>33018</v>
      </c>
      <c r="E5" t="s">
        <v>83</v>
      </c>
      <c r="F5" t="s">
        <v>40</v>
      </c>
      <c r="G5">
        <v>2000</v>
      </c>
      <c r="H5">
        <v>1415.74</v>
      </c>
      <c r="I5">
        <v>6000000</v>
      </c>
      <c r="J5">
        <v>608117</v>
      </c>
      <c r="K5" t="s">
        <v>70</v>
      </c>
      <c r="L5" t="s">
        <v>71</v>
      </c>
      <c r="M5" t="s">
        <v>84</v>
      </c>
      <c r="N5" t="s">
        <v>73</v>
      </c>
      <c r="O5" t="s">
        <v>85</v>
      </c>
      <c r="P5">
        <v>48900</v>
      </c>
      <c r="Q5">
        <v>-62400</v>
      </c>
      <c r="R5" s="1">
        <v>42014</v>
      </c>
      <c r="S5" t="s">
        <v>46</v>
      </c>
      <c r="T5" t="s">
        <v>86</v>
      </c>
      <c r="U5" t="s">
        <v>48</v>
      </c>
      <c r="V5" t="s">
        <v>49</v>
      </c>
      <c r="W5" t="s">
        <v>39</v>
      </c>
      <c r="X5" t="s">
        <v>87</v>
      </c>
      <c r="Y5" t="s">
        <v>88</v>
      </c>
      <c r="Z5">
        <v>5</v>
      </c>
      <c r="AA5">
        <v>1</v>
      </c>
      <c r="AB5" t="s">
        <v>62</v>
      </c>
      <c r="AC5">
        <v>1</v>
      </c>
      <c r="AD5">
        <v>2</v>
      </c>
      <c r="AE5" t="s">
        <v>79</v>
      </c>
      <c r="AF5">
        <v>63400</v>
      </c>
      <c r="AG5">
        <v>6340</v>
      </c>
      <c r="AH5">
        <v>6340</v>
      </c>
      <c r="AI5">
        <v>50720</v>
      </c>
      <c r="AJ5" t="s">
        <v>89</v>
      </c>
      <c r="AK5" t="s">
        <v>90</v>
      </c>
      <c r="AL5">
        <v>2014</v>
      </c>
      <c r="AM5" t="s">
        <v>56</v>
      </c>
      <c r="AN5" s="2">
        <f t="shared" si="0"/>
        <v>44.750624673546312</v>
      </c>
      <c r="AO5">
        <f t="shared" si="1"/>
        <v>-61984.26</v>
      </c>
      <c r="AP5" s="2">
        <f t="shared" si="2"/>
        <v>2.2329931704547248E-2</v>
      </c>
      <c r="AQ5" s="2">
        <f t="shared" si="6"/>
        <v>1</v>
      </c>
      <c r="AR5">
        <f t="shared" si="3"/>
        <v>256</v>
      </c>
      <c r="AS5" t="str">
        <f t="shared" si="4"/>
        <v>High Claim Ratio</v>
      </c>
      <c r="AT5" t="str">
        <f t="shared" si="5"/>
        <v>High Profit</v>
      </c>
    </row>
    <row r="6" spans="1:46" x14ac:dyDescent="0.2">
      <c r="A6">
        <v>228</v>
      </c>
      <c r="B6">
        <v>44</v>
      </c>
      <c r="C6">
        <v>367455</v>
      </c>
      <c r="D6" s="1">
        <v>41796</v>
      </c>
      <c r="E6" t="s">
        <v>83</v>
      </c>
      <c r="F6" t="s">
        <v>91</v>
      </c>
      <c r="G6">
        <v>1000</v>
      </c>
      <c r="H6">
        <v>1583.91</v>
      </c>
      <c r="I6">
        <v>6000000</v>
      </c>
      <c r="J6">
        <v>610706</v>
      </c>
      <c r="K6" t="s">
        <v>41</v>
      </c>
      <c r="L6" t="s">
        <v>92</v>
      </c>
      <c r="M6" t="s">
        <v>72</v>
      </c>
      <c r="N6" t="s">
        <v>73</v>
      </c>
      <c r="O6" t="s">
        <v>85</v>
      </c>
      <c r="P6">
        <v>66000</v>
      </c>
      <c r="Q6">
        <v>-46000</v>
      </c>
      <c r="R6" s="1">
        <v>42052</v>
      </c>
      <c r="S6" t="s">
        <v>61</v>
      </c>
      <c r="T6" t="s">
        <v>62</v>
      </c>
      <c r="U6" t="s">
        <v>63</v>
      </c>
      <c r="V6" t="s">
        <v>93</v>
      </c>
      <c r="W6" t="s">
        <v>77</v>
      </c>
      <c r="X6" t="s">
        <v>87</v>
      </c>
      <c r="Y6" t="s">
        <v>94</v>
      </c>
      <c r="Z6">
        <v>20</v>
      </c>
      <c r="AA6">
        <v>1</v>
      </c>
      <c r="AB6" t="s">
        <v>79</v>
      </c>
      <c r="AC6">
        <v>0</v>
      </c>
      <c r="AD6">
        <v>1</v>
      </c>
      <c r="AE6" t="s">
        <v>79</v>
      </c>
      <c r="AF6">
        <v>6500</v>
      </c>
      <c r="AG6">
        <v>1300</v>
      </c>
      <c r="AH6">
        <v>650</v>
      </c>
      <c r="AI6">
        <v>4550</v>
      </c>
      <c r="AJ6" t="s">
        <v>95</v>
      </c>
      <c r="AK6" t="s">
        <v>96</v>
      </c>
      <c r="AL6">
        <v>2009</v>
      </c>
      <c r="AM6" t="s">
        <v>82</v>
      </c>
      <c r="AN6" s="2">
        <f t="shared" si="0"/>
        <v>4.1011792467711095</v>
      </c>
      <c r="AO6">
        <f t="shared" si="1"/>
        <v>-4916.09</v>
      </c>
      <c r="AP6" s="2">
        <f t="shared" si="2"/>
        <v>0.24364097831102907</v>
      </c>
      <c r="AQ6" s="2">
        <f t="shared" si="6"/>
        <v>6</v>
      </c>
      <c r="AR6">
        <f t="shared" si="3"/>
        <v>228</v>
      </c>
      <c r="AS6" t="str">
        <f t="shared" si="4"/>
        <v>Low Claim Ratio</v>
      </c>
      <c r="AT6" t="str">
        <f t="shared" si="5"/>
        <v>Low Profit</v>
      </c>
    </row>
    <row r="7" spans="1:46" x14ac:dyDescent="0.2">
      <c r="A7">
        <v>256</v>
      </c>
      <c r="B7">
        <v>39</v>
      </c>
      <c r="C7">
        <v>104594</v>
      </c>
      <c r="D7" s="1">
        <v>39002</v>
      </c>
      <c r="E7" t="s">
        <v>39</v>
      </c>
      <c r="F7" t="s">
        <v>40</v>
      </c>
      <c r="G7">
        <v>1000</v>
      </c>
      <c r="H7">
        <v>1351.1</v>
      </c>
      <c r="I7">
        <v>0</v>
      </c>
      <c r="J7">
        <v>478456</v>
      </c>
      <c r="K7" t="s">
        <v>70</v>
      </c>
      <c r="L7" t="s">
        <v>71</v>
      </c>
      <c r="M7" t="s">
        <v>97</v>
      </c>
      <c r="N7" t="s">
        <v>98</v>
      </c>
      <c r="O7" t="s">
        <v>85</v>
      </c>
      <c r="P7">
        <v>0</v>
      </c>
      <c r="Q7">
        <v>0</v>
      </c>
      <c r="R7" s="1">
        <v>42006</v>
      </c>
      <c r="S7" t="s">
        <v>75</v>
      </c>
      <c r="T7" t="s">
        <v>76</v>
      </c>
      <c r="U7" t="s">
        <v>48</v>
      </c>
      <c r="V7" t="s">
        <v>99</v>
      </c>
      <c r="W7" t="s">
        <v>50</v>
      </c>
      <c r="X7" t="s">
        <v>87</v>
      </c>
      <c r="Y7" t="s">
        <v>100</v>
      </c>
      <c r="Z7">
        <v>19</v>
      </c>
      <c r="AA7">
        <v>3</v>
      </c>
      <c r="AB7" t="s">
        <v>79</v>
      </c>
      <c r="AC7">
        <v>0</v>
      </c>
      <c r="AD7">
        <v>2</v>
      </c>
      <c r="AE7" t="s">
        <v>79</v>
      </c>
      <c r="AF7">
        <v>64100</v>
      </c>
      <c r="AG7">
        <v>6410</v>
      </c>
      <c r="AH7">
        <v>6410</v>
      </c>
      <c r="AI7">
        <v>51280</v>
      </c>
      <c r="AJ7" t="s">
        <v>54</v>
      </c>
      <c r="AK7">
        <v>95</v>
      </c>
      <c r="AL7">
        <v>2003</v>
      </c>
      <c r="AM7" t="s">
        <v>56</v>
      </c>
      <c r="AN7" s="2">
        <f t="shared" si="0"/>
        <v>47.407736114192737</v>
      </c>
      <c r="AO7">
        <f t="shared" si="1"/>
        <v>-62748.9</v>
      </c>
      <c r="AP7" s="2">
        <f t="shared" si="2"/>
        <v>2.1077674295252802E-2</v>
      </c>
      <c r="AQ7" s="2">
        <f t="shared" si="6"/>
        <v>12</v>
      </c>
      <c r="AR7">
        <f t="shared" si="3"/>
        <v>256</v>
      </c>
      <c r="AS7" t="str">
        <f t="shared" si="4"/>
        <v>High Claim Ratio</v>
      </c>
      <c r="AT7" t="str">
        <f t="shared" si="5"/>
        <v>High Profit</v>
      </c>
    </row>
    <row r="8" spans="1:46" x14ac:dyDescent="0.2">
      <c r="A8">
        <v>137</v>
      </c>
      <c r="B8">
        <v>34</v>
      </c>
      <c r="C8">
        <v>413978</v>
      </c>
      <c r="D8" s="1">
        <v>36681</v>
      </c>
      <c r="E8" t="s">
        <v>57</v>
      </c>
      <c r="F8" t="s">
        <v>40</v>
      </c>
      <c r="G8">
        <v>1000</v>
      </c>
      <c r="H8">
        <v>1333.35</v>
      </c>
      <c r="I8">
        <v>0</v>
      </c>
      <c r="J8">
        <v>441716</v>
      </c>
      <c r="K8" t="s">
        <v>41</v>
      </c>
      <c r="L8" t="s">
        <v>71</v>
      </c>
      <c r="M8" t="s">
        <v>101</v>
      </c>
      <c r="N8" t="s">
        <v>73</v>
      </c>
      <c r="O8" t="s">
        <v>45</v>
      </c>
      <c r="P8">
        <v>0</v>
      </c>
      <c r="Q8">
        <v>-77000</v>
      </c>
      <c r="R8" s="1">
        <v>42017</v>
      </c>
      <c r="S8" t="s">
        <v>75</v>
      </c>
      <c r="T8" t="s">
        <v>86</v>
      </c>
      <c r="U8" t="s">
        <v>63</v>
      </c>
      <c r="V8" t="s">
        <v>49</v>
      </c>
      <c r="W8" t="s">
        <v>77</v>
      </c>
      <c r="X8" t="s">
        <v>102</v>
      </c>
      <c r="Y8" t="s">
        <v>103</v>
      </c>
      <c r="Z8">
        <v>0</v>
      </c>
      <c r="AA8">
        <v>3</v>
      </c>
      <c r="AB8" t="s">
        <v>62</v>
      </c>
      <c r="AC8">
        <v>0</v>
      </c>
      <c r="AD8">
        <v>0</v>
      </c>
      <c r="AE8" t="s">
        <v>62</v>
      </c>
      <c r="AF8">
        <v>78650</v>
      </c>
      <c r="AG8">
        <v>21450</v>
      </c>
      <c r="AH8">
        <v>7150</v>
      </c>
      <c r="AI8">
        <v>50050</v>
      </c>
      <c r="AJ8" t="s">
        <v>104</v>
      </c>
      <c r="AK8" t="s">
        <v>105</v>
      </c>
      <c r="AL8">
        <v>2012</v>
      </c>
      <c r="AM8" t="s">
        <v>82</v>
      </c>
      <c r="AN8" s="2">
        <f t="shared" si="0"/>
        <v>58.942556300820627</v>
      </c>
      <c r="AO8">
        <f t="shared" si="1"/>
        <v>-77316.649999999994</v>
      </c>
      <c r="AP8" s="2">
        <f t="shared" si="2"/>
        <v>1.695274058816798E-2</v>
      </c>
      <c r="AQ8" s="2">
        <f t="shared" si="6"/>
        <v>3</v>
      </c>
      <c r="AR8">
        <f t="shared" si="3"/>
        <v>137</v>
      </c>
      <c r="AS8" t="str">
        <f t="shared" si="4"/>
        <v>High Claim Ratio</v>
      </c>
      <c r="AT8" t="str">
        <f t="shared" si="5"/>
        <v>High Profit</v>
      </c>
    </row>
    <row r="9" spans="1:46" x14ac:dyDescent="0.2">
      <c r="A9">
        <v>165</v>
      </c>
      <c r="B9">
        <v>37</v>
      </c>
      <c r="C9">
        <v>429027</v>
      </c>
      <c r="D9" s="1">
        <v>32907</v>
      </c>
      <c r="E9" t="s">
        <v>83</v>
      </c>
      <c r="F9" t="s">
        <v>69</v>
      </c>
      <c r="G9">
        <v>1000</v>
      </c>
      <c r="H9">
        <v>1137.03</v>
      </c>
      <c r="I9">
        <v>0</v>
      </c>
      <c r="J9">
        <v>603195</v>
      </c>
      <c r="K9" t="s">
        <v>41</v>
      </c>
      <c r="L9" t="s">
        <v>92</v>
      </c>
      <c r="M9" t="s">
        <v>97</v>
      </c>
      <c r="N9" t="s">
        <v>106</v>
      </c>
      <c r="O9" t="s">
        <v>85</v>
      </c>
      <c r="P9">
        <v>0</v>
      </c>
      <c r="Q9">
        <v>0</v>
      </c>
      <c r="R9" s="1">
        <v>42062</v>
      </c>
      <c r="S9" t="s">
        <v>75</v>
      </c>
      <c r="T9" t="s">
        <v>86</v>
      </c>
      <c r="U9" t="s">
        <v>107</v>
      </c>
      <c r="V9" t="s">
        <v>49</v>
      </c>
      <c r="W9" t="s">
        <v>64</v>
      </c>
      <c r="X9" t="s">
        <v>51</v>
      </c>
      <c r="Y9" t="s">
        <v>108</v>
      </c>
      <c r="Z9">
        <v>23</v>
      </c>
      <c r="AA9">
        <v>3</v>
      </c>
      <c r="AB9" t="s">
        <v>62</v>
      </c>
      <c r="AC9">
        <v>2</v>
      </c>
      <c r="AD9">
        <v>2</v>
      </c>
      <c r="AE9" t="s">
        <v>53</v>
      </c>
      <c r="AF9">
        <v>51590</v>
      </c>
      <c r="AG9">
        <v>9380</v>
      </c>
      <c r="AH9">
        <v>9380</v>
      </c>
      <c r="AI9">
        <v>32830</v>
      </c>
      <c r="AJ9" t="s">
        <v>109</v>
      </c>
      <c r="AK9" t="s">
        <v>110</v>
      </c>
      <c r="AL9">
        <v>2015</v>
      </c>
      <c r="AM9" t="s">
        <v>82</v>
      </c>
      <c r="AN9" s="2">
        <f t="shared" si="0"/>
        <v>45.332724093389452</v>
      </c>
      <c r="AO9">
        <f t="shared" si="1"/>
        <v>-50452.97</v>
      </c>
      <c r="AP9" s="2">
        <f t="shared" si="2"/>
        <v>2.2039309181834041E-2</v>
      </c>
      <c r="AQ9" s="2">
        <f t="shared" si="6"/>
        <v>0</v>
      </c>
      <c r="AR9">
        <f t="shared" si="3"/>
        <v>165</v>
      </c>
      <c r="AS9" t="str">
        <f t="shared" si="4"/>
        <v>High Claim Ratio</v>
      </c>
      <c r="AT9" t="str">
        <f t="shared" si="5"/>
        <v>High Profit</v>
      </c>
    </row>
    <row r="10" spans="1:46" x14ac:dyDescent="0.2">
      <c r="A10">
        <v>27</v>
      </c>
      <c r="B10">
        <v>33</v>
      </c>
      <c r="C10">
        <v>485665</v>
      </c>
      <c r="D10" s="1">
        <v>35466</v>
      </c>
      <c r="E10" t="s">
        <v>83</v>
      </c>
      <c r="F10" t="s">
        <v>69</v>
      </c>
      <c r="G10">
        <v>500</v>
      </c>
      <c r="H10">
        <v>1442.99</v>
      </c>
      <c r="I10">
        <v>0</v>
      </c>
      <c r="J10">
        <v>601734</v>
      </c>
      <c r="K10" t="s">
        <v>70</v>
      </c>
      <c r="L10" t="s">
        <v>71</v>
      </c>
      <c r="M10" t="s">
        <v>111</v>
      </c>
      <c r="N10" t="s">
        <v>112</v>
      </c>
      <c r="O10" t="s">
        <v>74</v>
      </c>
      <c r="P10">
        <v>0</v>
      </c>
      <c r="Q10">
        <v>0</v>
      </c>
      <c r="R10" s="1">
        <v>42034</v>
      </c>
      <c r="S10" t="s">
        <v>46</v>
      </c>
      <c r="T10" t="s">
        <v>86</v>
      </c>
      <c r="U10" t="s">
        <v>107</v>
      </c>
      <c r="V10" t="s">
        <v>49</v>
      </c>
      <c r="W10" t="s">
        <v>113</v>
      </c>
      <c r="X10" t="s">
        <v>87</v>
      </c>
      <c r="Y10" t="s">
        <v>114</v>
      </c>
      <c r="Z10">
        <v>21</v>
      </c>
      <c r="AA10">
        <v>1</v>
      </c>
      <c r="AB10" t="s">
        <v>79</v>
      </c>
      <c r="AC10">
        <v>1</v>
      </c>
      <c r="AD10">
        <v>1</v>
      </c>
      <c r="AE10" t="s">
        <v>53</v>
      </c>
      <c r="AF10">
        <v>27700</v>
      </c>
      <c r="AG10">
        <v>2770</v>
      </c>
      <c r="AH10">
        <v>2770</v>
      </c>
      <c r="AI10">
        <v>22160</v>
      </c>
      <c r="AJ10" t="s">
        <v>115</v>
      </c>
      <c r="AK10" t="s">
        <v>116</v>
      </c>
      <c r="AL10">
        <v>2012</v>
      </c>
      <c r="AM10" t="s">
        <v>82</v>
      </c>
      <c r="AN10" s="2">
        <f t="shared" si="0"/>
        <v>19.182958330736362</v>
      </c>
      <c r="AO10">
        <f t="shared" si="1"/>
        <v>-26257.01</v>
      </c>
      <c r="AP10" s="2">
        <f t="shared" si="2"/>
        <v>5.2091621241110428E-2</v>
      </c>
      <c r="AQ10" s="2">
        <f t="shared" si="6"/>
        <v>3</v>
      </c>
      <c r="AR10">
        <f t="shared" si="3"/>
        <v>27</v>
      </c>
      <c r="AS10" t="str">
        <f t="shared" si="4"/>
        <v>Medium Claim Ratio</v>
      </c>
      <c r="AT10" t="str">
        <f t="shared" si="5"/>
        <v>High Profit</v>
      </c>
    </row>
    <row r="11" spans="1:46" x14ac:dyDescent="0.2">
      <c r="A11">
        <v>212</v>
      </c>
      <c r="B11">
        <v>42</v>
      </c>
      <c r="C11">
        <v>636550</v>
      </c>
      <c r="D11" s="1">
        <v>40749</v>
      </c>
      <c r="E11" t="s">
        <v>83</v>
      </c>
      <c r="F11" t="s">
        <v>69</v>
      </c>
      <c r="G11">
        <v>500</v>
      </c>
      <c r="H11">
        <v>1315.68</v>
      </c>
      <c r="I11">
        <v>0</v>
      </c>
      <c r="J11">
        <v>600983</v>
      </c>
      <c r="K11" t="s">
        <v>41</v>
      </c>
      <c r="L11" t="s">
        <v>71</v>
      </c>
      <c r="M11" t="s">
        <v>117</v>
      </c>
      <c r="N11" t="s">
        <v>118</v>
      </c>
      <c r="O11" t="s">
        <v>119</v>
      </c>
      <c r="P11">
        <v>0</v>
      </c>
      <c r="Q11">
        <v>-39300</v>
      </c>
      <c r="R11" s="1">
        <v>42009</v>
      </c>
      <c r="S11" t="s">
        <v>46</v>
      </c>
      <c r="T11" t="s">
        <v>76</v>
      </c>
      <c r="U11" t="s">
        <v>107</v>
      </c>
      <c r="V11" t="s">
        <v>120</v>
      </c>
      <c r="W11" t="s">
        <v>121</v>
      </c>
      <c r="X11" t="s">
        <v>122</v>
      </c>
      <c r="Y11" t="s">
        <v>123</v>
      </c>
      <c r="Z11">
        <v>14</v>
      </c>
      <c r="AA11">
        <v>1</v>
      </c>
      <c r="AB11" t="s">
        <v>79</v>
      </c>
      <c r="AC11">
        <v>2</v>
      </c>
      <c r="AD11">
        <v>1</v>
      </c>
      <c r="AE11" t="s">
        <v>62</v>
      </c>
      <c r="AF11">
        <v>42300</v>
      </c>
      <c r="AG11">
        <v>4700</v>
      </c>
      <c r="AH11">
        <v>4700</v>
      </c>
      <c r="AI11">
        <v>32900</v>
      </c>
      <c r="AJ11" t="s">
        <v>54</v>
      </c>
      <c r="AK11" t="s">
        <v>55</v>
      </c>
      <c r="AL11">
        <v>1996</v>
      </c>
      <c r="AM11" t="s">
        <v>82</v>
      </c>
      <c r="AN11" s="2">
        <f t="shared" si="0"/>
        <v>32.126256949296717</v>
      </c>
      <c r="AO11">
        <f t="shared" si="1"/>
        <v>-40984.32</v>
      </c>
      <c r="AP11" s="2">
        <f t="shared" si="2"/>
        <v>3.1102810808255124E-2</v>
      </c>
      <c r="AQ11" s="2">
        <f t="shared" si="6"/>
        <v>19</v>
      </c>
      <c r="AR11">
        <f t="shared" si="3"/>
        <v>212</v>
      </c>
      <c r="AS11" t="str">
        <f t="shared" si="4"/>
        <v>High Claim Ratio</v>
      </c>
      <c r="AT11" t="str">
        <f t="shared" si="5"/>
        <v>High Profit</v>
      </c>
    </row>
    <row r="12" spans="1:46" x14ac:dyDescent="0.2">
      <c r="A12">
        <v>235</v>
      </c>
      <c r="B12">
        <v>42</v>
      </c>
      <c r="C12">
        <v>543610</v>
      </c>
      <c r="D12" s="1">
        <v>37402</v>
      </c>
      <c r="E12" t="s">
        <v>39</v>
      </c>
      <c r="F12" t="s">
        <v>69</v>
      </c>
      <c r="G12">
        <v>500</v>
      </c>
      <c r="H12">
        <v>1253.1199999999999</v>
      </c>
      <c r="I12">
        <v>4000000</v>
      </c>
      <c r="J12">
        <v>462283</v>
      </c>
      <c r="K12" t="s">
        <v>70</v>
      </c>
      <c r="L12" t="s">
        <v>124</v>
      </c>
      <c r="M12" t="s">
        <v>125</v>
      </c>
      <c r="N12" t="s">
        <v>126</v>
      </c>
      <c r="O12" t="s">
        <v>60</v>
      </c>
      <c r="P12">
        <v>38400</v>
      </c>
      <c r="Q12">
        <v>0</v>
      </c>
      <c r="R12" s="1">
        <v>42010</v>
      </c>
      <c r="S12" t="s">
        <v>46</v>
      </c>
      <c r="T12" t="s">
        <v>86</v>
      </c>
      <c r="U12" t="s">
        <v>107</v>
      </c>
      <c r="V12" t="s">
        <v>49</v>
      </c>
      <c r="W12" t="s">
        <v>77</v>
      </c>
      <c r="X12" t="s">
        <v>127</v>
      </c>
      <c r="Y12" t="s">
        <v>128</v>
      </c>
      <c r="Z12">
        <v>22</v>
      </c>
      <c r="AA12">
        <v>1</v>
      </c>
      <c r="AB12" t="s">
        <v>53</v>
      </c>
      <c r="AC12">
        <v>2</v>
      </c>
      <c r="AD12">
        <v>2</v>
      </c>
      <c r="AE12" t="s">
        <v>62</v>
      </c>
      <c r="AF12">
        <v>87010</v>
      </c>
      <c r="AG12">
        <v>7910</v>
      </c>
      <c r="AH12">
        <v>15820</v>
      </c>
      <c r="AI12">
        <v>63280</v>
      </c>
      <c r="AJ12" t="s">
        <v>129</v>
      </c>
      <c r="AK12" t="s">
        <v>130</v>
      </c>
      <c r="AL12">
        <v>2002</v>
      </c>
      <c r="AM12" t="s">
        <v>82</v>
      </c>
      <c r="AN12" s="2">
        <f t="shared" si="0"/>
        <v>69.379325742353217</v>
      </c>
      <c r="AO12">
        <f t="shared" si="1"/>
        <v>-85756.88</v>
      </c>
      <c r="AP12" s="2">
        <f t="shared" si="2"/>
        <v>1.4401857236441369E-2</v>
      </c>
      <c r="AQ12" s="2">
        <f t="shared" si="6"/>
        <v>13</v>
      </c>
      <c r="AR12">
        <f t="shared" si="3"/>
        <v>235</v>
      </c>
      <c r="AS12" t="str">
        <f t="shared" si="4"/>
        <v>High Claim Ratio</v>
      </c>
      <c r="AT12" t="str">
        <f t="shared" si="5"/>
        <v>High Profit</v>
      </c>
    </row>
    <row r="13" spans="1:46" x14ac:dyDescent="0.2">
      <c r="A13">
        <v>447</v>
      </c>
      <c r="B13">
        <v>61</v>
      </c>
      <c r="C13">
        <v>214618</v>
      </c>
      <c r="D13" s="1">
        <v>36309</v>
      </c>
      <c r="E13" t="s">
        <v>39</v>
      </c>
      <c r="F13" t="s">
        <v>69</v>
      </c>
      <c r="G13">
        <v>2000</v>
      </c>
      <c r="H13">
        <v>1137.1600000000001</v>
      </c>
      <c r="I13">
        <v>0</v>
      </c>
      <c r="J13">
        <v>615561</v>
      </c>
      <c r="K13" t="s">
        <v>70</v>
      </c>
      <c r="L13" t="s">
        <v>131</v>
      </c>
      <c r="M13" t="s">
        <v>125</v>
      </c>
      <c r="N13" t="s">
        <v>132</v>
      </c>
      <c r="O13" t="s">
        <v>60</v>
      </c>
      <c r="P13">
        <v>0</v>
      </c>
      <c r="Q13">
        <v>-51000</v>
      </c>
      <c r="R13" s="1">
        <v>42050</v>
      </c>
      <c r="S13" t="s">
        <v>75</v>
      </c>
      <c r="T13" t="s">
        <v>86</v>
      </c>
      <c r="U13" t="s">
        <v>48</v>
      </c>
      <c r="V13" t="s">
        <v>99</v>
      </c>
      <c r="W13" t="s">
        <v>50</v>
      </c>
      <c r="X13" t="s">
        <v>102</v>
      </c>
      <c r="Y13" t="s">
        <v>133</v>
      </c>
      <c r="Z13">
        <v>21</v>
      </c>
      <c r="AA13">
        <v>3</v>
      </c>
      <c r="AB13" t="s">
        <v>53</v>
      </c>
      <c r="AC13">
        <v>1</v>
      </c>
      <c r="AD13">
        <v>2</v>
      </c>
      <c r="AE13" t="s">
        <v>53</v>
      </c>
      <c r="AF13">
        <v>114920</v>
      </c>
      <c r="AG13">
        <v>17680</v>
      </c>
      <c r="AH13">
        <v>17680</v>
      </c>
      <c r="AI13">
        <v>79560</v>
      </c>
      <c r="AJ13" t="s">
        <v>109</v>
      </c>
      <c r="AK13" t="s">
        <v>134</v>
      </c>
      <c r="AL13">
        <v>2006</v>
      </c>
      <c r="AM13" t="s">
        <v>82</v>
      </c>
      <c r="AN13" s="2">
        <f t="shared" si="0"/>
        <v>100.9699866451114</v>
      </c>
      <c r="AO13">
        <f t="shared" si="1"/>
        <v>-113782.84</v>
      </c>
      <c r="AP13" s="2">
        <f t="shared" si="2"/>
        <v>9.8951453607260646E-3</v>
      </c>
      <c r="AQ13" s="2">
        <f t="shared" si="6"/>
        <v>9</v>
      </c>
      <c r="AR13">
        <f t="shared" si="3"/>
        <v>447</v>
      </c>
      <c r="AS13" t="str">
        <f t="shared" si="4"/>
        <v>High Claim Ratio</v>
      </c>
      <c r="AT13" t="str">
        <f t="shared" si="5"/>
        <v>High Profit</v>
      </c>
    </row>
    <row r="14" spans="1:46" x14ac:dyDescent="0.2">
      <c r="A14">
        <v>60</v>
      </c>
      <c r="B14">
        <v>23</v>
      </c>
      <c r="C14">
        <v>842643</v>
      </c>
      <c r="D14" s="1">
        <v>35754</v>
      </c>
      <c r="E14" t="s">
        <v>39</v>
      </c>
      <c r="F14" t="s">
        <v>91</v>
      </c>
      <c r="G14">
        <v>500</v>
      </c>
      <c r="H14">
        <v>1215.3599999999999</v>
      </c>
      <c r="I14">
        <v>3000000</v>
      </c>
      <c r="J14">
        <v>432220</v>
      </c>
      <c r="K14" t="s">
        <v>41</v>
      </c>
      <c r="L14" t="s">
        <v>42</v>
      </c>
      <c r="M14" t="s">
        <v>135</v>
      </c>
      <c r="N14" t="s">
        <v>59</v>
      </c>
      <c r="O14" t="s">
        <v>119</v>
      </c>
      <c r="P14">
        <v>0</v>
      </c>
      <c r="Q14">
        <v>0</v>
      </c>
      <c r="R14" s="1">
        <v>42026</v>
      </c>
      <c r="S14" t="s">
        <v>46</v>
      </c>
      <c r="T14" t="s">
        <v>76</v>
      </c>
      <c r="U14" t="s">
        <v>107</v>
      </c>
      <c r="V14" t="s">
        <v>136</v>
      </c>
      <c r="W14" t="s">
        <v>50</v>
      </c>
      <c r="X14" t="s">
        <v>127</v>
      </c>
      <c r="Y14" t="s">
        <v>137</v>
      </c>
      <c r="Z14">
        <v>9</v>
      </c>
      <c r="AA14">
        <v>1</v>
      </c>
      <c r="AB14" t="s">
        <v>53</v>
      </c>
      <c r="AC14">
        <v>1</v>
      </c>
      <c r="AD14">
        <v>0</v>
      </c>
      <c r="AE14" t="s">
        <v>79</v>
      </c>
      <c r="AF14">
        <v>56520</v>
      </c>
      <c r="AG14">
        <v>4710</v>
      </c>
      <c r="AH14">
        <v>9420</v>
      </c>
      <c r="AI14">
        <v>42390</v>
      </c>
      <c r="AJ14" t="s">
        <v>54</v>
      </c>
      <c r="AK14">
        <v>95</v>
      </c>
      <c r="AL14">
        <v>2000</v>
      </c>
      <c r="AM14" t="s">
        <v>82</v>
      </c>
      <c r="AN14" s="2">
        <f t="shared" si="0"/>
        <v>46.466506626327735</v>
      </c>
      <c r="AO14">
        <f t="shared" si="1"/>
        <v>-55304.639999999999</v>
      </c>
      <c r="AP14" s="2">
        <f t="shared" si="2"/>
        <v>2.1502804267440417E-2</v>
      </c>
      <c r="AQ14" s="2">
        <f t="shared" si="6"/>
        <v>15</v>
      </c>
      <c r="AR14">
        <f t="shared" si="3"/>
        <v>60</v>
      </c>
      <c r="AS14" t="str">
        <f t="shared" si="4"/>
        <v>High Claim Ratio</v>
      </c>
      <c r="AT14" t="str">
        <f t="shared" si="5"/>
        <v>High Profit</v>
      </c>
    </row>
    <row r="15" spans="1:46" x14ac:dyDescent="0.2">
      <c r="A15">
        <v>121</v>
      </c>
      <c r="B15">
        <v>34</v>
      </c>
      <c r="C15">
        <v>626808</v>
      </c>
      <c r="D15" s="1">
        <v>41208</v>
      </c>
      <c r="E15" t="s">
        <v>39</v>
      </c>
      <c r="F15" t="s">
        <v>69</v>
      </c>
      <c r="G15">
        <v>1000</v>
      </c>
      <c r="H15">
        <v>936.61</v>
      </c>
      <c r="I15">
        <v>0</v>
      </c>
      <c r="J15">
        <v>464652</v>
      </c>
      <c r="K15" t="s">
        <v>70</v>
      </c>
      <c r="L15" t="s">
        <v>42</v>
      </c>
      <c r="M15" t="s">
        <v>84</v>
      </c>
      <c r="N15" t="s">
        <v>98</v>
      </c>
      <c r="O15" t="s">
        <v>119</v>
      </c>
      <c r="P15">
        <v>52800</v>
      </c>
      <c r="Q15">
        <v>-32800</v>
      </c>
      <c r="R15" s="1">
        <v>42012</v>
      </c>
      <c r="S15" t="s">
        <v>138</v>
      </c>
      <c r="T15" t="s">
        <v>62</v>
      </c>
      <c r="U15" t="s">
        <v>63</v>
      </c>
      <c r="V15" t="s">
        <v>93</v>
      </c>
      <c r="W15" t="s">
        <v>50</v>
      </c>
      <c r="X15" t="s">
        <v>102</v>
      </c>
      <c r="Y15" t="s">
        <v>139</v>
      </c>
      <c r="Z15">
        <v>5</v>
      </c>
      <c r="AA15">
        <v>1</v>
      </c>
      <c r="AB15" t="s">
        <v>79</v>
      </c>
      <c r="AC15">
        <v>1</v>
      </c>
      <c r="AD15">
        <v>1</v>
      </c>
      <c r="AE15" t="s">
        <v>79</v>
      </c>
      <c r="AF15">
        <v>7280</v>
      </c>
      <c r="AG15">
        <v>1120</v>
      </c>
      <c r="AH15">
        <v>1120</v>
      </c>
      <c r="AI15">
        <v>5040</v>
      </c>
      <c r="AJ15" t="s">
        <v>115</v>
      </c>
      <c r="AK15" t="s">
        <v>140</v>
      </c>
      <c r="AL15">
        <v>2010</v>
      </c>
      <c r="AM15" t="s">
        <v>82</v>
      </c>
      <c r="AN15" s="2">
        <f t="shared" si="0"/>
        <v>7.7644223077825538</v>
      </c>
      <c r="AO15">
        <f t="shared" si="1"/>
        <v>-6343.39</v>
      </c>
      <c r="AP15" s="2">
        <f t="shared" si="2"/>
        <v>0.12863754978711717</v>
      </c>
      <c r="AQ15" s="2">
        <f t="shared" si="6"/>
        <v>5</v>
      </c>
      <c r="AR15">
        <f t="shared" si="3"/>
        <v>121</v>
      </c>
      <c r="AS15" t="str">
        <f t="shared" si="4"/>
        <v>Medium Claim Ratio</v>
      </c>
      <c r="AT15" t="str">
        <f t="shared" si="5"/>
        <v>High Profit</v>
      </c>
    </row>
    <row r="16" spans="1:46" x14ac:dyDescent="0.2">
      <c r="A16">
        <v>180</v>
      </c>
      <c r="B16">
        <v>38</v>
      </c>
      <c r="C16">
        <v>644081</v>
      </c>
      <c r="D16" s="1">
        <v>36157</v>
      </c>
      <c r="E16" t="s">
        <v>39</v>
      </c>
      <c r="F16" t="s">
        <v>40</v>
      </c>
      <c r="G16">
        <v>2000</v>
      </c>
      <c r="H16">
        <v>1301.1300000000001</v>
      </c>
      <c r="I16">
        <v>0</v>
      </c>
      <c r="J16">
        <v>476685</v>
      </c>
      <c r="K16" t="s">
        <v>70</v>
      </c>
      <c r="L16" t="s">
        <v>141</v>
      </c>
      <c r="M16" t="s">
        <v>58</v>
      </c>
      <c r="N16" t="s">
        <v>73</v>
      </c>
      <c r="O16" t="s">
        <v>142</v>
      </c>
      <c r="P16">
        <v>41300</v>
      </c>
      <c r="Q16">
        <v>-55500</v>
      </c>
      <c r="R16" s="1">
        <v>42019</v>
      </c>
      <c r="S16" t="s">
        <v>46</v>
      </c>
      <c r="T16" t="s">
        <v>76</v>
      </c>
      <c r="U16" t="s">
        <v>107</v>
      </c>
      <c r="V16" t="s">
        <v>49</v>
      </c>
      <c r="W16" t="s">
        <v>50</v>
      </c>
      <c r="X16" t="s">
        <v>102</v>
      </c>
      <c r="Y16" t="s">
        <v>143</v>
      </c>
      <c r="Z16">
        <v>12</v>
      </c>
      <c r="AA16">
        <v>1</v>
      </c>
      <c r="AB16" t="s">
        <v>79</v>
      </c>
      <c r="AC16">
        <v>0</v>
      </c>
      <c r="AD16">
        <v>2</v>
      </c>
      <c r="AE16" t="s">
        <v>53</v>
      </c>
      <c r="AF16">
        <v>46200</v>
      </c>
      <c r="AG16">
        <v>4200</v>
      </c>
      <c r="AH16">
        <v>8400</v>
      </c>
      <c r="AI16">
        <v>33600</v>
      </c>
      <c r="AJ16" t="s">
        <v>80</v>
      </c>
      <c r="AK16" t="s">
        <v>144</v>
      </c>
      <c r="AL16">
        <v>2003</v>
      </c>
      <c r="AM16" t="s">
        <v>56</v>
      </c>
      <c r="AN16" s="2">
        <f t="shared" si="0"/>
        <v>35.480328385030674</v>
      </c>
      <c r="AO16">
        <f t="shared" si="1"/>
        <v>-44898.87</v>
      </c>
      <c r="AP16" s="2">
        <f t="shared" si="2"/>
        <v>2.8162377437717802E-2</v>
      </c>
      <c r="AQ16" s="2">
        <f t="shared" si="6"/>
        <v>12</v>
      </c>
      <c r="AR16">
        <f t="shared" si="3"/>
        <v>180</v>
      </c>
      <c r="AS16" t="str">
        <f t="shared" si="4"/>
        <v>High Claim Ratio</v>
      </c>
      <c r="AT16" t="str">
        <f t="shared" si="5"/>
        <v>High Profit</v>
      </c>
    </row>
    <row r="17" spans="1:46" x14ac:dyDescent="0.2">
      <c r="A17">
        <v>473</v>
      </c>
      <c r="B17">
        <v>58</v>
      </c>
      <c r="C17">
        <v>892874</v>
      </c>
      <c r="D17" s="1">
        <v>33896</v>
      </c>
      <c r="E17" t="s">
        <v>57</v>
      </c>
      <c r="F17" t="s">
        <v>69</v>
      </c>
      <c r="G17">
        <v>2000</v>
      </c>
      <c r="H17">
        <v>1131.4000000000001</v>
      </c>
      <c r="I17">
        <v>0</v>
      </c>
      <c r="J17">
        <v>458733</v>
      </c>
      <c r="K17" t="s">
        <v>70</v>
      </c>
      <c r="L17" t="s">
        <v>42</v>
      </c>
      <c r="M17" t="s">
        <v>145</v>
      </c>
      <c r="N17" t="s">
        <v>146</v>
      </c>
      <c r="O17" t="s">
        <v>60</v>
      </c>
      <c r="P17">
        <v>55700</v>
      </c>
      <c r="Q17">
        <v>0</v>
      </c>
      <c r="R17" s="1">
        <v>42033</v>
      </c>
      <c r="S17" t="s">
        <v>75</v>
      </c>
      <c r="T17" t="s">
        <v>47</v>
      </c>
      <c r="U17" t="s">
        <v>48</v>
      </c>
      <c r="V17" t="s">
        <v>120</v>
      </c>
      <c r="W17" t="s">
        <v>113</v>
      </c>
      <c r="X17" t="s">
        <v>122</v>
      </c>
      <c r="Y17" t="s">
        <v>147</v>
      </c>
      <c r="Z17">
        <v>12</v>
      </c>
      <c r="AA17">
        <v>4</v>
      </c>
      <c r="AB17" t="s">
        <v>53</v>
      </c>
      <c r="AC17">
        <v>0</v>
      </c>
      <c r="AD17">
        <v>0</v>
      </c>
      <c r="AE17" t="s">
        <v>79</v>
      </c>
      <c r="AF17">
        <v>63120</v>
      </c>
      <c r="AG17">
        <v>10520</v>
      </c>
      <c r="AH17">
        <v>10520</v>
      </c>
      <c r="AI17">
        <v>42080</v>
      </c>
      <c r="AJ17" t="s">
        <v>95</v>
      </c>
      <c r="AK17" t="s">
        <v>148</v>
      </c>
      <c r="AL17">
        <v>1999</v>
      </c>
      <c r="AM17" t="s">
        <v>56</v>
      </c>
      <c r="AN17" s="2">
        <f t="shared" si="0"/>
        <v>55.740021193924406</v>
      </c>
      <c r="AO17">
        <f t="shared" si="1"/>
        <v>-61988.6</v>
      </c>
      <c r="AP17" s="2">
        <f t="shared" si="2"/>
        <v>1.7924304114320118E-2</v>
      </c>
      <c r="AQ17" s="2">
        <f t="shared" si="6"/>
        <v>16</v>
      </c>
      <c r="AR17">
        <f t="shared" si="3"/>
        <v>473</v>
      </c>
      <c r="AS17" t="str">
        <f t="shared" si="4"/>
        <v>High Claim Ratio</v>
      </c>
      <c r="AT17" t="str">
        <f t="shared" si="5"/>
        <v>High Profit</v>
      </c>
    </row>
    <row r="18" spans="1:46" x14ac:dyDescent="0.2">
      <c r="A18">
        <v>70</v>
      </c>
      <c r="B18">
        <v>26</v>
      </c>
      <c r="C18">
        <v>558938</v>
      </c>
      <c r="D18" s="1">
        <v>38511</v>
      </c>
      <c r="E18" t="s">
        <v>39</v>
      </c>
      <c r="F18" t="s">
        <v>91</v>
      </c>
      <c r="G18">
        <v>1000</v>
      </c>
      <c r="H18">
        <v>1199.44</v>
      </c>
      <c r="I18">
        <v>5000000</v>
      </c>
      <c r="J18">
        <v>619884</v>
      </c>
      <c r="K18" t="s">
        <v>41</v>
      </c>
      <c r="L18" t="s">
        <v>141</v>
      </c>
      <c r="M18" t="s">
        <v>58</v>
      </c>
      <c r="N18" t="s">
        <v>149</v>
      </c>
      <c r="O18" t="s">
        <v>74</v>
      </c>
      <c r="P18">
        <v>63600</v>
      </c>
      <c r="Q18">
        <v>0</v>
      </c>
      <c r="R18" s="1">
        <v>42057</v>
      </c>
      <c r="S18" t="s">
        <v>75</v>
      </c>
      <c r="T18" t="s">
        <v>76</v>
      </c>
      <c r="U18" t="s">
        <v>48</v>
      </c>
      <c r="V18" t="s">
        <v>120</v>
      </c>
      <c r="W18" t="s">
        <v>77</v>
      </c>
      <c r="X18" t="s">
        <v>65</v>
      </c>
      <c r="Y18" t="s">
        <v>150</v>
      </c>
      <c r="Z18">
        <v>0</v>
      </c>
      <c r="AA18">
        <v>3</v>
      </c>
      <c r="AB18" t="s">
        <v>62</v>
      </c>
      <c r="AC18">
        <v>1</v>
      </c>
      <c r="AD18">
        <v>2</v>
      </c>
      <c r="AE18" t="s">
        <v>53</v>
      </c>
      <c r="AF18">
        <v>52110</v>
      </c>
      <c r="AG18">
        <v>5790</v>
      </c>
      <c r="AH18">
        <v>5790</v>
      </c>
      <c r="AI18">
        <v>40530</v>
      </c>
      <c r="AJ18" t="s">
        <v>104</v>
      </c>
      <c r="AK18" t="s">
        <v>151</v>
      </c>
      <c r="AL18">
        <v>2012</v>
      </c>
      <c r="AM18" t="s">
        <v>82</v>
      </c>
      <c r="AN18" s="2">
        <f t="shared" si="0"/>
        <v>43.409083336110093</v>
      </c>
      <c r="AO18">
        <f t="shared" si="1"/>
        <v>-50910.559999999998</v>
      </c>
      <c r="AP18" s="2">
        <f t="shared" si="2"/>
        <v>2.3017021358254498E-2</v>
      </c>
      <c r="AQ18" s="2">
        <f t="shared" si="6"/>
        <v>3</v>
      </c>
      <c r="AR18">
        <f t="shared" si="3"/>
        <v>70</v>
      </c>
      <c r="AS18" t="str">
        <f t="shared" si="4"/>
        <v>High Claim Ratio</v>
      </c>
      <c r="AT18" t="str">
        <f t="shared" si="5"/>
        <v>High Profit</v>
      </c>
    </row>
    <row r="19" spans="1:46" x14ac:dyDescent="0.2">
      <c r="A19">
        <v>140</v>
      </c>
      <c r="B19">
        <v>31</v>
      </c>
      <c r="C19">
        <v>275265</v>
      </c>
      <c r="D19" s="1">
        <v>38306</v>
      </c>
      <c r="E19" t="s">
        <v>57</v>
      </c>
      <c r="F19" t="s">
        <v>91</v>
      </c>
      <c r="G19">
        <v>500</v>
      </c>
      <c r="H19">
        <v>708.64</v>
      </c>
      <c r="I19">
        <v>6000000</v>
      </c>
      <c r="J19">
        <v>470610</v>
      </c>
      <c r="K19" t="s">
        <v>41</v>
      </c>
      <c r="L19" t="s">
        <v>131</v>
      </c>
      <c r="M19" t="s">
        <v>58</v>
      </c>
      <c r="N19" t="s">
        <v>59</v>
      </c>
      <c r="O19" t="s">
        <v>85</v>
      </c>
      <c r="P19">
        <v>53500</v>
      </c>
      <c r="Q19">
        <v>0</v>
      </c>
      <c r="R19" s="1">
        <v>42010</v>
      </c>
      <c r="S19" t="s">
        <v>46</v>
      </c>
      <c r="T19" t="s">
        <v>47</v>
      </c>
      <c r="U19" t="s">
        <v>107</v>
      </c>
      <c r="V19" t="s">
        <v>49</v>
      </c>
      <c r="W19" t="s">
        <v>113</v>
      </c>
      <c r="X19" t="s">
        <v>127</v>
      </c>
      <c r="Y19" t="s">
        <v>152</v>
      </c>
      <c r="Z19">
        <v>9</v>
      </c>
      <c r="AA19">
        <v>1</v>
      </c>
      <c r="AB19" t="s">
        <v>79</v>
      </c>
      <c r="AC19">
        <v>0</v>
      </c>
      <c r="AD19">
        <v>2</v>
      </c>
      <c r="AE19" t="s">
        <v>53</v>
      </c>
      <c r="AF19">
        <v>77880</v>
      </c>
      <c r="AG19">
        <v>14160</v>
      </c>
      <c r="AH19">
        <v>7080</v>
      </c>
      <c r="AI19">
        <v>56640</v>
      </c>
      <c r="AJ19" t="s">
        <v>153</v>
      </c>
      <c r="AK19" t="s">
        <v>154</v>
      </c>
      <c r="AL19">
        <v>2015</v>
      </c>
      <c r="AM19" t="s">
        <v>82</v>
      </c>
      <c r="AN19" s="2">
        <f t="shared" si="0"/>
        <v>109.74578659602052</v>
      </c>
      <c r="AO19">
        <f t="shared" si="1"/>
        <v>-77171.360000000001</v>
      </c>
      <c r="AP19" s="2">
        <f t="shared" si="2"/>
        <v>9.0990100281198236E-3</v>
      </c>
      <c r="AQ19" s="2">
        <f t="shared" si="6"/>
        <v>0</v>
      </c>
      <c r="AR19">
        <f t="shared" si="3"/>
        <v>140</v>
      </c>
      <c r="AS19" t="str">
        <f t="shared" si="4"/>
        <v>High Claim Ratio</v>
      </c>
      <c r="AT19" t="str">
        <f t="shared" si="5"/>
        <v>High Profit</v>
      </c>
    </row>
    <row r="20" spans="1:46" x14ac:dyDescent="0.2">
      <c r="A20">
        <v>160</v>
      </c>
      <c r="B20">
        <v>37</v>
      </c>
      <c r="C20">
        <v>921202</v>
      </c>
      <c r="D20" s="1">
        <v>42001</v>
      </c>
      <c r="E20" t="s">
        <v>39</v>
      </c>
      <c r="F20" t="s">
        <v>91</v>
      </c>
      <c r="G20">
        <v>500</v>
      </c>
      <c r="H20">
        <v>1374.22</v>
      </c>
      <c r="I20">
        <v>0</v>
      </c>
      <c r="J20">
        <v>472135</v>
      </c>
      <c r="K20" t="s">
        <v>70</v>
      </c>
      <c r="L20" t="s">
        <v>42</v>
      </c>
      <c r="M20" t="s">
        <v>43</v>
      </c>
      <c r="N20" t="s">
        <v>155</v>
      </c>
      <c r="O20" t="s">
        <v>60</v>
      </c>
      <c r="P20">
        <v>45500</v>
      </c>
      <c r="Q20">
        <v>-37800</v>
      </c>
      <c r="R20" s="1">
        <v>42023</v>
      </c>
      <c r="S20" t="s">
        <v>46</v>
      </c>
      <c r="T20" t="s">
        <v>47</v>
      </c>
      <c r="U20" t="s">
        <v>107</v>
      </c>
      <c r="V20" t="s">
        <v>120</v>
      </c>
      <c r="W20" t="s">
        <v>77</v>
      </c>
      <c r="X20" t="s">
        <v>156</v>
      </c>
      <c r="Y20" t="s">
        <v>157</v>
      </c>
      <c r="Z20">
        <v>19</v>
      </c>
      <c r="AA20">
        <v>1</v>
      </c>
      <c r="AB20" t="s">
        <v>53</v>
      </c>
      <c r="AC20">
        <v>1</v>
      </c>
      <c r="AD20">
        <v>0</v>
      </c>
      <c r="AE20" t="s">
        <v>79</v>
      </c>
      <c r="AF20">
        <v>72930</v>
      </c>
      <c r="AG20">
        <v>6630</v>
      </c>
      <c r="AH20">
        <v>13260</v>
      </c>
      <c r="AI20">
        <v>53040</v>
      </c>
      <c r="AJ20" t="s">
        <v>95</v>
      </c>
      <c r="AK20" t="s">
        <v>158</v>
      </c>
      <c r="AL20">
        <v>2015</v>
      </c>
      <c r="AM20" t="s">
        <v>82</v>
      </c>
      <c r="AN20" s="2">
        <f t="shared" si="0"/>
        <v>53.031514957606781</v>
      </c>
      <c r="AO20">
        <f t="shared" si="1"/>
        <v>-71555.78</v>
      </c>
      <c r="AP20" s="2">
        <f t="shared" si="2"/>
        <v>1.8842741769617859E-2</v>
      </c>
      <c r="AQ20" s="2">
        <f t="shared" si="6"/>
        <v>0</v>
      </c>
      <c r="AR20">
        <f t="shared" si="3"/>
        <v>160</v>
      </c>
      <c r="AS20" t="str">
        <f t="shared" si="4"/>
        <v>High Claim Ratio</v>
      </c>
      <c r="AT20" t="str">
        <f t="shared" si="5"/>
        <v>High Profit</v>
      </c>
    </row>
    <row r="21" spans="1:46" x14ac:dyDescent="0.2">
      <c r="A21">
        <v>196</v>
      </c>
      <c r="B21">
        <v>39</v>
      </c>
      <c r="C21">
        <v>143972</v>
      </c>
      <c r="D21" s="1">
        <v>33818</v>
      </c>
      <c r="E21" t="s">
        <v>57</v>
      </c>
      <c r="F21" t="s">
        <v>91</v>
      </c>
      <c r="G21">
        <v>2000</v>
      </c>
      <c r="H21">
        <v>1475.73</v>
      </c>
      <c r="I21">
        <v>0</v>
      </c>
      <c r="J21">
        <v>477670</v>
      </c>
      <c r="K21" t="s">
        <v>70</v>
      </c>
      <c r="L21" t="s">
        <v>131</v>
      </c>
      <c r="M21" t="s">
        <v>159</v>
      </c>
      <c r="N21" t="s">
        <v>118</v>
      </c>
      <c r="O21" t="s">
        <v>74</v>
      </c>
      <c r="P21">
        <v>57000</v>
      </c>
      <c r="Q21">
        <v>-27300</v>
      </c>
      <c r="R21" s="1">
        <v>42057</v>
      </c>
      <c r="S21" t="s">
        <v>75</v>
      </c>
      <c r="T21" t="s">
        <v>47</v>
      </c>
      <c r="U21" t="s">
        <v>48</v>
      </c>
      <c r="V21" t="s">
        <v>49</v>
      </c>
      <c r="W21" t="s">
        <v>64</v>
      </c>
      <c r="X21" t="s">
        <v>51</v>
      </c>
      <c r="Y21" t="s">
        <v>160</v>
      </c>
      <c r="Z21">
        <v>8</v>
      </c>
      <c r="AA21">
        <v>3</v>
      </c>
      <c r="AB21" t="s">
        <v>62</v>
      </c>
      <c r="AC21">
        <v>2</v>
      </c>
      <c r="AD21">
        <v>0</v>
      </c>
      <c r="AE21" t="s">
        <v>79</v>
      </c>
      <c r="AF21">
        <v>60400</v>
      </c>
      <c r="AG21">
        <v>6040</v>
      </c>
      <c r="AH21">
        <v>6040</v>
      </c>
      <c r="AI21">
        <v>48320</v>
      </c>
      <c r="AJ21" t="s">
        <v>104</v>
      </c>
      <c r="AK21" t="s">
        <v>105</v>
      </c>
      <c r="AL21">
        <v>2014</v>
      </c>
      <c r="AM21" t="s">
        <v>82</v>
      </c>
      <c r="AN21" s="2">
        <f t="shared" si="0"/>
        <v>40.901180310551013</v>
      </c>
      <c r="AO21">
        <f t="shared" si="1"/>
        <v>-58924.27</v>
      </c>
      <c r="AP21" s="2">
        <f t="shared" si="2"/>
        <v>2.4432211387228689E-2</v>
      </c>
      <c r="AQ21" s="2">
        <f t="shared" si="6"/>
        <v>1</v>
      </c>
      <c r="AR21">
        <f t="shared" si="3"/>
        <v>196</v>
      </c>
      <c r="AS21" t="str">
        <f t="shared" si="4"/>
        <v>High Claim Ratio</v>
      </c>
      <c r="AT21" t="str">
        <f t="shared" si="5"/>
        <v>High Profit</v>
      </c>
    </row>
    <row r="22" spans="1:46" x14ac:dyDescent="0.2">
      <c r="A22">
        <v>460</v>
      </c>
      <c r="B22">
        <v>62</v>
      </c>
      <c r="C22">
        <v>183430</v>
      </c>
      <c r="D22" s="1">
        <v>37432</v>
      </c>
      <c r="E22" t="s">
        <v>57</v>
      </c>
      <c r="F22" t="s">
        <v>40</v>
      </c>
      <c r="G22">
        <v>1000</v>
      </c>
      <c r="H22">
        <v>1187.96</v>
      </c>
      <c r="I22">
        <v>4000000</v>
      </c>
      <c r="J22">
        <v>618845</v>
      </c>
      <c r="K22" t="s">
        <v>41</v>
      </c>
      <c r="L22" t="s">
        <v>161</v>
      </c>
      <c r="M22" t="s">
        <v>111</v>
      </c>
      <c r="N22" t="s">
        <v>98</v>
      </c>
      <c r="O22" t="s">
        <v>74</v>
      </c>
      <c r="P22">
        <v>0</v>
      </c>
      <c r="Q22">
        <v>0</v>
      </c>
      <c r="R22" s="1">
        <v>42005</v>
      </c>
      <c r="S22" t="s">
        <v>75</v>
      </c>
      <c r="T22" t="s">
        <v>76</v>
      </c>
      <c r="U22" t="s">
        <v>63</v>
      </c>
      <c r="V22" t="s">
        <v>49</v>
      </c>
      <c r="W22" t="s">
        <v>77</v>
      </c>
      <c r="X22" t="s">
        <v>51</v>
      </c>
      <c r="Y22" t="s">
        <v>162</v>
      </c>
      <c r="Z22">
        <v>20</v>
      </c>
      <c r="AA22">
        <v>3</v>
      </c>
      <c r="AB22" t="s">
        <v>79</v>
      </c>
      <c r="AC22">
        <v>1</v>
      </c>
      <c r="AD22">
        <v>0</v>
      </c>
      <c r="AE22" t="s">
        <v>62</v>
      </c>
      <c r="AF22">
        <v>47160</v>
      </c>
      <c r="AG22">
        <v>0</v>
      </c>
      <c r="AH22">
        <v>5240</v>
      </c>
      <c r="AI22">
        <v>41920</v>
      </c>
      <c r="AJ22" t="s">
        <v>153</v>
      </c>
      <c r="AK22" t="s">
        <v>163</v>
      </c>
      <c r="AL22">
        <v>2011</v>
      </c>
      <c r="AM22" t="s">
        <v>82</v>
      </c>
      <c r="AN22" s="2">
        <f t="shared" si="0"/>
        <v>39.664917238595073</v>
      </c>
      <c r="AO22">
        <f t="shared" si="1"/>
        <v>-45972.04</v>
      </c>
      <c r="AP22" s="2">
        <f t="shared" si="2"/>
        <v>2.5189457390640574E-2</v>
      </c>
      <c r="AQ22" s="2">
        <f t="shared" si="6"/>
        <v>4</v>
      </c>
      <c r="AR22">
        <f t="shared" si="3"/>
        <v>460</v>
      </c>
      <c r="AS22" t="str">
        <f t="shared" si="4"/>
        <v>High Claim Ratio</v>
      </c>
      <c r="AT22" t="str">
        <f t="shared" si="5"/>
        <v>High Profit</v>
      </c>
    </row>
    <row r="23" spans="1:46" x14ac:dyDescent="0.2">
      <c r="A23">
        <v>217</v>
      </c>
      <c r="B23">
        <v>41</v>
      </c>
      <c r="C23">
        <v>431876</v>
      </c>
      <c r="D23" s="1">
        <v>38683</v>
      </c>
      <c r="E23" t="s">
        <v>83</v>
      </c>
      <c r="F23" t="s">
        <v>91</v>
      </c>
      <c r="G23">
        <v>2000</v>
      </c>
      <c r="H23">
        <v>875.15</v>
      </c>
      <c r="I23">
        <v>0</v>
      </c>
      <c r="J23">
        <v>442479</v>
      </c>
      <c r="K23" t="s">
        <v>70</v>
      </c>
      <c r="L23" t="s">
        <v>92</v>
      </c>
      <c r="M23" t="s">
        <v>58</v>
      </c>
      <c r="N23" t="s">
        <v>132</v>
      </c>
      <c r="O23" t="s">
        <v>74</v>
      </c>
      <c r="P23">
        <v>46700</v>
      </c>
      <c r="Q23">
        <v>0</v>
      </c>
      <c r="R23" s="1">
        <v>42045</v>
      </c>
      <c r="S23" t="s">
        <v>75</v>
      </c>
      <c r="T23" t="s">
        <v>47</v>
      </c>
      <c r="U23" t="s">
        <v>107</v>
      </c>
      <c r="V23" t="s">
        <v>49</v>
      </c>
      <c r="W23" t="s">
        <v>50</v>
      </c>
      <c r="X23" t="s">
        <v>87</v>
      </c>
      <c r="Y23" t="s">
        <v>164</v>
      </c>
      <c r="Z23">
        <v>15</v>
      </c>
      <c r="AA23">
        <v>3</v>
      </c>
      <c r="AB23" t="s">
        <v>62</v>
      </c>
      <c r="AC23">
        <v>1</v>
      </c>
      <c r="AD23">
        <v>2</v>
      </c>
      <c r="AE23" t="s">
        <v>62</v>
      </c>
      <c r="AF23">
        <v>37840</v>
      </c>
      <c r="AG23">
        <v>0</v>
      </c>
      <c r="AH23">
        <v>4730</v>
      </c>
      <c r="AI23">
        <v>33110</v>
      </c>
      <c r="AJ23" t="s">
        <v>95</v>
      </c>
      <c r="AK23" t="s">
        <v>96</v>
      </c>
      <c r="AL23">
        <v>1996</v>
      </c>
      <c r="AM23" t="s">
        <v>82</v>
      </c>
      <c r="AN23" s="2">
        <f t="shared" si="0"/>
        <v>43.188951663527938</v>
      </c>
      <c r="AO23">
        <f t="shared" si="1"/>
        <v>-36964.85</v>
      </c>
      <c r="AP23" s="2">
        <f t="shared" si="2"/>
        <v>2.3127031526650986E-2</v>
      </c>
      <c r="AQ23" s="2">
        <f t="shared" si="6"/>
        <v>19</v>
      </c>
      <c r="AR23">
        <f t="shared" si="3"/>
        <v>217</v>
      </c>
      <c r="AS23" t="str">
        <f t="shared" si="4"/>
        <v>High Claim Ratio</v>
      </c>
      <c r="AT23" t="str">
        <f t="shared" si="5"/>
        <v>High Profit</v>
      </c>
    </row>
    <row r="24" spans="1:46" x14ac:dyDescent="0.2">
      <c r="A24">
        <v>370</v>
      </c>
      <c r="B24">
        <v>55</v>
      </c>
      <c r="C24">
        <v>285496</v>
      </c>
      <c r="D24" s="1">
        <v>34481</v>
      </c>
      <c r="E24" t="s">
        <v>83</v>
      </c>
      <c r="F24" t="s">
        <v>69</v>
      </c>
      <c r="G24">
        <v>2000</v>
      </c>
      <c r="H24">
        <v>972.18</v>
      </c>
      <c r="I24">
        <v>0</v>
      </c>
      <c r="J24">
        <v>443920</v>
      </c>
      <c r="K24" t="s">
        <v>41</v>
      </c>
      <c r="L24" t="s">
        <v>131</v>
      </c>
      <c r="M24" t="s">
        <v>101</v>
      </c>
      <c r="N24" t="s">
        <v>165</v>
      </c>
      <c r="O24" t="s">
        <v>60</v>
      </c>
      <c r="P24">
        <v>72700</v>
      </c>
      <c r="Q24">
        <v>-68200</v>
      </c>
      <c r="R24" s="1">
        <v>42015</v>
      </c>
      <c r="S24" t="s">
        <v>75</v>
      </c>
      <c r="T24" t="s">
        <v>76</v>
      </c>
      <c r="U24" t="s">
        <v>48</v>
      </c>
      <c r="V24" t="s">
        <v>136</v>
      </c>
      <c r="W24" t="s">
        <v>50</v>
      </c>
      <c r="X24" t="s">
        <v>122</v>
      </c>
      <c r="Y24" t="s">
        <v>166</v>
      </c>
      <c r="Z24">
        <v>20</v>
      </c>
      <c r="AA24">
        <v>3</v>
      </c>
      <c r="AB24" t="s">
        <v>79</v>
      </c>
      <c r="AC24">
        <v>0</v>
      </c>
      <c r="AD24">
        <v>0</v>
      </c>
      <c r="AE24" t="s">
        <v>53</v>
      </c>
      <c r="AF24">
        <v>71520</v>
      </c>
      <c r="AG24">
        <v>17880</v>
      </c>
      <c r="AH24">
        <v>5960</v>
      </c>
      <c r="AI24">
        <v>47680</v>
      </c>
      <c r="AJ24" t="s">
        <v>153</v>
      </c>
      <c r="AK24" t="s">
        <v>167</v>
      </c>
      <c r="AL24">
        <v>2000</v>
      </c>
      <c r="AM24" t="s">
        <v>56</v>
      </c>
      <c r="AN24" s="2">
        <f t="shared" si="0"/>
        <v>73.491029408742477</v>
      </c>
      <c r="AO24">
        <f t="shared" si="1"/>
        <v>-70547.820000000007</v>
      </c>
      <c r="AP24" s="2">
        <f t="shared" si="2"/>
        <v>1.3592930747612588E-2</v>
      </c>
      <c r="AQ24" s="2">
        <f t="shared" si="6"/>
        <v>15</v>
      </c>
      <c r="AR24">
        <f t="shared" si="3"/>
        <v>370</v>
      </c>
      <c r="AS24" t="str">
        <f t="shared" si="4"/>
        <v>High Claim Ratio</v>
      </c>
      <c r="AT24" t="str">
        <f t="shared" si="5"/>
        <v>High Profit</v>
      </c>
    </row>
    <row r="25" spans="1:46" x14ac:dyDescent="0.2">
      <c r="A25">
        <v>413</v>
      </c>
      <c r="B25">
        <v>55</v>
      </c>
      <c r="C25">
        <v>115399</v>
      </c>
      <c r="D25" s="1">
        <v>33277</v>
      </c>
      <c r="E25" t="s">
        <v>57</v>
      </c>
      <c r="F25" t="s">
        <v>69</v>
      </c>
      <c r="G25">
        <v>2000</v>
      </c>
      <c r="H25">
        <v>1268.79</v>
      </c>
      <c r="I25">
        <v>0</v>
      </c>
      <c r="J25">
        <v>453148</v>
      </c>
      <c r="K25" t="s">
        <v>41</v>
      </c>
      <c r="L25" t="s">
        <v>42</v>
      </c>
      <c r="M25" t="s">
        <v>117</v>
      </c>
      <c r="N25" t="s">
        <v>168</v>
      </c>
      <c r="O25" t="s">
        <v>74</v>
      </c>
      <c r="P25">
        <v>0</v>
      </c>
      <c r="Q25">
        <v>-31000</v>
      </c>
      <c r="R25" s="1">
        <v>42023</v>
      </c>
      <c r="S25" t="s">
        <v>46</v>
      </c>
      <c r="T25" t="s">
        <v>86</v>
      </c>
      <c r="U25" t="s">
        <v>107</v>
      </c>
      <c r="V25" t="s">
        <v>136</v>
      </c>
      <c r="W25" t="s">
        <v>113</v>
      </c>
      <c r="X25" t="s">
        <v>127</v>
      </c>
      <c r="Y25" t="s">
        <v>169</v>
      </c>
      <c r="Z25">
        <v>15</v>
      </c>
      <c r="AA25">
        <v>1</v>
      </c>
      <c r="AB25" t="s">
        <v>62</v>
      </c>
      <c r="AC25">
        <v>2</v>
      </c>
      <c r="AD25">
        <v>2</v>
      </c>
      <c r="AE25" t="s">
        <v>62</v>
      </c>
      <c r="AF25">
        <v>98160</v>
      </c>
      <c r="AG25">
        <v>8180</v>
      </c>
      <c r="AH25">
        <v>16360</v>
      </c>
      <c r="AI25">
        <v>73620</v>
      </c>
      <c r="AJ25" t="s">
        <v>80</v>
      </c>
      <c r="AK25" t="s">
        <v>81</v>
      </c>
      <c r="AL25">
        <v>2011</v>
      </c>
      <c r="AM25" t="s">
        <v>56</v>
      </c>
      <c r="AN25" s="2">
        <f t="shared" si="0"/>
        <v>77.304121153891586</v>
      </c>
      <c r="AO25">
        <f t="shared" si="1"/>
        <v>-96891.21</v>
      </c>
      <c r="AP25" s="2">
        <f t="shared" si="2"/>
        <v>1.2925601817422397E-2</v>
      </c>
      <c r="AQ25" s="2">
        <f t="shared" si="6"/>
        <v>4</v>
      </c>
      <c r="AR25">
        <f t="shared" si="3"/>
        <v>413</v>
      </c>
      <c r="AS25" t="str">
        <f t="shared" si="4"/>
        <v>High Claim Ratio</v>
      </c>
      <c r="AT25" t="str">
        <f t="shared" si="5"/>
        <v>High Profit</v>
      </c>
    </row>
    <row r="26" spans="1:46" x14ac:dyDescent="0.2">
      <c r="A26">
        <v>237</v>
      </c>
      <c r="B26">
        <v>40</v>
      </c>
      <c r="C26">
        <v>736882</v>
      </c>
      <c r="D26" s="1">
        <v>35097</v>
      </c>
      <c r="E26" t="s">
        <v>57</v>
      </c>
      <c r="F26" t="s">
        <v>69</v>
      </c>
      <c r="G26">
        <v>1000</v>
      </c>
      <c r="H26">
        <v>883.31</v>
      </c>
      <c r="I26">
        <v>0</v>
      </c>
      <c r="J26">
        <v>434733</v>
      </c>
      <c r="K26" t="s">
        <v>41</v>
      </c>
      <c r="L26" t="s">
        <v>141</v>
      </c>
      <c r="M26" t="s">
        <v>43</v>
      </c>
      <c r="N26" t="s">
        <v>170</v>
      </c>
      <c r="O26" t="s">
        <v>45</v>
      </c>
      <c r="P26">
        <v>0</v>
      </c>
      <c r="Q26">
        <v>-53500</v>
      </c>
      <c r="R26" s="1">
        <v>42059</v>
      </c>
      <c r="S26" t="s">
        <v>46</v>
      </c>
      <c r="T26" t="s">
        <v>76</v>
      </c>
      <c r="U26" t="s">
        <v>63</v>
      </c>
      <c r="V26" t="s">
        <v>120</v>
      </c>
      <c r="W26" t="s">
        <v>64</v>
      </c>
      <c r="X26" t="s">
        <v>65</v>
      </c>
      <c r="Y26" t="s">
        <v>171</v>
      </c>
      <c r="Z26">
        <v>6</v>
      </c>
      <c r="AA26">
        <v>1</v>
      </c>
      <c r="AB26" t="s">
        <v>79</v>
      </c>
      <c r="AC26">
        <v>1</v>
      </c>
      <c r="AD26">
        <v>3</v>
      </c>
      <c r="AE26" t="s">
        <v>79</v>
      </c>
      <c r="AF26">
        <v>77880</v>
      </c>
      <c r="AG26">
        <v>7080</v>
      </c>
      <c r="AH26">
        <v>14160</v>
      </c>
      <c r="AI26">
        <v>56640</v>
      </c>
      <c r="AJ26" t="s">
        <v>129</v>
      </c>
      <c r="AK26" t="s">
        <v>172</v>
      </c>
      <c r="AL26">
        <v>2005</v>
      </c>
      <c r="AM26" t="s">
        <v>82</v>
      </c>
      <c r="AN26" s="2">
        <f t="shared" si="0"/>
        <v>88.068663703904747</v>
      </c>
      <c r="AO26">
        <f t="shared" si="1"/>
        <v>-76996.69</v>
      </c>
      <c r="AP26" s="2">
        <f t="shared" si="2"/>
        <v>1.1341790680653817E-2</v>
      </c>
      <c r="AQ26" s="2">
        <f t="shared" si="6"/>
        <v>10</v>
      </c>
      <c r="AR26">
        <f t="shared" si="3"/>
        <v>237</v>
      </c>
      <c r="AS26" t="str">
        <f t="shared" si="4"/>
        <v>High Claim Ratio</v>
      </c>
      <c r="AT26" t="str">
        <f t="shared" si="5"/>
        <v>High Profit</v>
      </c>
    </row>
    <row r="27" spans="1:46" x14ac:dyDescent="0.2">
      <c r="A27">
        <v>8</v>
      </c>
      <c r="B27">
        <v>35</v>
      </c>
      <c r="C27">
        <v>699044</v>
      </c>
      <c r="D27" s="1">
        <v>41613</v>
      </c>
      <c r="E27" t="s">
        <v>39</v>
      </c>
      <c r="F27" t="s">
        <v>69</v>
      </c>
      <c r="G27">
        <v>2000</v>
      </c>
      <c r="H27">
        <v>1266.92</v>
      </c>
      <c r="I27">
        <v>0</v>
      </c>
      <c r="J27">
        <v>613982</v>
      </c>
      <c r="K27" t="s">
        <v>41</v>
      </c>
      <c r="L27" t="s">
        <v>124</v>
      </c>
      <c r="M27" t="s">
        <v>72</v>
      </c>
      <c r="N27" t="s">
        <v>173</v>
      </c>
      <c r="O27" t="s">
        <v>74</v>
      </c>
      <c r="P27">
        <v>0</v>
      </c>
      <c r="Q27">
        <v>0</v>
      </c>
      <c r="R27" s="1">
        <v>42013</v>
      </c>
      <c r="S27" t="s">
        <v>75</v>
      </c>
      <c r="T27" t="s">
        <v>76</v>
      </c>
      <c r="U27" t="s">
        <v>48</v>
      </c>
      <c r="V27" t="s">
        <v>120</v>
      </c>
      <c r="W27" t="s">
        <v>39</v>
      </c>
      <c r="X27" t="s">
        <v>87</v>
      </c>
      <c r="Y27" t="s">
        <v>174</v>
      </c>
      <c r="Z27">
        <v>16</v>
      </c>
      <c r="AA27">
        <v>3</v>
      </c>
      <c r="AB27" t="s">
        <v>79</v>
      </c>
      <c r="AC27">
        <v>1</v>
      </c>
      <c r="AD27">
        <v>3</v>
      </c>
      <c r="AE27" t="s">
        <v>53</v>
      </c>
      <c r="AF27">
        <v>71500</v>
      </c>
      <c r="AG27">
        <v>16500</v>
      </c>
      <c r="AH27">
        <v>11000</v>
      </c>
      <c r="AI27">
        <v>44000</v>
      </c>
      <c r="AJ27" t="s">
        <v>129</v>
      </c>
      <c r="AK27" t="s">
        <v>172</v>
      </c>
      <c r="AL27">
        <v>2006</v>
      </c>
      <c r="AM27" t="s">
        <v>56</v>
      </c>
      <c r="AN27" s="2">
        <f t="shared" si="0"/>
        <v>56.39157044608492</v>
      </c>
      <c r="AO27">
        <f t="shared" si="1"/>
        <v>-70233.08</v>
      </c>
      <c r="AP27" s="2">
        <f t="shared" si="2"/>
        <v>1.7718913022195495E-2</v>
      </c>
      <c r="AQ27" s="2">
        <f t="shared" si="6"/>
        <v>9</v>
      </c>
      <c r="AR27">
        <f t="shared" si="3"/>
        <v>8</v>
      </c>
      <c r="AS27" t="str">
        <f t="shared" si="4"/>
        <v>High Claim Ratio</v>
      </c>
      <c r="AT27" t="str">
        <f t="shared" si="5"/>
        <v>High Profit</v>
      </c>
    </row>
    <row r="28" spans="1:46" x14ac:dyDescent="0.2">
      <c r="A28">
        <v>257</v>
      </c>
      <c r="B28">
        <v>43</v>
      </c>
      <c r="C28">
        <v>863236</v>
      </c>
      <c r="D28" s="1">
        <v>33136</v>
      </c>
      <c r="E28" t="s">
        <v>57</v>
      </c>
      <c r="F28" t="s">
        <v>69</v>
      </c>
      <c r="G28">
        <v>2000</v>
      </c>
      <c r="H28">
        <v>1322.1</v>
      </c>
      <c r="I28">
        <v>0</v>
      </c>
      <c r="J28">
        <v>436984</v>
      </c>
      <c r="K28" t="s">
        <v>41</v>
      </c>
      <c r="L28" t="s">
        <v>131</v>
      </c>
      <c r="M28" t="s">
        <v>101</v>
      </c>
      <c r="N28" t="s">
        <v>112</v>
      </c>
      <c r="O28" t="s">
        <v>74</v>
      </c>
      <c r="P28">
        <v>0</v>
      </c>
      <c r="Q28">
        <v>-29200</v>
      </c>
      <c r="R28" s="1">
        <v>42032</v>
      </c>
      <c r="S28" t="s">
        <v>138</v>
      </c>
      <c r="T28" t="s">
        <v>62</v>
      </c>
      <c r="U28" t="s">
        <v>63</v>
      </c>
      <c r="V28" t="s">
        <v>49</v>
      </c>
      <c r="W28" t="s">
        <v>175</v>
      </c>
      <c r="X28" t="s">
        <v>87</v>
      </c>
      <c r="Y28" t="s">
        <v>176</v>
      </c>
      <c r="Z28">
        <v>4</v>
      </c>
      <c r="AA28">
        <v>1</v>
      </c>
      <c r="AB28" t="s">
        <v>53</v>
      </c>
      <c r="AC28">
        <v>1</v>
      </c>
      <c r="AD28">
        <v>3</v>
      </c>
      <c r="AE28" t="s">
        <v>53</v>
      </c>
      <c r="AF28">
        <v>9020</v>
      </c>
      <c r="AG28">
        <v>1640</v>
      </c>
      <c r="AH28">
        <v>820</v>
      </c>
      <c r="AI28">
        <v>6560</v>
      </c>
      <c r="AJ28" t="s">
        <v>115</v>
      </c>
      <c r="AK28" t="s">
        <v>116</v>
      </c>
      <c r="AL28">
        <v>2005</v>
      </c>
      <c r="AM28" t="s">
        <v>82</v>
      </c>
      <c r="AN28" s="2">
        <f t="shared" si="0"/>
        <v>6.8173229536694135</v>
      </c>
      <c r="AO28">
        <f t="shared" si="1"/>
        <v>-7697.9</v>
      </c>
      <c r="AP28" s="2">
        <f t="shared" si="2"/>
        <v>0.14655803126039241</v>
      </c>
      <c r="AQ28" s="2">
        <f t="shared" si="6"/>
        <v>10</v>
      </c>
      <c r="AR28">
        <f t="shared" si="3"/>
        <v>257</v>
      </c>
      <c r="AS28" t="str">
        <f t="shared" si="4"/>
        <v>Medium Claim Ratio</v>
      </c>
      <c r="AT28" t="str">
        <f t="shared" si="5"/>
        <v>High Profit</v>
      </c>
    </row>
    <row r="29" spans="1:46" x14ac:dyDescent="0.2">
      <c r="A29">
        <v>202</v>
      </c>
      <c r="B29">
        <v>34</v>
      </c>
      <c r="C29">
        <v>608513</v>
      </c>
      <c r="D29" s="1">
        <v>37455</v>
      </c>
      <c r="E29" t="s">
        <v>57</v>
      </c>
      <c r="F29" t="s">
        <v>69</v>
      </c>
      <c r="G29">
        <v>500</v>
      </c>
      <c r="H29">
        <v>848.07</v>
      </c>
      <c r="I29">
        <v>3000000</v>
      </c>
      <c r="J29">
        <v>607730</v>
      </c>
      <c r="K29" t="s">
        <v>41</v>
      </c>
      <c r="L29" t="s">
        <v>161</v>
      </c>
      <c r="M29" t="s">
        <v>125</v>
      </c>
      <c r="N29" t="s">
        <v>168</v>
      </c>
      <c r="O29" t="s">
        <v>142</v>
      </c>
      <c r="P29">
        <v>31000</v>
      </c>
      <c r="Q29">
        <v>-30200</v>
      </c>
      <c r="R29" s="1">
        <v>42011</v>
      </c>
      <c r="S29" t="s">
        <v>61</v>
      </c>
      <c r="T29" t="s">
        <v>62</v>
      </c>
      <c r="U29" t="s">
        <v>63</v>
      </c>
      <c r="V29" t="s">
        <v>93</v>
      </c>
      <c r="W29" t="s">
        <v>64</v>
      </c>
      <c r="X29" t="s">
        <v>156</v>
      </c>
      <c r="Y29" t="s">
        <v>177</v>
      </c>
      <c r="Z29">
        <v>5</v>
      </c>
      <c r="AA29">
        <v>1</v>
      </c>
      <c r="AB29" t="s">
        <v>53</v>
      </c>
      <c r="AC29">
        <v>2</v>
      </c>
      <c r="AD29">
        <v>1</v>
      </c>
      <c r="AE29" t="s">
        <v>62</v>
      </c>
      <c r="AF29">
        <v>5720</v>
      </c>
      <c r="AG29">
        <v>1040</v>
      </c>
      <c r="AH29">
        <v>520</v>
      </c>
      <c r="AI29">
        <v>4160</v>
      </c>
      <c r="AJ29" t="s">
        <v>153</v>
      </c>
      <c r="AK29" t="s">
        <v>167</v>
      </c>
      <c r="AL29">
        <v>2003</v>
      </c>
      <c r="AM29" t="s">
        <v>56</v>
      </c>
      <c r="AN29" s="2">
        <f t="shared" si="0"/>
        <v>6.7367825974301292</v>
      </c>
      <c r="AO29">
        <f t="shared" si="1"/>
        <v>-4871.93</v>
      </c>
      <c r="AP29" s="2">
        <f t="shared" si="2"/>
        <v>0.14823807026743577</v>
      </c>
      <c r="AQ29" s="2">
        <f t="shared" si="6"/>
        <v>12</v>
      </c>
      <c r="AR29">
        <f t="shared" si="3"/>
        <v>202</v>
      </c>
      <c r="AS29" t="str">
        <f t="shared" si="4"/>
        <v>Medium Claim Ratio</v>
      </c>
      <c r="AT29" t="str">
        <f t="shared" si="5"/>
        <v>Low Profit</v>
      </c>
    </row>
    <row r="30" spans="1:46" x14ac:dyDescent="0.2">
      <c r="A30">
        <v>224</v>
      </c>
      <c r="B30">
        <v>40</v>
      </c>
      <c r="C30">
        <v>914088</v>
      </c>
      <c r="D30" s="1">
        <v>32912</v>
      </c>
      <c r="E30" t="s">
        <v>39</v>
      </c>
      <c r="F30" t="s">
        <v>69</v>
      </c>
      <c r="G30">
        <v>2000</v>
      </c>
      <c r="H30">
        <v>1291.7</v>
      </c>
      <c r="I30">
        <v>0</v>
      </c>
      <c r="J30">
        <v>609837</v>
      </c>
      <c r="K30" t="s">
        <v>70</v>
      </c>
      <c r="L30" t="s">
        <v>161</v>
      </c>
      <c r="M30" t="s">
        <v>72</v>
      </c>
      <c r="N30" t="s">
        <v>170</v>
      </c>
      <c r="O30" t="s">
        <v>142</v>
      </c>
      <c r="P30">
        <v>0</v>
      </c>
      <c r="Q30">
        <v>-55600</v>
      </c>
      <c r="R30" s="1">
        <v>42012</v>
      </c>
      <c r="S30" t="s">
        <v>46</v>
      </c>
      <c r="T30" t="s">
        <v>47</v>
      </c>
      <c r="U30" t="s">
        <v>63</v>
      </c>
      <c r="V30" t="s">
        <v>120</v>
      </c>
      <c r="W30" t="s">
        <v>50</v>
      </c>
      <c r="X30" t="s">
        <v>127</v>
      </c>
      <c r="Y30" t="s">
        <v>178</v>
      </c>
      <c r="Z30">
        <v>21</v>
      </c>
      <c r="AA30">
        <v>1</v>
      </c>
      <c r="AB30" t="s">
        <v>79</v>
      </c>
      <c r="AC30">
        <v>1</v>
      </c>
      <c r="AD30">
        <v>0</v>
      </c>
      <c r="AE30" t="s">
        <v>53</v>
      </c>
      <c r="AF30">
        <v>69840</v>
      </c>
      <c r="AG30">
        <v>7760</v>
      </c>
      <c r="AH30">
        <v>15520</v>
      </c>
      <c r="AI30">
        <v>46560</v>
      </c>
      <c r="AJ30" t="s">
        <v>80</v>
      </c>
      <c r="AK30" t="s">
        <v>144</v>
      </c>
      <c r="AL30">
        <v>2009</v>
      </c>
      <c r="AM30" t="s">
        <v>82</v>
      </c>
      <c r="AN30" s="2">
        <f t="shared" si="0"/>
        <v>54.026456254351359</v>
      </c>
      <c r="AO30">
        <f t="shared" si="1"/>
        <v>-68548.3</v>
      </c>
      <c r="AP30" s="2">
        <f t="shared" si="2"/>
        <v>1.8494866911985798E-2</v>
      </c>
      <c r="AQ30" s="2">
        <f t="shared" si="6"/>
        <v>6</v>
      </c>
      <c r="AR30">
        <f t="shared" si="3"/>
        <v>224</v>
      </c>
      <c r="AS30" t="str">
        <f t="shared" si="4"/>
        <v>High Claim Ratio</v>
      </c>
      <c r="AT30" t="str">
        <f t="shared" si="5"/>
        <v>High Profit</v>
      </c>
    </row>
    <row r="31" spans="1:46" x14ac:dyDescent="0.2">
      <c r="A31">
        <v>241</v>
      </c>
      <c r="B31">
        <v>45</v>
      </c>
      <c r="C31">
        <v>596785</v>
      </c>
      <c r="D31" s="1">
        <v>41702</v>
      </c>
      <c r="E31" t="s">
        <v>83</v>
      </c>
      <c r="F31" t="s">
        <v>91</v>
      </c>
      <c r="G31">
        <v>2000</v>
      </c>
      <c r="H31">
        <v>1104.5</v>
      </c>
      <c r="I31">
        <v>0</v>
      </c>
      <c r="J31">
        <v>432211</v>
      </c>
      <c r="K31" t="s">
        <v>70</v>
      </c>
      <c r="L31" t="s">
        <v>71</v>
      </c>
      <c r="M31" t="s">
        <v>58</v>
      </c>
      <c r="N31" t="s">
        <v>179</v>
      </c>
      <c r="O31" t="s">
        <v>85</v>
      </c>
      <c r="P31">
        <v>0</v>
      </c>
      <c r="Q31">
        <v>0</v>
      </c>
      <c r="R31" s="1">
        <v>42050</v>
      </c>
      <c r="S31" t="s">
        <v>46</v>
      </c>
      <c r="T31" t="s">
        <v>76</v>
      </c>
      <c r="U31" t="s">
        <v>63</v>
      </c>
      <c r="V31" t="s">
        <v>49</v>
      </c>
      <c r="W31" t="s">
        <v>50</v>
      </c>
      <c r="X31" t="s">
        <v>156</v>
      </c>
      <c r="Y31" t="s">
        <v>180</v>
      </c>
      <c r="Z31">
        <v>5</v>
      </c>
      <c r="AA31">
        <v>1</v>
      </c>
      <c r="AB31" t="s">
        <v>79</v>
      </c>
      <c r="AC31">
        <v>2</v>
      </c>
      <c r="AD31">
        <v>2</v>
      </c>
      <c r="AE31" t="s">
        <v>79</v>
      </c>
      <c r="AF31">
        <v>91650</v>
      </c>
      <c r="AG31">
        <v>14100</v>
      </c>
      <c r="AH31">
        <v>14100</v>
      </c>
      <c r="AI31">
        <v>63450</v>
      </c>
      <c r="AJ31" t="s">
        <v>95</v>
      </c>
      <c r="AK31" t="s">
        <v>158</v>
      </c>
      <c r="AL31">
        <v>2011</v>
      </c>
      <c r="AM31" t="s">
        <v>82</v>
      </c>
      <c r="AN31" s="2">
        <f t="shared" si="0"/>
        <v>82.903663500678419</v>
      </c>
      <c r="AO31">
        <f t="shared" si="1"/>
        <v>-90545.5</v>
      </c>
      <c r="AP31" s="2">
        <f t="shared" si="2"/>
        <v>1.2051150560277574E-2</v>
      </c>
      <c r="AQ31" s="2">
        <f t="shared" si="6"/>
        <v>4</v>
      </c>
      <c r="AR31">
        <f t="shared" si="3"/>
        <v>241</v>
      </c>
      <c r="AS31" t="str">
        <f t="shared" si="4"/>
        <v>High Claim Ratio</v>
      </c>
      <c r="AT31" t="str">
        <f t="shared" si="5"/>
        <v>High Profit</v>
      </c>
    </row>
    <row r="32" spans="1:46" x14ac:dyDescent="0.2">
      <c r="A32">
        <v>64</v>
      </c>
      <c r="B32">
        <v>25</v>
      </c>
      <c r="C32">
        <v>908616</v>
      </c>
      <c r="D32" s="1">
        <v>36574</v>
      </c>
      <c r="E32" t="s">
        <v>83</v>
      </c>
      <c r="F32" t="s">
        <v>40</v>
      </c>
      <c r="G32">
        <v>1000</v>
      </c>
      <c r="H32">
        <v>954.16</v>
      </c>
      <c r="I32">
        <v>0</v>
      </c>
      <c r="J32">
        <v>473328</v>
      </c>
      <c r="K32" t="s">
        <v>41</v>
      </c>
      <c r="L32" t="s">
        <v>124</v>
      </c>
      <c r="M32" t="s">
        <v>101</v>
      </c>
      <c r="N32" t="s">
        <v>181</v>
      </c>
      <c r="O32" t="s">
        <v>45</v>
      </c>
      <c r="P32">
        <v>53200</v>
      </c>
      <c r="Q32">
        <v>0</v>
      </c>
      <c r="R32" s="1">
        <v>42022</v>
      </c>
      <c r="S32" t="s">
        <v>75</v>
      </c>
      <c r="T32" t="s">
        <v>47</v>
      </c>
      <c r="U32" t="s">
        <v>48</v>
      </c>
      <c r="V32" t="s">
        <v>136</v>
      </c>
      <c r="W32" t="s">
        <v>50</v>
      </c>
      <c r="X32" t="s">
        <v>51</v>
      </c>
      <c r="Y32" t="s">
        <v>182</v>
      </c>
      <c r="Z32">
        <v>22</v>
      </c>
      <c r="AA32">
        <v>4</v>
      </c>
      <c r="AB32" t="s">
        <v>79</v>
      </c>
      <c r="AC32">
        <v>0</v>
      </c>
      <c r="AD32">
        <v>0</v>
      </c>
      <c r="AE32" t="s">
        <v>62</v>
      </c>
      <c r="AF32">
        <v>75600</v>
      </c>
      <c r="AG32">
        <v>12600</v>
      </c>
      <c r="AH32">
        <v>12600</v>
      </c>
      <c r="AI32">
        <v>50400</v>
      </c>
      <c r="AJ32" t="s">
        <v>115</v>
      </c>
      <c r="AK32" t="s">
        <v>183</v>
      </c>
      <c r="AL32">
        <v>2005</v>
      </c>
      <c r="AM32" t="s">
        <v>82</v>
      </c>
      <c r="AN32" s="2">
        <f t="shared" si="0"/>
        <v>79.149043092256804</v>
      </c>
      <c r="AO32">
        <f t="shared" si="1"/>
        <v>-74645.84</v>
      </c>
      <c r="AP32" s="2">
        <f t="shared" si="2"/>
        <v>1.2620997076758244E-2</v>
      </c>
      <c r="AQ32" s="2">
        <f t="shared" si="6"/>
        <v>10</v>
      </c>
      <c r="AR32">
        <f t="shared" si="3"/>
        <v>64</v>
      </c>
      <c r="AS32" t="str">
        <f t="shared" si="4"/>
        <v>High Claim Ratio</v>
      </c>
      <c r="AT32" t="str">
        <f t="shared" si="5"/>
        <v>High Profit</v>
      </c>
    </row>
    <row r="33" spans="1:46" x14ac:dyDescent="0.2">
      <c r="A33">
        <v>166</v>
      </c>
      <c r="B33">
        <v>37</v>
      </c>
      <c r="C33">
        <v>666333</v>
      </c>
      <c r="D33" s="1">
        <v>39618</v>
      </c>
      <c r="E33" t="s">
        <v>83</v>
      </c>
      <c r="F33" t="s">
        <v>69</v>
      </c>
      <c r="G33">
        <v>2000</v>
      </c>
      <c r="H33">
        <v>1337.28</v>
      </c>
      <c r="I33">
        <v>8000000</v>
      </c>
      <c r="J33">
        <v>610393</v>
      </c>
      <c r="K33" t="s">
        <v>41</v>
      </c>
      <c r="L33" t="s">
        <v>161</v>
      </c>
      <c r="M33" t="s">
        <v>43</v>
      </c>
      <c r="N33" t="s">
        <v>59</v>
      </c>
      <c r="O33" t="s">
        <v>45</v>
      </c>
      <c r="P33">
        <v>27500</v>
      </c>
      <c r="Q33">
        <v>0</v>
      </c>
      <c r="R33" s="1">
        <v>42063</v>
      </c>
      <c r="S33" t="s">
        <v>75</v>
      </c>
      <c r="T33" t="s">
        <v>47</v>
      </c>
      <c r="U33" t="s">
        <v>48</v>
      </c>
      <c r="V33" t="s">
        <v>49</v>
      </c>
      <c r="W33" t="s">
        <v>113</v>
      </c>
      <c r="X33" t="s">
        <v>65</v>
      </c>
      <c r="Y33" t="s">
        <v>184</v>
      </c>
      <c r="Z33">
        <v>10</v>
      </c>
      <c r="AA33">
        <v>3</v>
      </c>
      <c r="AB33" t="s">
        <v>79</v>
      </c>
      <c r="AC33">
        <v>2</v>
      </c>
      <c r="AD33">
        <v>2</v>
      </c>
      <c r="AE33" t="s">
        <v>62</v>
      </c>
      <c r="AF33">
        <v>67140</v>
      </c>
      <c r="AG33">
        <v>7460</v>
      </c>
      <c r="AH33">
        <v>7460</v>
      </c>
      <c r="AI33">
        <v>52220</v>
      </c>
      <c r="AJ33" t="s">
        <v>129</v>
      </c>
      <c r="AK33" t="s">
        <v>130</v>
      </c>
      <c r="AL33">
        <v>2006</v>
      </c>
      <c r="AM33" t="s">
        <v>56</v>
      </c>
      <c r="AN33" s="2">
        <f t="shared" si="0"/>
        <v>50.168873479391458</v>
      </c>
      <c r="AO33">
        <f t="shared" si="1"/>
        <v>-65802.720000000001</v>
      </c>
      <c r="AP33" s="2">
        <f t="shared" si="2"/>
        <v>1.9917487079429856E-2</v>
      </c>
      <c r="AQ33" s="2">
        <f t="shared" si="6"/>
        <v>9</v>
      </c>
      <c r="AR33">
        <f t="shared" si="3"/>
        <v>166</v>
      </c>
      <c r="AS33" t="str">
        <f t="shared" si="4"/>
        <v>High Claim Ratio</v>
      </c>
      <c r="AT33" t="str">
        <f t="shared" si="5"/>
        <v>High Profit</v>
      </c>
    </row>
    <row r="34" spans="1:46" x14ac:dyDescent="0.2">
      <c r="A34">
        <v>155</v>
      </c>
      <c r="B34">
        <v>35</v>
      </c>
      <c r="C34">
        <v>336614</v>
      </c>
      <c r="D34" s="1">
        <v>37834</v>
      </c>
      <c r="E34" t="s">
        <v>83</v>
      </c>
      <c r="F34" t="s">
        <v>91</v>
      </c>
      <c r="G34">
        <v>1000</v>
      </c>
      <c r="H34">
        <v>1088.3399999999999</v>
      </c>
      <c r="I34">
        <v>0</v>
      </c>
      <c r="J34">
        <v>614780</v>
      </c>
      <c r="K34" t="s">
        <v>70</v>
      </c>
      <c r="L34" t="s">
        <v>92</v>
      </c>
      <c r="M34" t="s">
        <v>185</v>
      </c>
      <c r="N34" t="s">
        <v>155</v>
      </c>
      <c r="O34" t="s">
        <v>60</v>
      </c>
      <c r="P34">
        <v>81100</v>
      </c>
      <c r="Q34">
        <v>0</v>
      </c>
      <c r="R34" s="1">
        <v>42059</v>
      </c>
      <c r="S34" t="s">
        <v>75</v>
      </c>
      <c r="T34" t="s">
        <v>86</v>
      </c>
      <c r="U34" t="s">
        <v>107</v>
      </c>
      <c r="V34" t="s">
        <v>49</v>
      </c>
      <c r="W34" t="s">
        <v>77</v>
      </c>
      <c r="X34" t="s">
        <v>87</v>
      </c>
      <c r="Y34" t="s">
        <v>186</v>
      </c>
      <c r="Z34">
        <v>16</v>
      </c>
      <c r="AA34">
        <v>3</v>
      </c>
      <c r="AB34" t="s">
        <v>53</v>
      </c>
      <c r="AC34">
        <v>2</v>
      </c>
      <c r="AD34">
        <v>3</v>
      </c>
      <c r="AE34" t="s">
        <v>79</v>
      </c>
      <c r="AF34">
        <v>29790</v>
      </c>
      <c r="AG34">
        <v>3310</v>
      </c>
      <c r="AH34">
        <v>3310</v>
      </c>
      <c r="AI34">
        <v>23170</v>
      </c>
      <c r="AJ34" t="s">
        <v>187</v>
      </c>
      <c r="AK34" t="s">
        <v>188</v>
      </c>
      <c r="AL34">
        <v>2008</v>
      </c>
      <c r="AM34" t="s">
        <v>82</v>
      </c>
      <c r="AN34" s="2">
        <f t="shared" si="0"/>
        <v>27.346833862705861</v>
      </c>
      <c r="AO34">
        <f t="shared" si="1"/>
        <v>-28701.66</v>
      </c>
      <c r="AP34" s="2">
        <f t="shared" si="2"/>
        <v>3.6532509818401525E-2</v>
      </c>
      <c r="AQ34" s="2">
        <f t="shared" si="6"/>
        <v>7</v>
      </c>
      <c r="AR34">
        <f t="shared" si="3"/>
        <v>155</v>
      </c>
      <c r="AS34" t="str">
        <f t="shared" si="4"/>
        <v>High Claim Ratio</v>
      </c>
      <c r="AT34" t="str">
        <f t="shared" si="5"/>
        <v>High Profit</v>
      </c>
    </row>
    <row r="35" spans="1:46" x14ac:dyDescent="0.2">
      <c r="A35">
        <v>114</v>
      </c>
      <c r="B35">
        <v>30</v>
      </c>
      <c r="C35">
        <v>584859</v>
      </c>
      <c r="D35" s="1">
        <v>33698</v>
      </c>
      <c r="E35" t="s">
        <v>83</v>
      </c>
      <c r="F35" t="s">
        <v>69</v>
      </c>
      <c r="G35">
        <v>1000</v>
      </c>
      <c r="H35">
        <v>1558.29</v>
      </c>
      <c r="I35">
        <v>0</v>
      </c>
      <c r="J35">
        <v>472248</v>
      </c>
      <c r="K35" t="s">
        <v>41</v>
      </c>
      <c r="L35" t="s">
        <v>131</v>
      </c>
      <c r="M35" t="s">
        <v>189</v>
      </c>
      <c r="N35" t="s">
        <v>181</v>
      </c>
      <c r="O35" t="s">
        <v>119</v>
      </c>
      <c r="P35">
        <v>51400</v>
      </c>
      <c r="Q35">
        <v>-64000</v>
      </c>
      <c r="R35" s="1">
        <v>42013</v>
      </c>
      <c r="S35" t="s">
        <v>75</v>
      </c>
      <c r="T35" t="s">
        <v>86</v>
      </c>
      <c r="U35" t="s">
        <v>48</v>
      </c>
      <c r="V35" t="s">
        <v>136</v>
      </c>
      <c r="W35" t="s">
        <v>77</v>
      </c>
      <c r="X35" t="s">
        <v>122</v>
      </c>
      <c r="Y35" t="s">
        <v>190</v>
      </c>
      <c r="Z35">
        <v>1</v>
      </c>
      <c r="AA35">
        <v>3</v>
      </c>
      <c r="AB35" t="s">
        <v>79</v>
      </c>
      <c r="AC35">
        <v>1</v>
      </c>
      <c r="AD35">
        <v>2</v>
      </c>
      <c r="AE35" t="s">
        <v>62</v>
      </c>
      <c r="AF35">
        <v>77110</v>
      </c>
      <c r="AG35">
        <v>14020</v>
      </c>
      <c r="AH35">
        <v>14020</v>
      </c>
      <c r="AI35">
        <v>49070</v>
      </c>
      <c r="AJ35" t="s">
        <v>153</v>
      </c>
      <c r="AK35" t="s">
        <v>163</v>
      </c>
      <c r="AL35">
        <v>2015</v>
      </c>
      <c r="AM35" t="s">
        <v>82</v>
      </c>
      <c r="AN35" s="2">
        <f t="shared" si="0"/>
        <v>49.451994176836898</v>
      </c>
      <c r="AO35">
        <f t="shared" si="1"/>
        <v>-75551.710000000006</v>
      </c>
      <c r="AP35" s="2">
        <f t="shared" si="2"/>
        <v>2.0208400876658324E-2</v>
      </c>
      <c r="AQ35" s="2">
        <f t="shared" si="6"/>
        <v>0</v>
      </c>
      <c r="AR35">
        <f t="shared" si="3"/>
        <v>114</v>
      </c>
      <c r="AS35" t="str">
        <f t="shared" si="4"/>
        <v>High Claim Ratio</v>
      </c>
      <c r="AT35" t="str">
        <f t="shared" si="5"/>
        <v>High Profit</v>
      </c>
    </row>
    <row r="36" spans="1:46" x14ac:dyDescent="0.2">
      <c r="A36">
        <v>149</v>
      </c>
      <c r="B36">
        <v>37</v>
      </c>
      <c r="C36">
        <v>990493</v>
      </c>
      <c r="D36" s="1">
        <v>33251</v>
      </c>
      <c r="E36" t="s">
        <v>83</v>
      </c>
      <c r="F36" t="s">
        <v>91</v>
      </c>
      <c r="G36">
        <v>500</v>
      </c>
      <c r="H36">
        <v>1415.68</v>
      </c>
      <c r="I36">
        <v>0</v>
      </c>
      <c r="J36">
        <v>603381</v>
      </c>
      <c r="K36" t="s">
        <v>41</v>
      </c>
      <c r="L36" t="s">
        <v>71</v>
      </c>
      <c r="M36" t="s">
        <v>101</v>
      </c>
      <c r="N36" t="s">
        <v>155</v>
      </c>
      <c r="O36" t="s">
        <v>74</v>
      </c>
      <c r="P36">
        <v>0</v>
      </c>
      <c r="Q36">
        <v>0</v>
      </c>
      <c r="R36" s="1">
        <v>42047</v>
      </c>
      <c r="S36" t="s">
        <v>46</v>
      </c>
      <c r="T36" t="s">
        <v>47</v>
      </c>
      <c r="U36" t="s">
        <v>107</v>
      </c>
      <c r="V36" t="s">
        <v>99</v>
      </c>
      <c r="W36" t="s">
        <v>113</v>
      </c>
      <c r="X36" t="s">
        <v>122</v>
      </c>
      <c r="Y36" t="s">
        <v>191</v>
      </c>
      <c r="Z36">
        <v>17</v>
      </c>
      <c r="AA36">
        <v>1</v>
      </c>
      <c r="AB36" t="s">
        <v>53</v>
      </c>
      <c r="AC36">
        <v>0</v>
      </c>
      <c r="AD36">
        <v>1</v>
      </c>
      <c r="AE36" t="s">
        <v>53</v>
      </c>
      <c r="AF36">
        <v>64800</v>
      </c>
      <c r="AG36">
        <v>10800</v>
      </c>
      <c r="AH36">
        <v>5400</v>
      </c>
      <c r="AI36">
        <v>48600</v>
      </c>
      <c r="AJ36" t="s">
        <v>109</v>
      </c>
      <c r="AK36" t="s">
        <v>134</v>
      </c>
      <c r="AL36">
        <v>1999</v>
      </c>
      <c r="AM36" t="s">
        <v>82</v>
      </c>
      <c r="AN36" s="2">
        <f t="shared" si="0"/>
        <v>45.740745969449698</v>
      </c>
      <c r="AO36">
        <f t="shared" si="1"/>
        <v>-63384.32</v>
      </c>
      <c r="AP36" s="2">
        <f t="shared" si="2"/>
        <v>2.1846576441721579E-2</v>
      </c>
      <c r="AQ36" s="2">
        <f t="shared" si="6"/>
        <v>16</v>
      </c>
      <c r="AR36">
        <f t="shared" si="3"/>
        <v>149</v>
      </c>
      <c r="AS36" t="str">
        <f t="shared" si="4"/>
        <v>High Claim Ratio</v>
      </c>
      <c r="AT36" t="str">
        <f t="shared" si="5"/>
        <v>High Profit</v>
      </c>
    </row>
    <row r="37" spans="1:46" x14ac:dyDescent="0.2">
      <c r="A37">
        <v>147</v>
      </c>
      <c r="B37">
        <v>33</v>
      </c>
      <c r="C37">
        <v>129872</v>
      </c>
      <c r="D37" s="1">
        <v>40398</v>
      </c>
      <c r="E37" t="s">
        <v>39</v>
      </c>
      <c r="F37" t="s">
        <v>69</v>
      </c>
      <c r="G37">
        <v>1000</v>
      </c>
      <c r="H37">
        <v>1334.15</v>
      </c>
      <c r="I37">
        <v>6000000</v>
      </c>
      <c r="J37">
        <v>479224</v>
      </c>
      <c r="K37" t="s">
        <v>41</v>
      </c>
      <c r="L37" t="s">
        <v>131</v>
      </c>
      <c r="M37" t="s">
        <v>43</v>
      </c>
      <c r="N37" t="s">
        <v>59</v>
      </c>
      <c r="O37" t="s">
        <v>142</v>
      </c>
      <c r="P37">
        <v>53300</v>
      </c>
      <c r="Q37">
        <v>-49200</v>
      </c>
      <c r="R37" s="1">
        <v>42028</v>
      </c>
      <c r="S37" t="s">
        <v>46</v>
      </c>
      <c r="T37" t="s">
        <v>86</v>
      </c>
      <c r="U37" t="s">
        <v>48</v>
      </c>
      <c r="V37" t="s">
        <v>120</v>
      </c>
      <c r="W37" t="s">
        <v>113</v>
      </c>
      <c r="X37" t="s">
        <v>102</v>
      </c>
      <c r="Y37" t="s">
        <v>192</v>
      </c>
      <c r="Z37">
        <v>15</v>
      </c>
      <c r="AA37">
        <v>1</v>
      </c>
      <c r="AB37" t="s">
        <v>53</v>
      </c>
      <c r="AC37">
        <v>2</v>
      </c>
      <c r="AD37">
        <v>0</v>
      </c>
      <c r="AE37" t="s">
        <v>53</v>
      </c>
      <c r="AF37">
        <v>53100</v>
      </c>
      <c r="AG37">
        <v>10620</v>
      </c>
      <c r="AH37">
        <v>5310</v>
      </c>
      <c r="AI37">
        <v>37170</v>
      </c>
      <c r="AJ37" t="s">
        <v>67</v>
      </c>
      <c r="AK37" t="s">
        <v>193</v>
      </c>
      <c r="AL37">
        <v>1995</v>
      </c>
      <c r="AM37" t="s">
        <v>56</v>
      </c>
      <c r="AN37" s="2">
        <f t="shared" si="0"/>
        <v>39.770812268284459</v>
      </c>
      <c r="AO37">
        <f t="shared" si="1"/>
        <v>-51765.85</v>
      </c>
      <c r="AP37" s="2">
        <f t="shared" si="2"/>
        <v>2.51247622455321E-2</v>
      </c>
      <c r="AQ37" s="2">
        <f t="shared" si="6"/>
        <v>20</v>
      </c>
      <c r="AR37">
        <f t="shared" si="3"/>
        <v>147</v>
      </c>
      <c r="AS37" t="str">
        <f t="shared" si="4"/>
        <v>High Claim Ratio</v>
      </c>
      <c r="AT37" t="str">
        <f t="shared" si="5"/>
        <v>High Profit</v>
      </c>
    </row>
    <row r="38" spans="1:46" x14ac:dyDescent="0.2">
      <c r="A38">
        <v>62</v>
      </c>
      <c r="B38">
        <v>28</v>
      </c>
      <c r="C38">
        <v>200152</v>
      </c>
      <c r="D38" s="1">
        <v>37689</v>
      </c>
      <c r="E38" t="s">
        <v>83</v>
      </c>
      <c r="F38" t="s">
        <v>69</v>
      </c>
      <c r="G38">
        <v>1000</v>
      </c>
      <c r="H38">
        <v>988.45</v>
      </c>
      <c r="I38">
        <v>0</v>
      </c>
      <c r="J38">
        <v>430141</v>
      </c>
      <c r="K38" t="s">
        <v>70</v>
      </c>
      <c r="L38" t="s">
        <v>124</v>
      </c>
      <c r="M38" t="s">
        <v>135</v>
      </c>
      <c r="N38" t="s">
        <v>118</v>
      </c>
      <c r="O38" t="s">
        <v>85</v>
      </c>
      <c r="P38">
        <v>0</v>
      </c>
      <c r="Q38">
        <v>0</v>
      </c>
      <c r="R38" s="1">
        <v>42013</v>
      </c>
      <c r="S38" t="s">
        <v>46</v>
      </c>
      <c r="T38" t="s">
        <v>76</v>
      </c>
      <c r="U38" t="s">
        <v>107</v>
      </c>
      <c r="V38" t="s">
        <v>49</v>
      </c>
      <c r="W38" t="s">
        <v>77</v>
      </c>
      <c r="X38" t="s">
        <v>156</v>
      </c>
      <c r="Y38" t="s">
        <v>194</v>
      </c>
      <c r="Z38">
        <v>3</v>
      </c>
      <c r="AA38">
        <v>1</v>
      </c>
      <c r="AB38" t="s">
        <v>62</v>
      </c>
      <c r="AC38">
        <v>1</v>
      </c>
      <c r="AD38">
        <v>1</v>
      </c>
      <c r="AE38" t="s">
        <v>53</v>
      </c>
      <c r="AF38">
        <v>60200</v>
      </c>
      <c r="AG38">
        <v>6020</v>
      </c>
      <c r="AH38">
        <v>6020</v>
      </c>
      <c r="AI38">
        <v>48160</v>
      </c>
      <c r="AJ38" t="s">
        <v>153</v>
      </c>
      <c r="AK38" t="s">
        <v>167</v>
      </c>
      <c r="AL38">
        <v>2004</v>
      </c>
      <c r="AM38" t="s">
        <v>56</v>
      </c>
      <c r="AN38" s="2">
        <f t="shared" si="0"/>
        <v>60.841881853555002</v>
      </c>
      <c r="AO38">
        <f t="shared" si="1"/>
        <v>-59211.55</v>
      </c>
      <c r="AP38" s="2">
        <f t="shared" si="2"/>
        <v>1.6419162472384181E-2</v>
      </c>
      <c r="AQ38" s="2">
        <f t="shared" si="6"/>
        <v>11</v>
      </c>
      <c r="AR38">
        <f t="shared" si="3"/>
        <v>62</v>
      </c>
      <c r="AS38" t="str">
        <f t="shared" si="4"/>
        <v>High Claim Ratio</v>
      </c>
      <c r="AT38" t="str">
        <f t="shared" si="5"/>
        <v>High Profit</v>
      </c>
    </row>
    <row r="39" spans="1:46" x14ac:dyDescent="0.2">
      <c r="A39">
        <v>289</v>
      </c>
      <c r="B39">
        <v>49</v>
      </c>
      <c r="C39">
        <v>933293</v>
      </c>
      <c r="D39" s="1">
        <v>34003</v>
      </c>
      <c r="E39" t="s">
        <v>83</v>
      </c>
      <c r="F39" t="s">
        <v>91</v>
      </c>
      <c r="G39">
        <v>2000</v>
      </c>
      <c r="H39">
        <v>1222.48</v>
      </c>
      <c r="I39">
        <v>0</v>
      </c>
      <c r="J39">
        <v>620757</v>
      </c>
      <c r="K39" t="s">
        <v>70</v>
      </c>
      <c r="L39" t="s">
        <v>161</v>
      </c>
      <c r="M39" t="s">
        <v>117</v>
      </c>
      <c r="N39" t="s">
        <v>112</v>
      </c>
      <c r="O39" t="s">
        <v>85</v>
      </c>
      <c r="P39">
        <v>0</v>
      </c>
      <c r="Q39">
        <v>0</v>
      </c>
      <c r="R39" s="1">
        <v>42022</v>
      </c>
      <c r="S39" t="s">
        <v>138</v>
      </c>
      <c r="T39" t="s">
        <v>62</v>
      </c>
      <c r="U39" t="s">
        <v>63</v>
      </c>
      <c r="V39" t="s">
        <v>93</v>
      </c>
      <c r="W39" t="s">
        <v>113</v>
      </c>
      <c r="X39" t="s">
        <v>87</v>
      </c>
      <c r="Y39" t="s">
        <v>195</v>
      </c>
      <c r="Z39">
        <v>16</v>
      </c>
      <c r="AA39">
        <v>1</v>
      </c>
      <c r="AB39" t="s">
        <v>79</v>
      </c>
      <c r="AC39">
        <v>1</v>
      </c>
      <c r="AD39">
        <v>1</v>
      </c>
      <c r="AE39" t="s">
        <v>53</v>
      </c>
      <c r="AF39">
        <v>5330</v>
      </c>
      <c r="AG39">
        <v>1230</v>
      </c>
      <c r="AH39">
        <v>820</v>
      </c>
      <c r="AI39">
        <v>3280</v>
      </c>
      <c r="AJ39" t="s">
        <v>153</v>
      </c>
      <c r="AK39" t="s">
        <v>154</v>
      </c>
      <c r="AL39">
        <v>2001</v>
      </c>
      <c r="AM39" t="s">
        <v>82</v>
      </c>
      <c r="AN39" s="2">
        <f t="shared" si="0"/>
        <v>4.3564259325857391</v>
      </c>
      <c r="AO39">
        <f t="shared" si="1"/>
        <v>-4107.5200000000004</v>
      </c>
      <c r="AP39" s="2">
        <f t="shared" si="2"/>
        <v>0.2293153254548865</v>
      </c>
      <c r="AQ39" s="2">
        <f t="shared" si="6"/>
        <v>14</v>
      </c>
      <c r="AR39">
        <f t="shared" si="3"/>
        <v>289</v>
      </c>
      <c r="AS39" t="str">
        <f t="shared" si="4"/>
        <v>Low Claim Ratio</v>
      </c>
      <c r="AT39" t="str">
        <f t="shared" si="5"/>
        <v>Low Profit</v>
      </c>
    </row>
    <row r="40" spans="1:46" x14ac:dyDescent="0.2">
      <c r="A40">
        <v>431</v>
      </c>
      <c r="B40">
        <v>54</v>
      </c>
      <c r="C40">
        <v>485664</v>
      </c>
      <c r="D40" s="1">
        <v>37585</v>
      </c>
      <c r="E40" t="s">
        <v>57</v>
      </c>
      <c r="F40" t="s">
        <v>91</v>
      </c>
      <c r="G40">
        <v>2000</v>
      </c>
      <c r="H40">
        <v>1155.55</v>
      </c>
      <c r="I40">
        <v>0</v>
      </c>
      <c r="J40">
        <v>615901</v>
      </c>
      <c r="K40" t="s">
        <v>70</v>
      </c>
      <c r="L40" t="s">
        <v>42</v>
      </c>
      <c r="M40" t="s">
        <v>43</v>
      </c>
      <c r="N40" t="s">
        <v>98</v>
      </c>
      <c r="O40" t="s">
        <v>85</v>
      </c>
      <c r="P40">
        <v>65700</v>
      </c>
      <c r="Q40">
        <v>0</v>
      </c>
      <c r="R40" s="1">
        <v>42025</v>
      </c>
      <c r="S40" t="s">
        <v>75</v>
      </c>
      <c r="T40" t="s">
        <v>76</v>
      </c>
      <c r="U40" t="s">
        <v>48</v>
      </c>
      <c r="V40" t="s">
        <v>49</v>
      </c>
      <c r="W40" t="s">
        <v>77</v>
      </c>
      <c r="X40" t="s">
        <v>122</v>
      </c>
      <c r="Y40" t="s">
        <v>196</v>
      </c>
      <c r="Z40">
        <v>4</v>
      </c>
      <c r="AA40">
        <v>3</v>
      </c>
      <c r="AB40" t="s">
        <v>62</v>
      </c>
      <c r="AC40">
        <v>2</v>
      </c>
      <c r="AD40">
        <v>0</v>
      </c>
      <c r="AE40" t="s">
        <v>62</v>
      </c>
      <c r="AF40">
        <v>62300</v>
      </c>
      <c r="AG40">
        <v>12460</v>
      </c>
      <c r="AH40">
        <v>6230</v>
      </c>
      <c r="AI40">
        <v>43610</v>
      </c>
      <c r="AJ40" t="s">
        <v>197</v>
      </c>
      <c r="AK40" t="s">
        <v>198</v>
      </c>
      <c r="AL40">
        <v>2007</v>
      </c>
      <c r="AM40" t="s">
        <v>82</v>
      </c>
      <c r="AN40" s="2">
        <f t="shared" si="0"/>
        <v>53.86710475119969</v>
      </c>
      <c r="AO40">
        <f t="shared" si="1"/>
        <v>-61144.45</v>
      </c>
      <c r="AP40" s="2">
        <f t="shared" si="2"/>
        <v>1.8547856374697035E-2</v>
      </c>
      <c r="AQ40" s="2">
        <f t="shared" si="6"/>
        <v>8</v>
      </c>
      <c r="AR40">
        <f t="shared" si="3"/>
        <v>431</v>
      </c>
      <c r="AS40" t="str">
        <f t="shared" si="4"/>
        <v>High Claim Ratio</v>
      </c>
      <c r="AT40" t="str">
        <f t="shared" si="5"/>
        <v>High Profit</v>
      </c>
    </row>
    <row r="41" spans="1:46" x14ac:dyDescent="0.2">
      <c r="A41">
        <v>199</v>
      </c>
      <c r="B41">
        <v>37</v>
      </c>
      <c r="C41">
        <v>982871</v>
      </c>
      <c r="D41" s="1">
        <v>35638</v>
      </c>
      <c r="E41" t="s">
        <v>57</v>
      </c>
      <c r="F41" t="s">
        <v>40</v>
      </c>
      <c r="G41">
        <v>500</v>
      </c>
      <c r="H41">
        <v>1262.08</v>
      </c>
      <c r="I41">
        <v>0</v>
      </c>
      <c r="J41">
        <v>474615</v>
      </c>
      <c r="K41" t="s">
        <v>41</v>
      </c>
      <c r="L41" t="s">
        <v>161</v>
      </c>
      <c r="M41" t="s">
        <v>97</v>
      </c>
      <c r="N41" t="s">
        <v>181</v>
      </c>
      <c r="O41" t="s">
        <v>119</v>
      </c>
      <c r="P41">
        <v>48500</v>
      </c>
      <c r="Q41">
        <v>0</v>
      </c>
      <c r="R41" s="1">
        <v>42012</v>
      </c>
      <c r="S41" t="s">
        <v>46</v>
      </c>
      <c r="T41" t="s">
        <v>86</v>
      </c>
      <c r="U41" t="s">
        <v>48</v>
      </c>
      <c r="V41" t="s">
        <v>136</v>
      </c>
      <c r="W41" t="s">
        <v>121</v>
      </c>
      <c r="X41" t="s">
        <v>51</v>
      </c>
      <c r="Y41" t="s">
        <v>199</v>
      </c>
      <c r="Z41">
        <v>4</v>
      </c>
      <c r="AA41">
        <v>1</v>
      </c>
      <c r="AB41" t="s">
        <v>62</v>
      </c>
      <c r="AC41">
        <v>0</v>
      </c>
      <c r="AD41">
        <v>3</v>
      </c>
      <c r="AE41" t="s">
        <v>79</v>
      </c>
      <c r="AF41">
        <v>60170</v>
      </c>
      <c r="AG41">
        <v>10940</v>
      </c>
      <c r="AH41">
        <v>10940</v>
      </c>
      <c r="AI41">
        <v>38290</v>
      </c>
      <c r="AJ41" t="s">
        <v>104</v>
      </c>
      <c r="AK41" t="s">
        <v>105</v>
      </c>
      <c r="AL41">
        <v>2011</v>
      </c>
      <c r="AM41" t="s">
        <v>56</v>
      </c>
      <c r="AN41" s="2">
        <f t="shared" si="0"/>
        <v>47.637520980460465</v>
      </c>
      <c r="AO41">
        <f t="shared" si="1"/>
        <v>-58907.92</v>
      </c>
      <c r="AP41" s="2">
        <f t="shared" si="2"/>
        <v>2.0974888235196356E-2</v>
      </c>
      <c r="AQ41" s="2">
        <f t="shared" si="6"/>
        <v>4</v>
      </c>
      <c r="AR41">
        <f t="shared" si="3"/>
        <v>199</v>
      </c>
      <c r="AS41" t="str">
        <f t="shared" si="4"/>
        <v>High Claim Ratio</v>
      </c>
      <c r="AT41" t="str">
        <f t="shared" si="5"/>
        <v>High Profit</v>
      </c>
    </row>
    <row r="42" spans="1:46" x14ac:dyDescent="0.2">
      <c r="A42">
        <v>79</v>
      </c>
      <c r="B42">
        <v>26</v>
      </c>
      <c r="C42">
        <v>206213</v>
      </c>
      <c r="D42" s="1">
        <v>34827</v>
      </c>
      <c r="E42" t="s">
        <v>83</v>
      </c>
      <c r="F42" t="s">
        <v>69</v>
      </c>
      <c r="G42">
        <v>500</v>
      </c>
      <c r="H42">
        <v>1451.62</v>
      </c>
      <c r="I42">
        <v>0</v>
      </c>
      <c r="J42">
        <v>456446</v>
      </c>
      <c r="K42" t="s">
        <v>41</v>
      </c>
      <c r="L42" t="s">
        <v>92</v>
      </c>
      <c r="M42" t="s">
        <v>97</v>
      </c>
      <c r="N42" t="s">
        <v>170</v>
      </c>
      <c r="O42" t="s">
        <v>142</v>
      </c>
      <c r="P42">
        <v>0</v>
      </c>
      <c r="Q42">
        <v>-55700</v>
      </c>
      <c r="R42" s="1">
        <v>42007</v>
      </c>
      <c r="S42" t="s">
        <v>46</v>
      </c>
      <c r="T42" t="s">
        <v>76</v>
      </c>
      <c r="U42" t="s">
        <v>63</v>
      </c>
      <c r="V42" t="s">
        <v>136</v>
      </c>
      <c r="W42" t="s">
        <v>113</v>
      </c>
      <c r="X42" t="s">
        <v>51</v>
      </c>
      <c r="Y42" t="s">
        <v>200</v>
      </c>
      <c r="Z42">
        <v>19</v>
      </c>
      <c r="AA42">
        <v>1</v>
      </c>
      <c r="AB42" t="s">
        <v>79</v>
      </c>
      <c r="AC42">
        <v>2</v>
      </c>
      <c r="AD42">
        <v>2</v>
      </c>
      <c r="AE42" t="s">
        <v>62</v>
      </c>
      <c r="AF42">
        <v>40000</v>
      </c>
      <c r="AG42">
        <v>8000</v>
      </c>
      <c r="AH42">
        <v>4000</v>
      </c>
      <c r="AI42">
        <v>28000</v>
      </c>
      <c r="AJ42" t="s">
        <v>187</v>
      </c>
      <c r="AK42" t="s">
        <v>201</v>
      </c>
      <c r="AL42">
        <v>2010</v>
      </c>
      <c r="AM42" t="s">
        <v>82</v>
      </c>
      <c r="AN42" s="2">
        <f t="shared" si="0"/>
        <v>27.536451377510982</v>
      </c>
      <c r="AO42">
        <f t="shared" si="1"/>
        <v>-38548.379999999997</v>
      </c>
      <c r="AP42" s="2">
        <f t="shared" si="2"/>
        <v>3.628959276018099E-2</v>
      </c>
      <c r="AQ42" s="2">
        <f t="shared" si="6"/>
        <v>5</v>
      </c>
      <c r="AR42">
        <f t="shared" si="3"/>
        <v>79</v>
      </c>
      <c r="AS42" t="str">
        <f t="shared" si="4"/>
        <v>High Claim Ratio</v>
      </c>
      <c r="AT42" t="str">
        <f t="shared" si="5"/>
        <v>High Profit</v>
      </c>
    </row>
    <row r="43" spans="1:46" x14ac:dyDescent="0.2">
      <c r="A43">
        <v>116</v>
      </c>
      <c r="B43">
        <v>34</v>
      </c>
      <c r="C43">
        <v>616337</v>
      </c>
      <c r="D43" s="1">
        <v>41151</v>
      </c>
      <c r="E43" t="s">
        <v>57</v>
      </c>
      <c r="F43" t="s">
        <v>40</v>
      </c>
      <c r="G43">
        <v>500</v>
      </c>
      <c r="H43">
        <v>1737.66</v>
      </c>
      <c r="I43">
        <v>0</v>
      </c>
      <c r="J43">
        <v>470577</v>
      </c>
      <c r="K43" t="s">
        <v>41</v>
      </c>
      <c r="L43" t="s">
        <v>92</v>
      </c>
      <c r="M43" t="s">
        <v>145</v>
      </c>
      <c r="N43" t="s">
        <v>168</v>
      </c>
      <c r="O43" t="s">
        <v>85</v>
      </c>
      <c r="P43">
        <v>0</v>
      </c>
      <c r="Q43">
        <v>-24100</v>
      </c>
      <c r="R43" s="1">
        <v>42005</v>
      </c>
      <c r="S43" t="s">
        <v>46</v>
      </c>
      <c r="T43" t="s">
        <v>47</v>
      </c>
      <c r="U43" t="s">
        <v>48</v>
      </c>
      <c r="V43" t="s">
        <v>49</v>
      </c>
      <c r="W43" t="s">
        <v>113</v>
      </c>
      <c r="X43" t="s">
        <v>156</v>
      </c>
      <c r="Y43" t="s">
        <v>202</v>
      </c>
      <c r="Z43">
        <v>1</v>
      </c>
      <c r="AA43">
        <v>1</v>
      </c>
      <c r="AB43" t="s">
        <v>62</v>
      </c>
      <c r="AC43">
        <v>1</v>
      </c>
      <c r="AD43">
        <v>1</v>
      </c>
      <c r="AE43" t="s">
        <v>62</v>
      </c>
      <c r="AF43">
        <v>97080</v>
      </c>
      <c r="AG43">
        <v>16180</v>
      </c>
      <c r="AH43">
        <v>16180</v>
      </c>
      <c r="AI43">
        <v>64720</v>
      </c>
      <c r="AJ43" t="s">
        <v>187</v>
      </c>
      <c r="AK43" t="s">
        <v>203</v>
      </c>
      <c r="AL43">
        <v>2001</v>
      </c>
      <c r="AM43" t="s">
        <v>56</v>
      </c>
      <c r="AN43" s="2">
        <f t="shared" si="0"/>
        <v>55.836103666041659</v>
      </c>
      <c r="AO43">
        <f t="shared" si="1"/>
        <v>-95342.34</v>
      </c>
      <c r="AP43" s="2">
        <f t="shared" si="2"/>
        <v>1.7899073969159775E-2</v>
      </c>
      <c r="AQ43" s="2">
        <f t="shared" si="6"/>
        <v>14</v>
      </c>
      <c r="AR43">
        <f t="shared" si="3"/>
        <v>116</v>
      </c>
      <c r="AS43" t="str">
        <f t="shared" si="4"/>
        <v>High Claim Ratio</v>
      </c>
      <c r="AT43" t="str">
        <f t="shared" si="5"/>
        <v>High Profit</v>
      </c>
    </row>
    <row r="44" spans="1:46" x14ac:dyDescent="0.2">
      <c r="A44">
        <v>37</v>
      </c>
      <c r="B44">
        <v>23</v>
      </c>
      <c r="C44">
        <v>448961</v>
      </c>
      <c r="D44" s="1">
        <v>38837</v>
      </c>
      <c r="E44" t="s">
        <v>83</v>
      </c>
      <c r="F44" t="s">
        <v>91</v>
      </c>
      <c r="G44">
        <v>500</v>
      </c>
      <c r="H44">
        <v>1475.93</v>
      </c>
      <c r="I44">
        <v>0</v>
      </c>
      <c r="J44">
        <v>441648</v>
      </c>
      <c r="K44" t="s">
        <v>70</v>
      </c>
      <c r="L44" t="s">
        <v>141</v>
      </c>
      <c r="M44" t="s">
        <v>101</v>
      </c>
      <c r="N44" t="s">
        <v>149</v>
      </c>
      <c r="O44" t="s">
        <v>45</v>
      </c>
      <c r="P44">
        <v>0</v>
      </c>
      <c r="Q44">
        <v>-67400</v>
      </c>
      <c r="R44" s="1">
        <v>42020</v>
      </c>
      <c r="S44" t="s">
        <v>75</v>
      </c>
      <c r="T44" t="s">
        <v>47</v>
      </c>
      <c r="U44" t="s">
        <v>63</v>
      </c>
      <c r="V44" t="s">
        <v>120</v>
      </c>
      <c r="W44" t="s">
        <v>50</v>
      </c>
      <c r="X44" t="s">
        <v>102</v>
      </c>
      <c r="Y44" t="s">
        <v>204</v>
      </c>
      <c r="Z44">
        <v>17</v>
      </c>
      <c r="AA44">
        <v>3</v>
      </c>
      <c r="AB44" t="s">
        <v>53</v>
      </c>
      <c r="AC44">
        <v>1</v>
      </c>
      <c r="AD44">
        <v>0</v>
      </c>
      <c r="AE44" t="s">
        <v>79</v>
      </c>
      <c r="AF44">
        <v>51660</v>
      </c>
      <c r="AG44">
        <v>5740</v>
      </c>
      <c r="AH44">
        <v>5740</v>
      </c>
      <c r="AI44">
        <v>40180</v>
      </c>
      <c r="AJ44" t="s">
        <v>80</v>
      </c>
      <c r="AK44" t="s">
        <v>81</v>
      </c>
      <c r="AL44">
        <v>2010</v>
      </c>
      <c r="AM44" t="s">
        <v>82</v>
      </c>
      <c r="AN44" s="2">
        <f t="shared" si="0"/>
        <v>34.977961040807621</v>
      </c>
      <c r="AO44">
        <f t="shared" si="1"/>
        <v>-50184.07</v>
      </c>
      <c r="AP44" s="2">
        <f t="shared" si="2"/>
        <v>2.8569520528057918E-2</v>
      </c>
      <c r="AQ44" s="2">
        <f t="shared" si="6"/>
        <v>5</v>
      </c>
      <c r="AR44">
        <f t="shared" si="3"/>
        <v>37</v>
      </c>
      <c r="AS44" t="str">
        <f t="shared" si="4"/>
        <v>High Claim Ratio</v>
      </c>
      <c r="AT44" t="str">
        <f t="shared" si="5"/>
        <v>High Profit</v>
      </c>
    </row>
    <row r="45" spans="1:46" x14ac:dyDescent="0.2">
      <c r="A45">
        <v>106</v>
      </c>
      <c r="B45">
        <v>30</v>
      </c>
      <c r="C45">
        <v>790442</v>
      </c>
      <c r="D45" s="1">
        <v>37724</v>
      </c>
      <c r="E45" t="s">
        <v>39</v>
      </c>
      <c r="F45" t="s">
        <v>40</v>
      </c>
      <c r="G45">
        <v>500</v>
      </c>
      <c r="H45">
        <v>538.16999999999996</v>
      </c>
      <c r="I45">
        <v>0</v>
      </c>
      <c r="J45">
        <v>433782</v>
      </c>
      <c r="K45" t="s">
        <v>70</v>
      </c>
      <c r="L45" t="s">
        <v>71</v>
      </c>
      <c r="M45" t="s">
        <v>145</v>
      </c>
      <c r="N45" t="s">
        <v>59</v>
      </c>
      <c r="O45" t="s">
        <v>74</v>
      </c>
      <c r="P45">
        <v>49700</v>
      </c>
      <c r="Q45">
        <v>-60200</v>
      </c>
      <c r="R45" s="1">
        <v>42045</v>
      </c>
      <c r="S45" t="s">
        <v>46</v>
      </c>
      <c r="T45" t="s">
        <v>76</v>
      </c>
      <c r="U45" t="s">
        <v>107</v>
      </c>
      <c r="V45" t="s">
        <v>120</v>
      </c>
      <c r="W45" t="s">
        <v>121</v>
      </c>
      <c r="X45" t="s">
        <v>87</v>
      </c>
      <c r="Y45" t="s">
        <v>205</v>
      </c>
      <c r="Z45">
        <v>23</v>
      </c>
      <c r="AA45">
        <v>1</v>
      </c>
      <c r="AB45" t="s">
        <v>79</v>
      </c>
      <c r="AC45">
        <v>2</v>
      </c>
      <c r="AD45">
        <v>2</v>
      </c>
      <c r="AE45" t="s">
        <v>79</v>
      </c>
      <c r="AF45">
        <v>51120</v>
      </c>
      <c r="AG45">
        <v>5680</v>
      </c>
      <c r="AH45">
        <v>5680</v>
      </c>
      <c r="AI45">
        <v>39760</v>
      </c>
      <c r="AJ45" t="s">
        <v>67</v>
      </c>
      <c r="AK45" t="s">
        <v>68</v>
      </c>
      <c r="AL45">
        <v>2005</v>
      </c>
      <c r="AM45" t="s">
        <v>82</v>
      </c>
      <c r="AN45" s="2">
        <f t="shared" si="0"/>
        <v>94.812396832167963</v>
      </c>
      <c r="AO45">
        <f t="shared" si="1"/>
        <v>-50581.83</v>
      </c>
      <c r="AP45" s="2">
        <f t="shared" si="2"/>
        <v>1.0527376225034722E-2</v>
      </c>
      <c r="AQ45" s="2">
        <f t="shared" si="6"/>
        <v>10</v>
      </c>
      <c r="AR45">
        <f t="shared" si="3"/>
        <v>106</v>
      </c>
      <c r="AS45" t="str">
        <f t="shared" si="4"/>
        <v>High Claim Ratio</v>
      </c>
      <c r="AT45" t="str">
        <f t="shared" si="5"/>
        <v>High Profit</v>
      </c>
    </row>
    <row r="46" spans="1:46" x14ac:dyDescent="0.2">
      <c r="A46">
        <v>269</v>
      </c>
      <c r="B46">
        <v>44</v>
      </c>
      <c r="C46">
        <v>108844</v>
      </c>
      <c r="D46" s="1">
        <v>39421</v>
      </c>
      <c r="E46" t="s">
        <v>83</v>
      </c>
      <c r="F46" t="s">
        <v>69</v>
      </c>
      <c r="G46">
        <v>2000</v>
      </c>
      <c r="H46">
        <v>1081.08</v>
      </c>
      <c r="I46">
        <v>0</v>
      </c>
      <c r="J46">
        <v>468104</v>
      </c>
      <c r="K46" t="s">
        <v>41</v>
      </c>
      <c r="L46" t="s">
        <v>161</v>
      </c>
      <c r="M46" t="s">
        <v>117</v>
      </c>
      <c r="N46" t="s">
        <v>59</v>
      </c>
      <c r="O46" t="s">
        <v>85</v>
      </c>
      <c r="P46">
        <v>36400</v>
      </c>
      <c r="Q46">
        <v>-28700</v>
      </c>
      <c r="R46" s="1">
        <v>42049</v>
      </c>
      <c r="S46" t="s">
        <v>46</v>
      </c>
      <c r="T46" t="s">
        <v>86</v>
      </c>
      <c r="U46" t="s">
        <v>63</v>
      </c>
      <c r="V46" t="s">
        <v>120</v>
      </c>
      <c r="W46" t="s">
        <v>50</v>
      </c>
      <c r="X46" t="s">
        <v>102</v>
      </c>
      <c r="Y46" t="s">
        <v>206</v>
      </c>
      <c r="Z46">
        <v>14</v>
      </c>
      <c r="AA46">
        <v>1</v>
      </c>
      <c r="AB46" t="s">
        <v>53</v>
      </c>
      <c r="AC46">
        <v>0</v>
      </c>
      <c r="AD46">
        <v>2</v>
      </c>
      <c r="AE46" t="s">
        <v>62</v>
      </c>
      <c r="AF46">
        <v>56400</v>
      </c>
      <c r="AG46">
        <v>11280</v>
      </c>
      <c r="AH46">
        <v>11280</v>
      </c>
      <c r="AI46">
        <v>33840</v>
      </c>
      <c r="AJ46" t="s">
        <v>115</v>
      </c>
      <c r="AK46" t="s">
        <v>140</v>
      </c>
      <c r="AL46">
        <v>2014</v>
      </c>
      <c r="AM46" t="s">
        <v>82</v>
      </c>
      <c r="AN46" s="2">
        <f t="shared" si="0"/>
        <v>52.121839420375579</v>
      </c>
      <c r="AO46">
        <f t="shared" si="1"/>
        <v>-55318.92</v>
      </c>
      <c r="AP46" s="2">
        <f t="shared" si="2"/>
        <v>1.9167745252743746E-2</v>
      </c>
      <c r="AQ46" s="2">
        <f t="shared" si="6"/>
        <v>1</v>
      </c>
      <c r="AR46">
        <f t="shared" si="3"/>
        <v>269</v>
      </c>
      <c r="AS46" t="str">
        <f t="shared" si="4"/>
        <v>High Claim Ratio</v>
      </c>
      <c r="AT46" t="str">
        <f t="shared" si="5"/>
        <v>High Profit</v>
      </c>
    </row>
    <row r="47" spans="1:46" x14ac:dyDescent="0.2">
      <c r="A47">
        <v>265</v>
      </c>
      <c r="B47">
        <v>40</v>
      </c>
      <c r="C47">
        <v>430029</v>
      </c>
      <c r="D47" s="1">
        <v>38950</v>
      </c>
      <c r="E47" t="s">
        <v>83</v>
      </c>
      <c r="F47" t="s">
        <v>40</v>
      </c>
      <c r="G47">
        <v>1000</v>
      </c>
      <c r="H47">
        <v>1454.43</v>
      </c>
      <c r="I47">
        <v>0</v>
      </c>
      <c r="J47">
        <v>459407</v>
      </c>
      <c r="K47" t="s">
        <v>70</v>
      </c>
      <c r="L47" t="s">
        <v>42</v>
      </c>
      <c r="M47" t="s">
        <v>135</v>
      </c>
      <c r="N47" t="s">
        <v>155</v>
      </c>
      <c r="O47" t="s">
        <v>45</v>
      </c>
      <c r="P47">
        <v>0</v>
      </c>
      <c r="Q47">
        <v>0</v>
      </c>
      <c r="R47" s="1">
        <v>42056</v>
      </c>
      <c r="S47" t="s">
        <v>75</v>
      </c>
      <c r="T47" t="s">
        <v>76</v>
      </c>
      <c r="U47" t="s">
        <v>107</v>
      </c>
      <c r="V47" t="s">
        <v>120</v>
      </c>
      <c r="W47" t="s">
        <v>77</v>
      </c>
      <c r="X47" t="s">
        <v>87</v>
      </c>
      <c r="Y47" t="s">
        <v>207</v>
      </c>
      <c r="Z47">
        <v>17</v>
      </c>
      <c r="AA47">
        <v>3</v>
      </c>
      <c r="AB47" t="s">
        <v>79</v>
      </c>
      <c r="AC47">
        <v>2</v>
      </c>
      <c r="AD47">
        <v>3</v>
      </c>
      <c r="AE47" t="s">
        <v>62</v>
      </c>
      <c r="AF47">
        <v>55120</v>
      </c>
      <c r="AG47">
        <v>6890</v>
      </c>
      <c r="AH47">
        <v>0</v>
      </c>
      <c r="AI47">
        <v>48230</v>
      </c>
      <c r="AJ47" t="s">
        <v>95</v>
      </c>
      <c r="AK47" t="s">
        <v>148</v>
      </c>
      <c r="AL47">
        <v>2002</v>
      </c>
      <c r="AM47" t="s">
        <v>82</v>
      </c>
      <c r="AN47" s="2">
        <f t="shared" si="0"/>
        <v>37.87196910878572</v>
      </c>
      <c r="AO47">
        <f t="shared" si="1"/>
        <v>-53665.57</v>
      </c>
      <c r="AP47" s="2">
        <f t="shared" si="2"/>
        <v>2.6386132327062283E-2</v>
      </c>
      <c r="AQ47" s="2">
        <f t="shared" si="6"/>
        <v>13</v>
      </c>
      <c r="AR47">
        <f t="shared" si="3"/>
        <v>265</v>
      </c>
      <c r="AS47" t="str">
        <f t="shared" si="4"/>
        <v>High Claim Ratio</v>
      </c>
      <c r="AT47" t="str">
        <f t="shared" si="5"/>
        <v>High Profit</v>
      </c>
    </row>
    <row r="48" spans="1:46" x14ac:dyDescent="0.2">
      <c r="A48">
        <v>163</v>
      </c>
      <c r="B48">
        <v>33</v>
      </c>
      <c r="C48">
        <v>529112</v>
      </c>
      <c r="D48" s="1">
        <v>32881</v>
      </c>
      <c r="E48" t="s">
        <v>57</v>
      </c>
      <c r="F48" t="s">
        <v>69</v>
      </c>
      <c r="G48">
        <v>500</v>
      </c>
      <c r="H48">
        <v>1240.47</v>
      </c>
      <c r="I48">
        <v>0</v>
      </c>
      <c r="J48">
        <v>472573</v>
      </c>
      <c r="K48" t="s">
        <v>70</v>
      </c>
      <c r="L48" t="s">
        <v>92</v>
      </c>
      <c r="M48" t="s">
        <v>111</v>
      </c>
      <c r="N48" t="s">
        <v>173</v>
      </c>
      <c r="O48" t="s">
        <v>45</v>
      </c>
      <c r="P48">
        <v>35300</v>
      </c>
      <c r="Q48">
        <v>0</v>
      </c>
      <c r="R48" s="1">
        <v>42053</v>
      </c>
      <c r="S48" t="s">
        <v>75</v>
      </c>
      <c r="T48" t="s">
        <v>76</v>
      </c>
      <c r="U48" t="s">
        <v>107</v>
      </c>
      <c r="V48" t="s">
        <v>99</v>
      </c>
      <c r="W48" t="s">
        <v>121</v>
      </c>
      <c r="X48" t="s">
        <v>127</v>
      </c>
      <c r="Y48" t="s">
        <v>208</v>
      </c>
      <c r="Z48">
        <v>11</v>
      </c>
      <c r="AA48">
        <v>3</v>
      </c>
      <c r="AB48" t="s">
        <v>53</v>
      </c>
      <c r="AC48">
        <v>1</v>
      </c>
      <c r="AD48">
        <v>1</v>
      </c>
      <c r="AE48" t="s">
        <v>62</v>
      </c>
      <c r="AF48">
        <v>77110</v>
      </c>
      <c r="AG48">
        <v>0</v>
      </c>
      <c r="AH48">
        <v>14020</v>
      </c>
      <c r="AI48">
        <v>63090</v>
      </c>
      <c r="AJ48" t="s">
        <v>209</v>
      </c>
      <c r="AK48" t="s">
        <v>210</v>
      </c>
      <c r="AL48">
        <v>2014</v>
      </c>
      <c r="AM48" t="s">
        <v>82</v>
      </c>
      <c r="AN48" s="2">
        <f t="shared" si="0"/>
        <v>62.111851273087545</v>
      </c>
      <c r="AO48">
        <f t="shared" si="1"/>
        <v>-75869.53</v>
      </c>
      <c r="AP48" s="2">
        <f t="shared" si="2"/>
        <v>1.6086809923357238E-2</v>
      </c>
      <c r="AQ48" s="2">
        <f t="shared" si="6"/>
        <v>1</v>
      </c>
      <c r="AR48">
        <f t="shared" si="3"/>
        <v>163</v>
      </c>
      <c r="AS48" t="str">
        <f t="shared" si="4"/>
        <v>High Claim Ratio</v>
      </c>
      <c r="AT48" t="str">
        <f t="shared" si="5"/>
        <v>High Profit</v>
      </c>
    </row>
    <row r="49" spans="1:46" x14ac:dyDescent="0.2">
      <c r="A49">
        <v>355</v>
      </c>
      <c r="B49">
        <v>47</v>
      </c>
      <c r="C49">
        <v>939631</v>
      </c>
      <c r="D49" s="1">
        <v>32950</v>
      </c>
      <c r="E49" t="s">
        <v>39</v>
      </c>
      <c r="F49" t="s">
        <v>91</v>
      </c>
      <c r="G49">
        <v>2000</v>
      </c>
      <c r="H49">
        <v>1273.7</v>
      </c>
      <c r="I49">
        <v>4000000</v>
      </c>
      <c r="J49">
        <v>433473</v>
      </c>
      <c r="K49" t="s">
        <v>41</v>
      </c>
      <c r="L49" t="s">
        <v>141</v>
      </c>
      <c r="M49" t="s">
        <v>111</v>
      </c>
      <c r="N49" t="s">
        <v>170</v>
      </c>
      <c r="O49" t="s">
        <v>45</v>
      </c>
      <c r="P49">
        <v>0</v>
      </c>
      <c r="Q49">
        <v>0</v>
      </c>
      <c r="R49" s="1">
        <v>42014</v>
      </c>
      <c r="S49" t="s">
        <v>75</v>
      </c>
      <c r="T49" t="s">
        <v>86</v>
      </c>
      <c r="U49" t="s">
        <v>48</v>
      </c>
      <c r="V49" t="s">
        <v>99</v>
      </c>
      <c r="W49" t="s">
        <v>113</v>
      </c>
      <c r="X49" t="s">
        <v>87</v>
      </c>
      <c r="Y49" t="s">
        <v>211</v>
      </c>
      <c r="Z49">
        <v>19</v>
      </c>
      <c r="AA49">
        <v>3</v>
      </c>
      <c r="AB49" t="s">
        <v>79</v>
      </c>
      <c r="AC49">
        <v>2</v>
      </c>
      <c r="AD49">
        <v>1</v>
      </c>
      <c r="AE49" t="s">
        <v>79</v>
      </c>
      <c r="AF49">
        <v>62800</v>
      </c>
      <c r="AG49">
        <v>6280</v>
      </c>
      <c r="AH49">
        <v>6280</v>
      </c>
      <c r="AI49">
        <v>50240</v>
      </c>
      <c r="AJ49" t="s">
        <v>109</v>
      </c>
      <c r="AK49" t="s">
        <v>134</v>
      </c>
      <c r="AL49">
        <v>2003</v>
      </c>
      <c r="AM49" t="s">
        <v>56</v>
      </c>
      <c r="AN49" s="2">
        <f t="shared" si="0"/>
        <v>49.266494077037734</v>
      </c>
      <c r="AO49">
        <f t="shared" si="1"/>
        <v>-61526.3</v>
      </c>
      <c r="AP49" s="2">
        <f t="shared" si="2"/>
        <v>2.0281524179551282E-2</v>
      </c>
      <c r="AQ49" s="2">
        <f t="shared" si="6"/>
        <v>12</v>
      </c>
      <c r="AR49">
        <f t="shared" si="3"/>
        <v>355</v>
      </c>
      <c r="AS49" t="str">
        <f t="shared" si="4"/>
        <v>High Claim Ratio</v>
      </c>
      <c r="AT49" t="str">
        <f t="shared" si="5"/>
        <v>High Profit</v>
      </c>
    </row>
    <row r="50" spans="1:46" x14ac:dyDescent="0.2">
      <c r="A50">
        <v>175</v>
      </c>
      <c r="B50">
        <v>34</v>
      </c>
      <c r="C50">
        <v>866931</v>
      </c>
      <c r="D50" s="1">
        <v>39454</v>
      </c>
      <c r="E50" t="s">
        <v>57</v>
      </c>
      <c r="F50" t="s">
        <v>91</v>
      </c>
      <c r="G50">
        <v>1000</v>
      </c>
      <c r="H50">
        <v>1123.8699999999999</v>
      </c>
      <c r="I50">
        <v>8000000</v>
      </c>
      <c r="J50">
        <v>446326</v>
      </c>
      <c r="K50" t="s">
        <v>70</v>
      </c>
      <c r="L50" t="s">
        <v>71</v>
      </c>
      <c r="M50" t="s">
        <v>135</v>
      </c>
      <c r="N50" t="s">
        <v>126</v>
      </c>
      <c r="O50" t="s">
        <v>60</v>
      </c>
      <c r="P50">
        <v>0</v>
      </c>
      <c r="Q50">
        <v>0</v>
      </c>
      <c r="R50" s="1">
        <v>42061</v>
      </c>
      <c r="S50" t="s">
        <v>61</v>
      </c>
      <c r="T50" t="s">
        <v>62</v>
      </c>
      <c r="U50" t="s">
        <v>212</v>
      </c>
      <c r="V50" t="s">
        <v>49</v>
      </c>
      <c r="W50" t="s">
        <v>77</v>
      </c>
      <c r="X50" t="s">
        <v>87</v>
      </c>
      <c r="Y50" t="s">
        <v>213</v>
      </c>
      <c r="Z50">
        <v>5</v>
      </c>
      <c r="AA50">
        <v>1</v>
      </c>
      <c r="AB50" t="s">
        <v>62</v>
      </c>
      <c r="AC50">
        <v>2</v>
      </c>
      <c r="AD50">
        <v>0</v>
      </c>
      <c r="AE50" t="s">
        <v>53</v>
      </c>
      <c r="AF50">
        <v>7290</v>
      </c>
      <c r="AG50">
        <v>810</v>
      </c>
      <c r="AH50">
        <v>810</v>
      </c>
      <c r="AI50">
        <v>5670</v>
      </c>
      <c r="AJ50" t="s">
        <v>214</v>
      </c>
      <c r="AK50" t="s">
        <v>215</v>
      </c>
      <c r="AL50">
        <v>1995</v>
      </c>
      <c r="AM50" t="s">
        <v>82</v>
      </c>
      <c r="AN50" s="2">
        <f t="shared" si="0"/>
        <v>6.4807488865380005</v>
      </c>
      <c r="AO50">
        <f t="shared" si="1"/>
        <v>-6166.13</v>
      </c>
      <c r="AP50" s="2">
        <f t="shared" si="2"/>
        <v>0.15414483609930049</v>
      </c>
      <c r="AQ50" s="2">
        <f t="shared" si="6"/>
        <v>20</v>
      </c>
      <c r="AR50">
        <f t="shared" si="3"/>
        <v>175</v>
      </c>
      <c r="AS50" t="str">
        <f t="shared" si="4"/>
        <v>Medium Claim Ratio</v>
      </c>
      <c r="AT50" t="str">
        <f t="shared" si="5"/>
        <v>High Profit</v>
      </c>
    </row>
    <row r="51" spans="1:46" x14ac:dyDescent="0.2">
      <c r="A51">
        <v>192</v>
      </c>
      <c r="B51">
        <v>35</v>
      </c>
      <c r="C51">
        <v>582011</v>
      </c>
      <c r="D51" s="1">
        <v>35499</v>
      </c>
      <c r="E51" t="s">
        <v>83</v>
      </c>
      <c r="F51" t="s">
        <v>69</v>
      </c>
      <c r="G51">
        <v>1000</v>
      </c>
      <c r="H51">
        <v>1245.8900000000001</v>
      </c>
      <c r="I51">
        <v>0</v>
      </c>
      <c r="J51">
        <v>435481</v>
      </c>
      <c r="K51" t="s">
        <v>70</v>
      </c>
      <c r="L51" t="s">
        <v>124</v>
      </c>
      <c r="M51" t="s">
        <v>125</v>
      </c>
      <c r="N51" t="s">
        <v>146</v>
      </c>
      <c r="O51" t="s">
        <v>119</v>
      </c>
      <c r="P51">
        <v>0</v>
      </c>
      <c r="Q51">
        <v>-40300</v>
      </c>
      <c r="R51" s="1">
        <v>42005</v>
      </c>
      <c r="S51" t="s">
        <v>46</v>
      </c>
      <c r="T51" t="s">
        <v>76</v>
      </c>
      <c r="U51" t="s">
        <v>107</v>
      </c>
      <c r="V51" t="s">
        <v>120</v>
      </c>
      <c r="W51" t="s">
        <v>113</v>
      </c>
      <c r="X51" t="s">
        <v>102</v>
      </c>
      <c r="Y51" t="s">
        <v>216</v>
      </c>
      <c r="Z51">
        <v>19</v>
      </c>
      <c r="AA51">
        <v>1</v>
      </c>
      <c r="AB51" t="s">
        <v>79</v>
      </c>
      <c r="AC51">
        <v>0</v>
      </c>
      <c r="AD51">
        <v>0</v>
      </c>
      <c r="AE51" t="s">
        <v>62</v>
      </c>
      <c r="AF51">
        <v>76600</v>
      </c>
      <c r="AG51">
        <v>15320</v>
      </c>
      <c r="AH51">
        <v>7660</v>
      </c>
      <c r="AI51">
        <v>53620</v>
      </c>
      <c r="AJ51" t="s">
        <v>67</v>
      </c>
      <c r="AK51" t="s">
        <v>193</v>
      </c>
      <c r="AL51">
        <v>2000</v>
      </c>
      <c r="AM51" t="s">
        <v>82</v>
      </c>
      <c r="AN51" s="2">
        <f t="shared" si="0"/>
        <v>61.43284491815637</v>
      </c>
      <c r="AO51">
        <f t="shared" si="1"/>
        <v>-75354.11</v>
      </c>
      <c r="AP51" s="2">
        <f t="shared" si="2"/>
        <v>1.6264670174018617E-2</v>
      </c>
      <c r="AQ51" s="2">
        <f t="shared" si="6"/>
        <v>15</v>
      </c>
      <c r="AR51">
        <f t="shared" si="3"/>
        <v>192</v>
      </c>
      <c r="AS51" t="str">
        <f t="shared" si="4"/>
        <v>High Claim Ratio</v>
      </c>
      <c r="AT51" t="str">
        <f t="shared" si="5"/>
        <v>High Profit</v>
      </c>
    </row>
    <row r="52" spans="1:46" x14ac:dyDescent="0.2">
      <c r="A52">
        <v>430</v>
      </c>
      <c r="B52">
        <v>59</v>
      </c>
      <c r="C52">
        <v>691189</v>
      </c>
      <c r="D52" s="1">
        <v>37996</v>
      </c>
      <c r="E52" t="s">
        <v>39</v>
      </c>
      <c r="F52" t="s">
        <v>40</v>
      </c>
      <c r="G52">
        <v>2000</v>
      </c>
      <c r="H52">
        <v>1326.62</v>
      </c>
      <c r="I52">
        <v>7000000</v>
      </c>
      <c r="J52">
        <v>477310</v>
      </c>
      <c r="K52" t="s">
        <v>41</v>
      </c>
      <c r="L52" t="s">
        <v>42</v>
      </c>
      <c r="M52" t="s">
        <v>111</v>
      </c>
      <c r="N52" t="s">
        <v>98</v>
      </c>
      <c r="O52" t="s">
        <v>74</v>
      </c>
      <c r="P52">
        <v>0</v>
      </c>
      <c r="Q52">
        <v>0</v>
      </c>
      <c r="R52" s="1">
        <v>42007</v>
      </c>
      <c r="S52" t="s">
        <v>75</v>
      </c>
      <c r="T52" t="s">
        <v>86</v>
      </c>
      <c r="U52" t="s">
        <v>63</v>
      </c>
      <c r="V52" t="s">
        <v>99</v>
      </c>
      <c r="W52" t="s">
        <v>77</v>
      </c>
      <c r="X52" t="s">
        <v>65</v>
      </c>
      <c r="Y52" t="s">
        <v>217</v>
      </c>
      <c r="Z52">
        <v>19</v>
      </c>
      <c r="AA52">
        <v>3</v>
      </c>
      <c r="AB52" t="s">
        <v>62</v>
      </c>
      <c r="AC52">
        <v>0</v>
      </c>
      <c r="AD52">
        <v>3</v>
      </c>
      <c r="AE52" t="s">
        <v>53</v>
      </c>
      <c r="AF52">
        <v>81800</v>
      </c>
      <c r="AG52">
        <v>16360</v>
      </c>
      <c r="AH52">
        <v>8180</v>
      </c>
      <c r="AI52">
        <v>57260</v>
      </c>
      <c r="AJ52" t="s">
        <v>104</v>
      </c>
      <c r="AK52" t="s">
        <v>105</v>
      </c>
      <c r="AL52">
        <v>1998</v>
      </c>
      <c r="AM52" t="s">
        <v>82</v>
      </c>
      <c r="AN52" s="2">
        <f t="shared" si="0"/>
        <v>61.614016058812012</v>
      </c>
      <c r="AO52">
        <f t="shared" si="1"/>
        <v>-80473.38</v>
      </c>
      <c r="AP52" s="2">
        <f t="shared" si="2"/>
        <v>1.6217650150976148E-2</v>
      </c>
      <c r="AQ52" s="2">
        <f t="shared" si="6"/>
        <v>17</v>
      </c>
      <c r="AR52">
        <f t="shared" si="3"/>
        <v>430</v>
      </c>
      <c r="AS52" t="str">
        <f t="shared" si="4"/>
        <v>High Claim Ratio</v>
      </c>
      <c r="AT52" t="str">
        <f t="shared" si="5"/>
        <v>High Profit</v>
      </c>
    </row>
    <row r="53" spans="1:46" x14ac:dyDescent="0.2">
      <c r="A53">
        <v>91</v>
      </c>
      <c r="B53">
        <v>27</v>
      </c>
      <c r="C53">
        <v>537546</v>
      </c>
      <c r="D53" s="1">
        <v>34566</v>
      </c>
      <c r="E53" t="s">
        <v>83</v>
      </c>
      <c r="F53" t="s">
        <v>69</v>
      </c>
      <c r="G53">
        <v>2000</v>
      </c>
      <c r="H53">
        <v>1073.83</v>
      </c>
      <c r="I53">
        <v>0</v>
      </c>
      <c r="J53">
        <v>609930</v>
      </c>
      <c r="K53" t="s">
        <v>70</v>
      </c>
      <c r="L53" t="s">
        <v>161</v>
      </c>
      <c r="M53" t="s">
        <v>189</v>
      </c>
      <c r="N53" t="s">
        <v>173</v>
      </c>
      <c r="O53" t="s">
        <v>45</v>
      </c>
      <c r="P53">
        <v>0</v>
      </c>
      <c r="Q53">
        <v>0</v>
      </c>
      <c r="R53" s="1">
        <v>42021</v>
      </c>
      <c r="S53" t="s">
        <v>61</v>
      </c>
      <c r="T53" t="s">
        <v>62</v>
      </c>
      <c r="U53" t="s">
        <v>212</v>
      </c>
      <c r="V53" t="s">
        <v>93</v>
      </c>
      <c r="W53" t="s">
        <v>77</v>
      </c>
      <c r="X53" t="s">
        <v>87</v>
      </c>
      <c r="Y53" t="s">
        <v>218</v>
      </c>
      <c r="Z53">
        <v>4</v>
      </c>
      <c r="AA53">
        <v>1</v>
      </c>
      <c r="AB53" t="s">
        <v>62</v>
      </c>
      <c r="AC53">
        <v>1</v>
      </c>
      <c r="AD53">
        <v>2</v>
      </c>
      <c r="AE53" t="s">
        <v>62</v>
      </c>
      <c r="AF53">
        <v>7260</v>
      </c>
      <c r="AG53">
        <v>1320</v>
      </c>
      <c r="AH53">
        <v>660</v>
      </c>
      <c r="AI53">
        <v>5280</v>
      </c>
      <c r="AJ53" t="s">
        <v>187</v>
      </c>
      <c r="AK53" t="s">
        <v>201</v>
      </c>
      <c r="AL53">
        <v>2008</v>
      </c>
      <c r="AM53" t="s">
        <v>82</v>
      </c>
      <c r="AN53" s="2">
        <f t="shared" si="0"/>
        <v>6.7545565345217389</v>
      </c>
      <c r="AO53">
        <f t="shared" si="1"/>
        <v>-6186.17</v>
      </c>
      <c r="AP53" s="2">
        <f t="shared" si="2"/>
        <v>0.14789009778267456</v>
      </c>
      <c r="AQ53" s="2">
        <f t="shared" si="6"/>
        <v>7</v>
      </c>
      <c r="AR53">
        <f t="shared" si="3"/>
        <v>91</v>
      </c>
      <c r="AS53" t="str">
        <f t="shared" si="4"/>
        <v>Medium Claim Ratio</v>
      </c>
      <c r="AT53" t="str">
        <f t="shared" si="5"/>
        <v>High Profit</v>
      </c>
    </row>
    <row r="54" spans="1:46" x14ac:dyDescent="0.2">
      <c r="A54">
        <v>217</v>
      </c>
      <c r="B54">
        <v>39</v>
      </c>
      <c r="C54">
        <v>394975</v>
      </c>
      <c r="D54" s="1">
        <v>37409</v>
      </c>
      <c r="E54" t="s">
        <v>57</v>
      </c>
      <c r="F54" t="s">
        <v>69</v>
      </c>
      <c r="G54">
        <v>1000</v>
      </c>
      <c r="H54">
        <v>1530.52</v>
      </c>
      <c r="I54">
        <v>0</v>
      </c>
      <c r="J54">
        <v>603993</v>
      </c>
      <c r="K54" t="s">
        <v>41</v>
      </c>
      <c r="L54" t="s">
        <v>141</v>
      </c>
      <c r="M54" t="s">
        <v>84</v>
      </c>
      <c r="N54" t="s">
        <v>179</v>
      </c>
      <c r="O54" t="s">
        <v>142</v>
      </c>
      <c r="P54">
        <v>0</v>
      </c>
      <c r="Q54">
        <v>0</v>
      </c>
      <c r="R54" s="1">
        <v>42057</v>
      </c>
      <c r="S54" t="s">
        <v>61</v>
      </c>
      <c r="T54" t="s">
        <v>62</v>
      </c>
      <c r="U54" t="s">
        <v>63</v>
      </c>
      <c r="V54" t="s">
        <v>93</v>
      </c>
      <c r="W54" t="s">
        <v>113</v>
      </c>
      <c r="X54" t="s">
        <v>127</v>
      </c>
      <c r="Y54" t="s">
        <v>219</v>
      </c>
      <c r="Z54">
        <v>8</v>
      </c>
      <c r="AA54">
        <v>1</v>
      </c>
      <c r="AB54" t="s">
        <v>62</v>
      </c>
      <c r="AC54">
        <v>2</v>
      </c>
      <c r="AD54">
        <v>1</v>
      </c>
      <c r="AE54" t="s">
        <v>53</v>
      </c>
      <c r="AF54">
        <v>4300</v>
      </c>
      <c r="AG54">
        <v>430</v>
      </c>
      <c r="AH54">
        <v>430</v>
      </c>
      <c r="AI54">
        <v>3440</v>
      </c>
      <c r="AJ54" t="s">
        <v>115</v>
      </c>
      <c r="AK54" t="s">
        <v>183</v>
      </c>
      <c r="AL54">
        <v>2000</v>
      </c>
      <c r="AM54" t="s">
        <v>82</v>
      </c>
      <c r="AN54" s="2">
        <f t="shared" si="0"/>
        <v>2.8076681989134977</v>
      </c>
      <c r="AO54">
        <f t="shared" si="1"/>
        <v>-2769.48</v>
      </c>
      <c r="AP54" s="2">
        <f t="shared" si="2"/>
        <v>0.35585212741222971</v>
      </c>
      <c r="AQ54" s="2">
        <f t="shared" si="6"/>
        <v>15</v>
      </c>
      <c r="AR54">
        <f t="shared" si="3"/>
        <v>217</v>
      </c>
      <c r="AS54" t="str">
        <f t="shared" si="4"/>
        <v>Low Claim Ratio</v>
      </c>
      <c r="AT54" t="str">
        <f t="shared" si="5"/>
        <v>Low Profit</v>
      </c>
    </row>
    <row r="55" spans="1:46" x14ac:dyDescent="0.2">
      <c r="A55">
        <v>223</v>
      </c>
      <c r="B55">
        <v>40</v>
      </c>
      <c r="C55">
        <v>729634</v>
      </c>
      <c r="D55" s="1">
        <v>34452</v>
      </c>
      <c r="E55" t="s">
        <v>57</v>
      </c>
      <c r="F55" t="s">
        <v>69</v>
      </c>
      <c r="G55">
        <v>500</v>
      </c>
      <c r="H55">
        <v>1201.4100000000001</v>
      </c>
      <c r="I55">
        <v>0</v>
      </c>
      <c r="J55">
        <v>437818</v>
      </c>
      <c r="K55" t="s">
        <v>70</v>
      </c>
      <c r="L55" t="s">
        <v>161</v>
      </c>
      <c r="M55" t="s">
        <v>117</v>
      </c>
      <c r="N55" t="s">
        <v>146</v>
      </c>
      <c r="O55" t="s">
        <v>45</v>
      </c>
      <c r="P55">
        <v>88400</v>
      </c>
      <c r="Q55">
        <v>-46500</v>
      </c>
      <c r="R55" s="1">
        <v>42031</v>
      </c>
      <c r="S55" t="s">
        <v>75</v>
      </c>
      <c r="T55" t="s">
        <v>47</v>
      </c>
      <c r="U55" t="s">
        <v>48</v>
      </c>
      <c r="V55" t="s">
        <v>49</v>
      </c>
      <c r="W55" t="s">
        <v>121</v>
      </c>
      <c r="X55" t="s">
        <v>51</v>
      </c>
      <c r="Y55" t="s">
        <v>220</v>
      </c>
      <c r="Z55">
        <v>7</v>
      </c>
      <c r="AA55">
        <v>3</v>
      </c>
      <c r="AB55" t="s">
        <v>53</v>
      </c>
      <c r="AC55">
        <v>1</v>
      </c>
      <c r="AD55">
        <v>0</v>
      </c>
      <c r="AE55" t="s">
        <v>62</v>
      </c>
      <c r="AF55">
        <v>70510</v>
      </c>
      <c r="AG55">
        <v>12820</v>
      </c>
      <c r="AH55">
        <v>12820</v>
      </c>
      <c r="AI55">
        <v>44870</v>
      </c>
      <c r="AJ55" t="s">
        <v>153</v>
      </c>
      <c r="AK55" t="s">
        <v>167</v>
      </c>
      <c r="AL55">
        <v>1999</v>
      </c>
      <c r="AM55" t="s">
        <v>82</v>
      </c>
      <c r="AN55" s="2">
        <f t="shared" si="0"/>
        <v>58.640563534900735</v>
      </c>
      <c r="AO55">
        <f t="shared" si="1"/>
        <v>-69308.59</v>
      </c>
      <c r="AP55" s="2">
        <f t="shared" si="2"/>
        <v>1.7038618087957907E-2</v>
      </c>
      <c r="AQ55" s="2">
        <f t="shared" si="6"/>
        <v>16</v>
      </c>
      <c r="AR55">
        <f t="shared" si="3"/>
        <v>223</v>
      </c>
      <c r="AS55" t="str">
        <f t="shared" si="4"/>
        <v>High Claim Ratio</v>
      </c>
      <c r="AT55" t="str">
        <f t="shared" si="5"/>
        <v>High Profit</v>
      </c>
    </row>
    <row r="56" spans="1:46" x14ac:dyDescent="0.2">
      <c r="A56">
        <v>195</v>
      </c>
      <c r="B56">
        <v>39</v>
      </c>
      <c r="C56">
        <v>282195</v>
      </c>
      <c r="D56" s="1">
        <v>41868</v>
      </c>
      <c r="E56" t="s">
        <v>39</v>
      </c>
      <c r="F56" t="s">
        <v>40</v>
      </c>
      <c r="G56">
        <v>1000</v>
      </c>
      <c r="H56">
        <v>1393.57</v>
      </c>
      <c r="I56">
        <v>0</v>
      </c>
      <c r="J56">
        <v>478423</v>
      </c>
      <c r="K56" t="s">
        <v>41</v>
      </c>
      <c r="L56" t="s">
        <v>71</v>
      </c>
      <c r="M56" t="s">
        <v>58</v>
      </c>
      <c r="N56" t="s">
        <v>146</v>
      </c>
      <c r="O56" t="s">
        <v>142</v>
      </c>
      <c r="P56">
        <v>47600</v>
      </c>
      <c r="Q56">
        <v>-39600</v>
      </c>
      <c r="R56" s="1">
        <v>42062</v>
      </c>
      <c r="S56" t="s">
        <v>138</v>
      </c>
      <c r="T56" t="s">
        <v>62</v>
      </c>
      <c r="U56" t="s">
        <v>63</v>
      </c>
      <c r="V56" t="s">
        <v>49</v>
      </c>
      <c r="W56" t="s">
        <v>64</v>
      </c>
      <c r="X56" t="s">
        <v>127</v>
      </c>
      <c r="Y56" t="s">
        <v>221</v>
      </c>
      <c r="Z56">
        <v>5</v>
      </c>
      <c r="AA56">
        <v>1</v>
      </c>
      <c r="AB56" t="s">
        <v>79</v>
      </c>
      <c r="AC56">
        <v>0</v>
      </c>
      <c r="AD56">
        <v>1</v>
      </c>
      <c r="AE56" t="s">
        <v>53</v>
      </c>
      <c r="AF56">
        <v>2640</v>
      </c>
      <c r="AG56">
        <v>480</v>
      </c>
      <c r="AH56">
        <v>480</v>
      </c>
      <c r="AI56">
        <v>1680</v>
      </c>
      <c r="AJ56" t="s">
        <v>129</v>
      </c>
      <c r="AK56" t="s">
        <v>130</v>
      </c>
      <c r="AL56">
        <v>2009</v>
      </c>
      <c r="AM56" t="s">
        <v>82</v>
      </c>
      <c r="AN56" s="2">
        <f t="shared" si="0"/>
        <v>1.8930566411151826</v>
      </c>
      <c r="AO56">
        <f t="shared" si="1"/>
        <v>-1246.43</v>
      </c>
      <c r="AP56" s="2">
        <f t="shared" si="2"/>
        <v>0.52766755017039002</v>
      </c>
      <c r="AQ56" s="2">
        <f t="shared" si="6"/>
        <v>6</v>
      </c>
      <c r="AR56">
        <f t="shared" si="3"/>
        <v>195</v>
      </c>
      <c r="AS56" t="str">
        <f t="shared" si="4"/>
        <v>Low Claim Ratio</v>
      </c>
      <c r="AT56" t="str">
        <f t="shared" si="5"/>
        <v>Low Profit</v>
      </c>
    </row>
    <row r="57" spans="1:46" x14ac:dyDescent="0.2">
      <c r="A57">
        <v>22</v>
      </c>
      <c r="B57">
        <v>26</v>
      </c>
      <c r="C57">
        <v>420810</v>
      </c>
      <c r="D57" s="1">
        <v>39305</v>
      </c>
      <c r="E57" t="s">
        <v>39</v>
      </c>
      <c r="F57" t="s">
        <v>69</v>
      </c>
      <c r="G57">
        <v>1000</v>
      </c>
      <c r="H57">
        <v>1276.57</v>
      </c>
      <c r="I57">
        <v>0</v>
      </c>
      <c r="J57">
        <v>467784</v>
      </c>
      <c r="K57" t="s">
        <v>41</v>
      </c>
      <c r="L57" t="s">
        <v>71</v>
      </c>
      <c r="M57" t="s">
        <v>43</v>
      </c>
      <c r="N57" t="s">
        <v>132</v>
      </c>
      <c r="O57" t="s">
        <v>142</v>
      </c>
      <c r="P57">
        <v>71500</v>
      </c>
      <c r="Q57">
        <v>0</v>
      </c>
      <c r="R57" s="1">
        <v>42010</v>
      </c>
      <c r="S57" t="s">
        <v>46</v>
      </c>
      <c r="T57" t="s">
        <v>76</v>
      </c>
      <c r="U57" t="s">
        <v>63</v>
      </c>
      <c r="V57" t="s">
        <v>99</v>
      </c>
      <c r="W57" t="s">
        <v>77</v>
      </c>
      <c r="X57" t="s">
        <v>87</v>
      </c>
      <c r="Y57" t="s">
        <v>222</v>
      </c>
      <c r="Z57">
        <v>3</v>
      </c>
      <c r="AA57">
        <v>1</v>
      </c>
      <c r="AB57" t="s">
        <v>53</v>
      </c>
      <c r="AC57">
        <v>1</v>
      </c>
      <c r="AD57">
        <v>2</v>
      </c>
      <c r="AE57" t="s">
        <v>79</v>
      </c>
      <c r="AF57">
        <v>78900</v>
      </c>
      <c r="AG57">
        <v>15780</v>
      </c>
      <c r="AH57">
        <v>7890</v>
      </c>
      <c r="AI57">
        <v>55230</v>
      </c>
      <c r="AJ57" t="s">
        <v>89</v>
      </c>
      <c r="AK57" t="s">
        <v>223</v>
      </c>
      <c r="AL57">
        <v>1995</v>
      </c>
      <c r="AM57" t="s">
        <v>82</v>
      </c>
      <c r="AN57" s="2">
        <f t="shared" si="0"/>
        <v>61.757868453391993</v>
      </c>
      <c r="AO57">
        <f t="shared" si="1"/>
        <v>-77623.429999999993</v>
      </c>
      <c r="AP57" s="2">
        <f t="shared" si="2"/>
        <v>1.6179389361351566E-2</v>
      </c>
      <c r="AQ57" s="2">
        <f t="shared" si="6"/>
        <v>20</v>
      </c>
      <c r="AR57">
        <f t="shared" si="3"/>
        <v>22</v>
      </c>
      <c r="AS57" t="str">
        <f t="shared" si="4"/>
        <v>High Claim Ratio</v>
      </c>
      <c r="AT57" t="str">
        <f t="shared" si="5"/>
        <v>High Profit</v>
      </c>
    </row>
    <row r="58" spans="1:46" x14ac:dyDescent="0.2">
      <c r="A58">
        <v>439</v>
      </c>
      <c r="B58">
        <v>56</v>
      </c>
      <c r="C58">
        <v>524836</v>
      </c>
      <c r="D58" s="1">
        <v>39772</v>
      </c>
      <c r="E58" t="s">
        <v>57</v>
      </c>
      <c r="F58" t="s">
        <v>40</v>
      </c>
      <c r="G58">
        <v>500</v>
      </c>
      <c r="H58">
        <v>1082.49</v>
      </c>
      <c r="I58">
        <v>0</v>
      </c>
      <c r="J58">
        <v>606714</v>
      </c>
      <c r="K58" t="s">
        <v>70</v>
      </c>
      <c r="L58" t="s">
        <v>71</v>
      </c>
      <c r="M58" t="s">
        <v>101</v>
      </c>
      <c r="N58" t="s">
        <v>168</v>
      </c>
      <c r="O58" t="s">
        <v>85</v>
      </c>
      <c r="P58">
        <v>36100</v>
      </c>
      <c r="Q58">
        <v>-55000</v>
      </c>
      <c r="R58" s="1">
        <v>42063</v>
      </c>
      <c r="S58" t="s">
        <v>75</v>
      </c>
      <c r="T58" t="s">
        <v>86</v>
      </c>
      <c r="U58" t="s">
        <v>48</v>
      </c>
      <c r="V58" t="s">
        <v>99</v>
      </c>
      <c r="W58" t="s">
        <v>50</v>
      </c>
      <c r="X58" t="s">
        <v>51</v>
      </c>
      <c r="Y58" t="s">
        <v>224</v>
      </c>
      <c r="Z58">
        <v>12</v>
      </c>
      <c r="AA58">
        <v>3</v>
      </c>
      <c r="AB58" t="s">
        <v>62</v>
      </c>
      <c r="AC58">
        <v>2</v>
      </c>
      <c r="AD58">
        <v>3</v>
      </c>
      <c r="AE58" t="s">
        <v>62</v>
      </c>
      <c r="AF58">
        <v>56430</v>
      </c>
      <c r="AG58">
        <v>0</v>
      </c>
      <c r="AH58">
        <v>6270</v>
      </c>
      <c r="AI58">
        <v>50160</v>
      </c>
      <c r="AJ58" t="s">
        <v>209</v>
      </c>
      <c r="AK58" t="s">
        <v>225</v>
      </c>
      <c r="AL58">
        <v>2014</v>
      </c>
      <c r="AM58" t="s">
        <v>82</v>
      </c>
      <c r="AN58" s="2">
        <f t="shared" si="0"/>
        <v>52.081698954305068</v>
      </c>
      <c r="AO58">
        <f t="shared" si="1"/>
        <v>-55347.51</v>
      </c>
      <c r="AP58" s="2">
        <f t="shared" si="2"/>
        <v>1.9182541510871683E-2</v>
      </c>
      <c r="AQ58" s="2">
        <f t="shared" si="6"/>
        <v>1</v>
      </c>
      <c r="AR58">
        <f t="shared" si="3"/>
        <v>439</v>
      </c>
      <c r="AS58" t="str">
        <f t="shared" si="4"/>
        <v>High Claim Ratio</v>
      </c>
      <c r="AT58" t="str">
        <f t="shared" si="5"/>
        <v>High Profit</v>
      </c>
    </row>
    <row r="59" spans="1:46" x14ac:dyDescent="0.2">
      <c r="A59">
        <v>94</v>
      </c>
      <c r="B59">
        <v>32</v>
      </c>
      <c r="C59">
        <v>307195</v>
      </c>
      <c r="D59" s="1">
        <v>34990</v>
      </c>
      <c r="E59" t="s">
        <v>57</v>
      </c>
      <c r="F59" t="s">
        <v>91</v>
      </c>
      <c r="G59">
        <v>1000</v>
      </c>
      <c r="H59">
        <v>1414.74</v>
      </c>
      <c r="I59">
        <v>0</v>
      </c>
      <c r="J59">
        <v>464691</v>
      </c>
      <c r="K59" t="s">
        <v>70</v>
      </c>
      <c r="L59" t="s">
        <v>124</v>
      </c>
      <c r="M59" t="s">
        <v>185</v>
      </c>
      <c r="N59" t="s">
        <v>149</v>
      </c>
      <c r="O59" t="s">
        <v>74</v>
      </c>
      <c r="P59">
        <v>0</v>
      </c>
      <c r="Q59">
        <v>0</v>
      </c>
      <c r="R59" s="1">
        <v>42057</v>
      </c>
      <c r="S59" t="s">
        <v>138</v>
      </c>
      <c r="T59" t="s">
        <v>62</v>
      </c>
      <c r="U59" t="s">
        <v>63</v>
      </c>
      <c r="V59" t="s">
        <v>93</v>
      </c>
      <c r="W59" t="s">
        <v>64</v>
      </c>
      <c r="X59" t="s">
        <v>65</v>
      </c>
      <c r="Y59" t="s">
        <v>226</v>
      </c>
      <c r="Z59">
        <v>19</v>
      </c>
      <c r="AA59">
        <v>1</v>
      </c>
      <c r="AB59" t="s">
        <v>79</v>
      </c>
      <c r="AC59">
        <v>1</v>
      </c>
      <c r="AD59">
        <v>3</v>
      </c>
      <c r="AE59" t="s">
        <v>79</v>
      </c>
      <c r="AF59">
        <v>2400</v>
      </c>
      <c r="AG59">
        <v>300</v>
      </c>
      <c r="AH59">
        <v>300</v>
      </c>
      <c r="AI59">
        <v>1800</v>
      </c>
      <c r="AJ59" t="s">
        <v>89</v>
      </c>
      <c r="AK59" t="s">
        <v>223</v>
      </c>
      <c r="AL59">
        <v>2014</v>
      </c>
      <c r="AM59" t="s">
        <v>82</v>
      </c>
      <c r="AN59" s="2">
        <f t="shared" si="0"/>
        <v>1.6952265246443556</v>
      </c>
      <c r="AO59">
        <f t="shared" si="1"/>
        <v>-985.26</v>
      </c>
      <c r="AP59" s="2">
        <f t="shared" si="2"/>
        <v>0.58922948771345274</v>
      </c>
      <c r="AQ59" s="2">
        <f t="shared" si="6"/>
        <v>1</v>
      </c>
      <c r="AR59">
        <f t="shared" si="3"/>
        <v>94</v>
      </c>
      <c r="AS59" t="str">
        <f t="shared" si="4"/>
        <v>Low Claim Ratio</v>
      </c>
      <c r="AT59" t="str">
        <f t="shared" si="5"/>
        <v>Low Profit</v>
      </c>
    </row>
    <row r="60" spans="1:46" x14ac:dyDescent="0.2">
      <c r="A60">
        <v>11</v>
      </c>
      <c r="B60">
        <v>39</v>
      </c>
      <c r="C60">
        <v>623648</v>
      </c>
      <c r="D60" s="1">
        <v>34108</v>
      </c>
      <c r="E60" t="s">
        <v>83</v>
      </c>
      <c r="F60" t="s">
        <v>40</v>
      </c>
      <c r="G60">
        <v>2000</v>
      </c>
      <c r="H60">
        <v>1470.06</v>
      </c>
      <c r="I60">
        <v>0</v>
      </c>
      <c r="J60">
        <v>431683</v>
      </c>
      <c r="K60" t="s">
        <v>41</v>
      </c>
      <c r="L60" t="s">
        <v>71</v>
      </c>
      <c r="M60" t="s">
        <v>111</v>
      </c>
      <c r="N60" t="s">
        <v>155</v>
      </c>
      <c r="O60" t="s">
        <v>45</v>
      </c>
      <c r="P60">
        <v>56600</v>
      </c>
      <c r="Q60">
        <v>-45800</v>
      </c>
      <c r="R60" s="1">
        <v>42011</v>
      </c>
      <c r="S60" t="s">
        <v>46</v>
      </c>
      <c r="T60" t="s">
        <v>86</v>
      </c>
      <c r="U60" t="s">
        <v>107</v>
      </c>
      <c r="V60" t="s">
        <v>136</v>
      </c>
      <c r="W60" t="s">
        <v>113</v>
      </c>
      <c r="X60" t="s">
        <v>65</v>
      </c>
      <c r="Y60" t="s">
        <v>227</v>
      </c>
      <c r="Z60">
        <v>22</v>
      </c>
      <c r="AA60">
        <v>1</v>
      </c>
      <c r="AB60" t="s">
        <v>53</v>
      </c>
      <c r="AC60">
        <v>0</v>
      </c>
      <c r="AD60">
        <v>1</v>
      </c>
      <c r="AE60" t="s">
        <v>79</v>
      </c>
      <c r="AF60">
        <v>65790</v>
      </c>
      <c r="AG60">
        <v>7310</v>
      </c>
      <c r="AH60">
        <v>7310</v>
      </c>
      <c r="AI60">
        <v>51170</v>
      </c>
      <c r="AJ60" t="s">
        <v>54</v>
      </c>
      <c r="AK60">
        <v>93</v>
      </c>
      <c r="AL60">
        <v>2007</v>
      </c>
      <c r="AM60" t="s">
        <v>82</v>
      </c>
      <c r="AN60" s="2">
        <f t="shared" si="0"/>
        <v>44.722852908786862</v>
      </c>
      <c r="AO60">
        <f t="shared" si="1"/>
        <v>-64319.94</v>
      </c>
      <c r="AP60" s="2">
        <f t="shared" si="2"/>
        <v>2.2344393610068247E-2</v>
      </c>
      <c r="AQ60" s="2">
        <f t="shared" si="6"/>
        <v>8</v>
      </c>
      <c r="AR60">
        <f t="shared" si="3"/>
        <v>11</v>
      </c>
      <c r="AS60" t="str">
        <f t="shared" si="4"/>
        <v>High Claim Ratio</v>
      </c>
      <c r="AT60" t="str">
        <f t="shared" si="5"/>
        <v>High Profit</v>
      </c>
    </row>
    <row r="61" spans="1:46" x14ac:dyDescent="0.2">
      <c r="A61">
        <v>151</v>
      </c>
      <c r="B61">
        <v>36</v>
      </c>
      <c r="C61">
        <v>485372</v>
      </c>
      <c r="D61" s="1">
        <v>38409</v>
      </c>
      <c r="E61" t="s">
        <v>39</v>
      </c>
      <c r="F61" t="s">
        <v>40</v>
      </c>
      <c r="G61">
        <v>2000</v>
      </c>
      <c r="H61">
        <v>870.63</v>
      </c>
      <c r="I61">
        <v>0</v>
      </c>
      <c r="J61">
        <v>431725</v>
      </c>
      <c r="K61" t="s">
        <v>70</v>
      </c>
      <c r="L61" t="s">
        <v>42</v>
      </c>
      <c r="M61" t="s">
        <v>185</v>
      </c>
      <c r="N61" t="s">
        <v>170</v>
      </c>
      <c r="O61" t="s">
        <v>74</v>
      </c>
      <c r="P61">
        <v>94800</v>
      </c>
      <c r="Q61">
        <v>-58500</v>
      </c>
      <c r="R61" s="1">
        <v>42010</v>
      </c>
      <c r="S61" t="s">
        <v>75</v>
      </c>
      <c r="T61" t="s">
        <v>47</v>
      </c>
      <c r="U61" t="s">
        <v>63</v>
      </c>
      <c r="V61" t="s">
        <v>49</v>
      </c>
      <c r="W61" t="s">
        <v>64</v>
      </c>
      <c r="X61" t="s">
        <v>122</v>
      </c>
      <c r="Y61" t="s">
        <v>228</v>
      </c>
      <c r="Z61">
        <v>12</v>
      </c>
      <c r="AA61">
        <v>3</v>
      </c>
      <c r="AB61" t="s">
        <v>79</v>
      </c>
      <c r="AC61">
        <v>1</v>
      </c>
      <c r="AD61">
        <v>1</v>
      </c>
      <c r="AE61" t="s">
        <v>79</v>
      </c>
      <c r="AF61">
        <v>62920</v>
      </c>
      <c r="AG61">
        <v>11440</v>
      </c>
      <c r="AH61">
        <v>5720</v>
      </c>
      <c r="AI61">
        <v>45760</v>
      </c>
      <c r="AJ61" t="s">
        <v>129</v>
      </c>
      <c r="AK61" t="s">
        <v>172</v>
      </c>
      <c r="AL61">
        <v>2000</v>
      </c>
      <c r="AM61" t="s">
        <v>82</v>
      </c>
      <c r="AN61" s="2">
        <f t="shared" si="0"/>
        <v>72.186592935075666</v>
      </c>
      <c r="AO61">
        <f t="shared" si="1"/>
        <v>-62049.37</v>
      </c>
      <c r="AP61" s="2">
        <f t="shared" si="2"/>
        <v>1.3836874811271277E-2</v>
      </c>
      <c r="AQ61" s="2">
        <f t="shared" si="6"/>
        <v>15</v>
      </c>
      <c r="AR61">
        <f t="shared" si="3"/>
        <v>151</v>
      </c>
      <c r="AS61" t="str">
        <f t="shared" si="4"/>
        <v>High Claim Ratio</v>
      </c>
      <c r="AT61" t="str">
        <f t="shared" si="5"/>
        <v>High Profit</v>
      </c>
    </row>
    <row r="62" spans="1:46" x14ac:dyDescent="0.2">
      <c r="A62">
        <v>154</v>
      </c>
      <c r="B62">
        <v>34</v>
      </c>
      <c r="C62">
        <v>598554</v>
      </c>
      <c r="D62" s="1">
        <v>32918</v>
      </c>
      <c r="E62" t="s">
        <v>57</v>
      </c>
      <c r="F62" t="s">
        <v>69</v>
      </c>
      <c r="G62">
        <v>500</v>
      </c>
      <c r="H62">
        <v>795.23</v>
      </c>
      <c r="I62">
        <v>0</v>
      </c>
      <c r="J62">
        <v>609216</v>
      </c>
      <c r="K62" t="s">
        <v>41</v>
      </c>
      <c r="L62" t="s">
        <v>71</v>
      </c>
      <c r="M62" t="s">
        <v>58</v>
      </c>
      <c r="N62" t="s">
        <v>106</v>
      </c>
      <c r="O62" t="s">
        <v>60</v>
      </c>
      <c r="P62">
        <v>36900</v>
      </c>
      <c r="Q62">
        <v>0</v>
      </c>
      <c r="R62" s="1">
        <v>42014</v>
      </c>
      <c r="S62" t="s">
        <v>75</v>
      </c>
      <c r="T62" t="s">
        <v>76</v>
      </c>
      <c r="U62" t="s">
        <v>48</v>
      </c>
      <c r="V62" t="s">
        <v>49</v>
      </c>
      <c r="W62" t="s">
        <v>77</v>
      </c>
      <c r="X62" t="s">
        <v>102</v>
      </c>
      <c r="Y62" t="s">
        <v>229</v>
      </c>
      <c r="Z62">
        <v>15</v>
      </c>
      <c r="AA62">
        <v>3</v>
      </c>
      <c r="AB62" t="s">
        <v>53</v>
      </c>
      <c r="AC62">
        <v>2</v>
      </c>
      <c r="AD62">
        <v>1</v>
      </c>
      <c r="AE62" t="s">
        <v>62</v>
      </c>
      <c r="AF62">
        <v>69480</v>
      </c>
      <c r="AG62">
        <v>15440</v>
      </c>
      <c r="AH62">
        <v>0</v>
      </c>
      <c r="AI62">
        <v>54040</v>
      </c>
      <c r="AJ62" t="s">
        <v>104</v>
      </c>
      <c r="AK62" t="s">
        <v>151</v>
      </c>
      <c r="AL62">
        <v>2014</v>
      </c>
      <c r="AM62" t="s">
        <v>56</v>
      </c>
      <c r="AN62" s="2">
        <f t="shared" si="0"/>
        <v>87.261218492144224</v>
      </c>
      <c r="AO62">
        <f t="shared" si="1"/>
        <v>-68684.77</v>
      </c>
      <c r="AP62" s="2">
        <f t="shared" si="2"/>
        <v>1.144528720081749E-2</v>
      </c>
      <c r="AQ62" s="2">
        <f t="shared" si="6"/>
        <v>1</v>
      </c>
      <c r="AR62">
        <f t="shared" si="3"/>
        <v>154</v>
      </c>
      <c r="AS62" t="str">
        <f t="shared" si="4"/>
        <v>High Claim Ratio</v>
      </c>
      <c r="AT62" t="str">
        <f t="shared" si="5"/>
        <v>High Profit</v>
      </c>
    </row>
    <row r="63" spans="1:46" x14ac:dyDescent="0.2">
      <c r="A63">
        <v>245</v>
      </c>
      <c r="B63">
        <v>44</v>
      </c>
      <c r="C63">
        <v>303987</v>
      </c>
      <c r="D63" s="1">
        <v>34242</v>
      </c>
      <c r="E63" t="s">
        <v>83</v>
      </c>
      <c r="F63" t="s">
        <v>91</v>
      </c>
      <c r="G63">
        <v>1000</v>
      </c>
      <c r="H63">
        <v>1168.2</v>
      </c>
      <c r="I63">
        <v>0</v>
      </c>
      <c r="J63">
        <v>452787</v>
      </c>
      <c r="K63" t="s">
        <v>41</v>
      </c>
      <c r="L63" t="s">
        <v>161</v>
      </c>
      <c r="M63" t="s">
        <v>159</v>
      </c>
      <c r="N63" t="s">
        <v>179</v>
      </c>
      <c r="O63" t="s">
        <v>45</v>
      </c>
      <c r="P63">
        <v>69100</v>
      </c>
      <c r="Q63">
        <v>0</v>
      </c>
      <c r="R63" s="1">
        <v>42046</v>
      </c>
      <c r="S63" t="s">
        <v>75</v>
      </c>
      <c r="T63" t="s">
        <v>47</v>
      </c>
      <c r="U63" t="s">
        <v>107</v>
      </c>
      <c r="V63" t="s">
        <v>120</v>
      </c>
      <c r="W63" t="s">
        <v>39</v>
      </c>
      <c r="X63" t="s">
        <v>102</v>
      </c>
      <c r="Y63" t="s">
        <v>230</v>
      </c>
      <c r="Z63">
        <v>23</v>
      </c>
      <c r="AA63">
        <v>3</v>
      </c>
      <c r="AB63" t="s">
        <v>79</v>
      </c>
      <c r="AC63">
        <v>0</v>
      </c>
      <c r="AD63">
        <v>3</v>
      </c>
      <c r="AE63" t="s">
        <v>79</v>
      </c>
      <c r="AF63">
        <v>44280</v>
      </c>
      <c r="AG63">
        <v>7380</v>
      </c>
      <c r="AH63">
        <v>3690</v>
      </c>
      <c r="AI63">
        <v>33210</v>
      </c>
      <c r="AJ63" t="s">
        <v>209</v>
      </c>
      <c r="AK63" t="s">
        <v>231</v>
      </c>
      <c r="AL63">
        <v>1997</v>
      </c>
      <c r="AM63" t="s">
        <v>82</v>
      </c>
      <c r="AN63" s="2">
        <f t="shared" si="0"/>
        <v>37.872049264454326</v>
      </c>
      <c r="AO63">
        <f t="shared" si="1"/>
        <v>-43111.8</v>
      </c>
      <c r="AP63" s="2">
        <f t="shared" si="2"/>
        <v>2.638151803256476E-2</v>
      </c>
      <c r="AQ63" s="2">
        <f t="shared" si="6"/>
        <v>18</v>
      </c>
      <c r="AR63">
        <f t="shared" si="3"/>
        <v>245</v>
      </c>
      <c r="AS63" t="str">
        <f t="shared" si="4"/>
        <v>High Claim Ratio</v>
      </c>
      <c r="AT63" t="str">
        <f t="shared" si="5"/>
        <v>High Profit</v>
      </c>
    </row>
    <row r="64" spans="1:46" x14ac:dyDescent="0.2">
      <c r="A64">
        <v>119</v>
      </c>
      <c r="B64">
        <v>32</v>
      </c>
      <c r="C64">
        <v>343161</v>
      </c>
      <c r="D64" s="1">
        <v>41800</v>
      </c>
      <c r="E64" t="s">
        <v>83</v>
      </c>
      <c r="F64" t="s">
        <v>91</v>
      </c>
      <c r="G64">
        <v>1000</v>
      </c>
      <c r="H64">
        <v>993.51</v>
      </c>
      <c r="I64">
        <v>0</v>
      </c>
      <c r="J64">
        <v>468767</v>
      </c>
      <c r="K64" t="s">
        <v>41</v>
      </c>
      <c r="L64" t="s">
        <v>131</v>
      </c>
      <c r="M64" t="s">
        <v>84</v>
      </c>
      <c r="N64" t="s">
        <v>98</v>
      </c>
      <c r="O64" t="s">
        <v>85</v>
      </c>
      <c r="P64">
        <v>0</v>
      </c>
      <c r="Q64">
        <v>-49500</v>
      </c>
      <c r="R64" s="1">
        <v>42016</v>
      </c>
      <c r="S64" t="s">
        <v>46</v>
      </c>
      <c r="T64" t="s">
        <v>47</v>
      </c>
      <c r="U64" t="s">
        <v>63</v>
      </c>
      <c r="V64" t="s">
        <v>120</v>
      </c>
      <c r="W64" t="s">
        <v>113</v>
      </c>
      <c r="X64" t="s">
        <v>122</v>
      </c>
      <c r="Y64" t="s">
        <v>232</v>
      </c>
      <c r="Z64">
        <v>12</v>
      </c>
      <c r="AA64">
        <v>1</v>
      </c>
      <c r="AB64" t="s">
        <v>79</v>
      </c>
      <c r="AC64">
        <v>0</v>
      </c>
      <c r="AD64">
        <v>3</v>
      </c>
      <c r="AE64" t="s">
        <v>53</v>
      </c>
      <c r="AF64">
        <v>56300</v>
      </c>
      <c r="AG64">
        <v>5630</v>
      </c>
      <c r="AH64">
        <v>11260</v>
      </c>
      <c r="AI64">
        <v>39410</v>
      </c>
      <c r="AJ64" t="s">
        <v>187</v>
      </c>
      <c r="AK64" t="s">
        <v>201</v>
      </c>
      <c r="AL64">
        <v>2011</v>
      </c>
      <c r="AM64" t="s">
        <v>82</v>
      </c>
      <c r="AN64" s="2">
        <f t="shared" si="0"/>
        <v>56.610793254969785</v>
      </c>
      <c r="AO64">
        <f t="shared" si="1"/>
        <v>-55306.49</v>
      </c>
      <c r="AP64" s="2">
        <f t="shared" si="2"/>
        <v>1.764640059679224E-2</v>
      </c>
      <c r="AQ64" s="2">
        <f t="shared" si="6"/>
        <v>4</v>
      </c>
      <c r="AR64">
        <f t="shared" si="3"/>
        <v>119</v>
      </c>
      <c r="AS64" t="str">
        <f t="shared" si="4"/>
        <v>High Claim Ratio</v>
      </c>
      <c r="AT64" t="str">
        <f t="shared" si="5"/>
        <v>High Profit</v>
      </c>
    </row>
    <row r="65" spans="1:46" x14ac:dyDescent="0.2">
      <c r="A65">
        <v>215</v>
      </c>
      <c r="B65">
        <v>42</v>
      </c>
      <c r="C65">
        <v>519312</v>
      </c>
      <c r="D65" s="1">
        <v>39749</v>
      </c>
      <c r="E65" t="s">
        <v>39</v>
      </c>
      <c r="F65" t="s">
        <v>91</v>
      </c>
      <c r="G65">
        <v>500</v>
      </c>
      <c r="H65">
        <v>1848.81</v>
      </c>
      <c r="I65">
        <v>0</v>
      </c>
      <c r="J65">
        <v>435489</v>
      </c>
      <c r="K65" t="s">
        <v>41</v>
      </c>
      <c r="L65" t="s">
        <v>161</v>
      </c>
      <c r="M65" t="s">
        <v>145</v>
      </c>
      <c r="N65" t="s">
        <v>181</v>
      </c>
      <c r="O65" t="s">
        <v>74</v>
      </c>
      <c r="P65">
        <v>0</v>
      </c>
      <c r="Q65">
        <v>-49000</v>
      </c>
      <c r="R65" s="1">
        <v>42041</v>
      </c>
      <c r="S65" t="s">
        <v>75</v>
      </c>
      <c r="T65" t="s">
        <v>86</v>
      </c>
      <c r="U65" t="s">
        <v>48</v>
      </c>
      <c r="V65" t="s">
        <v>99</v>
      </c>
      <c r="W65" t="s">
        <v>113</v>
      </c>
      <c r="X65" t="s">
        <v>127</v>
      </c>
      <c r="Y65" t="s">
        <v>233</v>
      </c>
      <c r="Z65">
        <v>20</v>
      </c>
      <c r="AA65">
        <v>3</v>
      </c>
      <c r="AB65" t="s">
        <v>53</v>
      </c>
      <c r="AC65">
        <v>2</v>
      </c>
      <c r="AD65">
        <v>2</v>
      </c>
      <c r="AE65" t="s">
        <v>53</v>
      </c>
      <c r="AF65">
        <v>68520</v>
      </c>
      <c r="AG65">
        <v>11420</v>
      </c>
      <c r="AH65">
        <v>5710</v>
      </c>
      <c r="AI65">
        <v>51390</v>
      </c>
      <c r="AJ65" t="s">
        <v>153</v>
      </c>
      <c r="AK65" t="s">
        <v>154</v>
      </c>
      <c r="AL65">
        <v>2003</v>
      </c>
      <c r="AM65" t="s">
        <v>56</v>
      </c>
      <c r="AN65" s="2">
        <f t="shared" si="0"/>
        <v>37.041642114595554</v>
      </c>
      <c r="AO65">
        <f t="shared" si="1"/>
        <v>-66671.19</v>
      </c>
      <c r="AP65" s="2">
        <f t="shared" si="2"/>
        <v>2.6981655258971702E-2</v>
      </c>
      <c r="AQ65" s="2">
        <f t="shared" si="6"/>
        <v>12</v>
      </c>
      <c r="AR65">
        <f t="shared" si="3"/>
        <v>215</v>
      </c>
      <c r="AS65" t="str">
        <f t="shared" si="4"/>
        <v>High Claim Ratio</v>
      </c>
      <c r="AT65" t="str">
        <f t="shared" si="5"/>
        <v>High Profit</v>
      </c>
    </row>
    <row r="66" spans="1:46" x14ac:dyDescent="0.2">
      <c r="A66">
        <v>295</v>
      </c>
      <c r="B66">
        <v>42</v>
      </c>
      <c r="C66">
        <v>132902</v>
      </c>
      <c r="D66" s="1">
        <v>39196</v>
      </c>
      <c r="E66" t="s">
        <v>39</v>
      </c>
      <c r="F66" t="s">
        <v>40</v>
      </c>
      <c r="G66">
        <v>2000</v>
      </c>
      <c r="H66">
        <v>1641.73</v>
      </c>
      <c r="I66">
        <v>5000000</v>
      </c>
      <c r="J66">
        <v>450149</v>
      </c>
      <c r="K66" t="s">
        <v>41</v>
      </c>
      <c r="L66" t="s">
        <v>71</v>
      </c>
      <c r="M66" t="s">
        <v>72</v>
      </c>
      <c r="N66" t="s">
        <v>168</v>
      </c>
      <c r="O66" t="s">
        <v>142</v>
      </c>
      <c r="P66">
        <v>62400</v>
      </c>
      <c r="Q66">
        <v>0</v>
      </c>
      <c r="R66" s="1">
        <v>42024</v>
      </c>
      <c r="S66" t="s">
        <v>75</v>
      </c>
      <c r="T66" t="s">
        <v>76</v>
      </c>
      <c r="U66" t="s">
        <v>107</v>
      </c>
      <c r="V66" t="s">
        <v>99</v>
      </c>
      <c r="W66" t="s">
        <v>64</v>
      </c>
      <c r="X66" t="s">
        <v>65</v>
      </c>
      <c r="Y66" t="s">
        <v>234</v>
      </c>
      <c r="Z66">
        <v>16</v>
      </c>
      <c r="AA66">
        <v>3</v>
      </c>
      <c r="AB66" t="s">
        <v>79</v>
      </c>
      <c r="AC66">
        <v>0</v>
      </c>
      <c r="AD66">
        <v>0</v>
      </c>
      <c r="AE66" t="s">
        <v>79</v>
      </c>
      <c r="AF66">
        <v>59130</v>
      </c>
      <c r="AG66">
        <v>6570</v>
      </c>
      <c r="AH66">
        <v>6570</v>
      </c>
      <c r="AI66">
        <v>45990</v>
      </c>
      <c r="AJ66" t="s">
        <v>129</v>
      </c>
      <c r="AK66" t="s">
        <v>172</v>
      </c>
      <c r="AL66">
        <v>2006</v>
      </c>
      <c r="AM66" t="s">
        <v>56</v>
      </c>
      <c r="AN66" s="2">
        <f t="shared" si="0"/>
        <v>35.994959609917636</v>
      </c>
      <c r="AO66">
        <f t="shared" si="1"/>
        <v>-57488.27</v>
      </c>
      <c r="AP66" s="2">
        <f t="shared" si="2"/>
        <v>2.7764286076677209E-2</v>
      </c>
      <c r="AQ66" s="2">
        <f t="shared" si="6"/>
        <v>9</v>
      </c>
      <c r="AR66">
        <f t="shared" si="3"/>
        <v>295</v>
      </c>
      <c r="AS66" t="str">
        <f t="shared" si="4"/>
        <v>High Claim Ratio</v>
      </c>
      <c r="AT66" t="str">
        <f t="shared" si="5"/>
        <v>High Profit</v>
      </c>
    </row>
    <row r="67" spans="1:46" x14ac:dyDescent="0.2">
      <c r="A67">
        <v>254</v>
      </c>
      <c r="B67">
        <v>39</v>
      </c>
      <c r="C67">
        <v>332867</v>
      </c>
      <c r="D67" s="1">
        <v>34316</v>
      </c>
      <c r="E67" t="s">
        <v>57</v>
      </c>
      <c r="F67" t="s">
        <v>69</v>
      </c>
      <c r="G67">
        <v>500</v>
      </c>
      <c r="H67">
        <v>1362.87</v>
      </c>
      <c r="I67">
        <v>0</v>
      </c>
      <c r="J67">
        <v>458364</v>
      </c>
      <c r="K67" t="s">
        <v>70</v>
      </c>
      <c r="L67" t="s">
        <v>42</v>
      </c>
      <c r="M67" t="s">
        <v>125</v>
      </c>
      <c r="N67" t="s">
        <v>168</v>
      </c>
      <c r="O67" t="s">
        <v>60</v>
      </c>
      <c r="P67">
        <v>35700</v>
      </c>
      <c r="Q67">
        <v>0</v>
      </c>
      <c r="R67" s="1">
        <v>42057</v>
      </c>
      <c r="S67" t="s">
        <v>75</v>
      </c>
      <c r="T67" t="s">
        <v>86</v>
      </c>
      <c r="U67" t="s">
        <v>63</v>
      </c>
      <c r="V67" t="s">
        <v>136</v>
      </c>
      <c r="W67" t="s">
        <v>77</v>
      </c>
      <c r="X67" t="s">
        <v>87</v>
      </c>
      <c r="Y67" t="s">
        <v>235</v>
      </c>
      <c r="Z67">
        <v>6</v>
      </c>
      <c r="AA67">
        <v>3</v>
      </c>
      <c r="AB67" t="s">
        <v>53</v>
      </c>
      <c r="AC67">
        <v>2</v>
      </c>
      <c r="AD67">
        <v>2</v>
      </c>
      <c r="AE67" t="s">
        <v>79</v>
      </c>
      <c r="AF67">
        <v>82320</v>
      </c>
      <c r="AG67">
        <v>13720</v>
      </c>
      <c r="AH67">
        <v>6860</v>
      </c>
      <c r="AI67">
        <v>61740</v>
      </c>
      <c r="AJ67" t="s">
        <v>80</v>
      </c>
      <c r="AK67" t="s">
        <v>144</v>
      </c>
      <c r="AL67">
        <v>1995</v>
      </c>
      <c r="AM67" t="s">
        <v>56</v>
      </c>
      <c r="AN67" s="2">
        <f t="shared" ref="AN67:AN130" si="7">AF67/(H67+1)</f>
        <v>60.357658721139117</v>
      </c>
      <c r="AO67">
        <f t="shared" ref="AO67:AO130" si="8">H67-AF67</f>
        <v>-80957.13</v>
      </c>
      <c r="AP67" s="2">
        <f t="shared" ref="AP67:AP130" si="9">H67/(AF67+1)</f>
        <v>1.6555556905285405E-2</v>
      </c>
      <c r="AQ67" s="2">
        <f t="shared" si="6"/>
        <v>20</v>
      </c>
      <c r="AR67">
        <f t="shared" ref="AR67:AR130" si="10">A67</f>
        <v>254</v>
      </c>
      <c r="AS67" t="str">
        <f t="shared" ref="AS67:AS130" si="11">IF(AN67&lt;5,"Low Claim Ratio",
 IF(AN67&lt;20,"Medium Claim Ratio",
 "High Claim Ratio"))</f>
        <v>High Claim Ratio</v>
      </c>
      <c r="AT67" t="str">
        <f t="shared" ref="AT67:AT130" si="12">IF(-AO67&lt;0,"Loss Making",
 IF(-AO67&lt;5000,"Low Profit",
 "High Profit"))</f>
        <v>High Profit</v>
      </c>
    </row>
    <row r="68" spans="1:46" x14ac:dyDescent="0.2">
      <c r="A68">
        <v>107</v>
      </c>
      <c r="B68">
        <v>31</v>
      </c>
      <c r="C68">
        <v>356590</v>
      </c>
      <c r="D68" s="1">
        <v>40772</v>
      </c>
      <c r="E68" t="s">
        <v>57</v>
      </c>
      <c r="F68" t="s">
        <v>40</v>
      </c>
      <c r="G68">
        <v>500</v>
      </c>
      <c r="H68">
        <v>1239.22</v>
      </c>
      <c r="I68">
        <v>7000000</v>
      </c>
      <c r="J68">
        <v>476458</v>
      </c>
      <c r="K68" t="s">
        <v>70</v>
      </c>
      <c r="L68" t="s">
        <v>131</v>
      </c>
      <c r="M68" t="s">
        <v>97</v>
      </c>
      <c r="N68" t="s">
        <v>165</v>
      </c>
      <c r="O68" t="s">
        <v>142</v>
      </c>
      <c r="P68">
        <v>43400</v>
      </c>
      <c r="Q68">
        <v>-91200</v>
      </c>
      <c r="R68" s="1">
        <v>42034</v>
      </c>
      <c r="S68" t="s">
        <v>46</v>
      </c>
      <c r="T68" t="s">
        <v>47</v>
      </c>
      <c r="U68" t="s">
        <v>63</v>
      </c>
      <c r="V68" t="s">
        <v>99</v>
      </c>
      <c r="W68" t="s">
        <v>50</v>
      </c>
      <c r="X68" t="s">
        <v>102</v>
      </c>
      <c r="Y68" t="s">
        <v>236</v>
      </c>
      <c r="Z68">
        <v>12</v>
      </c>
      <c r="AA68">
        <v>1</v>
      </c>
      <c r="AB68" t="s">
        <v>53</v>
      </c>
      <c r="AC68">
        <v>0</v>
      </c>
      <c r="AD68">
        <v>1</v>
      </c>
      <c r="AE68" t="s">
        <v>79</v>
      </c>
      <c r="AF68">
        <v>89700</v>
      </c>
      <c r="AG68">
        <v>13800</v>
      </c>
      <c r="AH68">
        <v>13800</v>
      </c>
      <c r="AI68">
        <v>62100</v>
      </c>
      <c r="AJ68" t="s">
        <v>109</v>
      </c>
      <c r="AK68" t="s">
        <v>110</v>
      </c>
      <c r="AL68">
        <v>2009</v>
      </c>
      <c r="AM68" t="s">
        <v>56</v>
      </c>
      <c r="AN68" s="2">
        <f t="shared" si="7"/>
        <v>72.325877666865551</v>
      </c>
      <c r="AO68">
        <f t="shared" si="8"/>
        <v>-88460.78</v>
      </c>
      <c r="AP68" s="2">
        <f t="shared" si="9"/>
        <v>1.3815007636481198E-2</v>
      </c>
      <c r="AQ68" s="2">
        <f t="shared" ref="AQ68:AQ131" si="13">YEAR(R68)-(AL68)</f>
        <v>6</v>
      </c>
      <c r="AR68">
        <f t="shared" si="10"/>
        <v>107</v>
      </c>
      <c r="AS68" t="str">
        <f t="shared" si="11"/>
        <v>High Claim Ratio</v>
      </c>
      <c r="AT68" t="str">
        <f t="shared" si="12"/>
        <v>High Profit</v>
      </c>
    </row>
    <row r="69" spans="1:46" x14ac:dyDescent="0.2">
      <c r="A69">
        <v>478</v>
      </c>
      <c r="B69">
        <v>64</v>
      </c>
      <c r="C69">
        <v>346002</v>
      </c>
      <c r="D69" s="1">
        <v>33105</v>
      </c>
      <c r="E69" t="s">
        <v>39</v>
      </c>
      <c r="F69" t="s">
        <v>40</v>
      </c>
      <c r="G69">
        <v>500</v>
      </c>
      <c r="H69">
        <v>835.02</v>
      </c>
      <c r="I69">
        <v>0</v>
      </c>
      <c r="J69">
        <v>602433</v>
      </c>
      <c r="K69" t="s">
        <v>70</v>
      </c>
      <c r="L69" t="s">
        <v>92</v>
      </c>
      <c r="M69" t="s">
        <v>185</v>
      </c>
      <c r="N69" t="s">
        <v>59</v>
      </c>
      <c r="O69" t="s">
        <v>85</v>
      </c>
      <c r="P69">
        <v>59600</v>
      </c>
      <c r="Q69">
        <v>0</v>
      </c>
      <c r="R69" s="1">
        <v>42037</v>
      </c>
      <c r="S69" t="s">
        <v>75</v>
      </c>
      <c r="T69" t="s">
        <v>47</v>
      </c>
      <c r="U69" t="s">
        <v>63</v>
      </c>
      <c r="V69" t="s">
        <v>99</v>
      </c>
      <c r="W69" t="s">
        <v>113</v>
      </c>
      <c r="X69" t="s">
        <v>122</v>
      </c>
      <c r="Y69" t="s">
        <v>237</v>
      </c>
      <c r="Z69">
        <v>17</v>
      </c>
      <c r="AA69">
        <v>3</v>
      </c>
      <c r="AB69" t="s">
        <v>79</v>
      </c>
      <c r="AC69">
        <v>1</v>
      </c>
      <c r="AD69">
        <v>1</v>
      </c>
      <c r="AE69" t="s">
        <v>79</v>
      </c>
      <c r="AF69">
        <v>33930</v>
      </c>
      <c r="AG69">
        <v>0</v>
      </c>
      <c r="AH69">
        <v>3770</v>
      </c>
      <c r="AI69">
        <v>30160</v>
      </c>
      <c r="AJ69" t="s">
        <v>187</v>
      </c>
      <c r="AK69" t="s">
        <v>238</v>
      </c>
      <c r="AL69">
        <v>1998</v>
      </c>
      <c r="AM69" t="s">
        <v>82</v>
      </c>
      <c r="AN69" s="2">
        <f t="shared" si="7"/>
        <v>40.585153465228103</v>
      </c>
      <c r="AO69">
        <f t="shared" si="8"/>
        <v>-33094.980000000003</v>
      </c>
      <c r="AP69" s="2">
        <f t="shared" si="9"/>
        <v>2.4609354277799061E-2</v>
      </c>
      <c r="AQ69" s="2">
        <f t="shared" si="13"/>
        <v>17</v>
      </c>
      <c r="AR69">
        <f t="shared" si="10"/>
        <v>478</v>
      </c>
      <c r="AS69" t="str">
        <f t="shared" si="11"/>
        <v>High Claim Ratio</v>
      </c>
      <c r="AT69" t="str">
        <f t="shared" si="12"/>
        <v>High Profit</v>
      </c>
    </row>
    <row r="70" spans="1:46" x14ac:dyDescent="0.2">
      <c r="A70">
        <v>128</v>
      </c>
      <c r="B70">
        <v>30</v>
      </c>
      <c r="C70">
        <v>500533</v>
      </c>
      <c r="D70" s="1">
        <v>34376</v>
      </c>
      <c r="E70" t="s">
        <v>39</v>
      </c>
      <c r="F70" t="s">
        <v>69</v>
      </c>
      <c r="G70">
        <v>1000</v>
      </c>
      <c r="H70">
        <v>1061.33</v>
      </c>
      <c r="I70">
        <v>0</v>
      </c>
      <c r="J70">
        <v>478575</v>
      </c>
      <c r="K70" t="s">
        <v>41</v>
      </c>
      <c r="L70" t="s">
        <v>42</v>
      </c>
      <c r="M70" t="s">
        <v>58</v>
      </c>
      <c r="N70" t="s">
        <v>146</v>
      </c>
      <c r="O70" t="s">
        <v>74</v>
      </c>
      <c r="P70">
        <v>43300</v>
      </c>
      <c r="Q70">
        <v>-66200</v>
      </c>
      <c r="R70" s="1">
        <v>42014</v>
      </c>
      <c r="S70" t="s">
        <v>46</v>
      </c>
      <c r="T70" t="s">
        <v>86</v>
      </c>
      <c r="U70" t="s">
        <v>48</v>
      </c>
      <c r="V70" t="s">
        <v>136</v>
      </c>
      <c r="W70" t="s">
        <v>113</v>
      </c>
      <c r="X70" t="s">
        <v>156</v>
      </c>
      <c r="Y70" t="s">
        <v>239</v>
      </c>
      <c r="Z70">
        <v>8</v>
      </c>
      <c r="AA70">
        <v>1</v>
      </c>
      <c r="AB70" t="s">
        <v>79</v>
      </c>
      <c r="AC70">
        <v>0</v>
      </c>
      <c r="AD70">
        <v>3</v>
      </c>
      <c r="AE70" t="s">
        <v>79</v>
      </c>
      <c r="AF70">
        <v>68530</v>
      </c>
      <c r="AG70">
        <v>12460</v>
      </c>
      <c r="AH70">
        <v>6230</v>
      </c>
      <c r="AI70">
        <v>49840</v>
      </c>
      <c r="AJ70" t="s">
        <v>109</v>
      </c>
      <c r="AK70" t="s">
        <v>110</v>
      </c>
      <c r="AL70">
        <v>1997</v>
      </c>
      <c r="AM70" t="s">
        <v>82</v>
      </c>
      <c r="AN70" s="2">
        <f t="shared" si="7"/>
        <v>64.509144992610587</v>
      </c>
      <c r="AO70">
        <f t="shared" si="8"/>
        <v>-67468.67</v>
      </c>
      <c r="AP70" s="2">
        <f t="shared" si="9"/>
        <v>1.5486859961185448E-2</v>
      </c>
      <c r="AQ70" s="2">
        <f t="shared" si="13"/>
        <v>18</v>
      </c>
      <c r="AR70">
        <f t="shared" si="10"/>
        <v>128</v>
      </c>
      <c r="AS70" t="str">
        <f t="shared" si="11"/>
        <v>High Claim Ratio</v>
      </c>
      <c r="AT70" t="str">
        <f t="shared" si="12"/>
        <v>High Profit</v>
      </c>
    </row>
    <row r="71" spans="1:46" x14ac:dyDescent="0.2">
      <c r="A71">
        <v>338</v>
      </c>
      <c r="B71">
        <v>49</v>
      </c>
      <c r="C71">
        <v>348209</v>
      </c>
      <c r="D71" s="1">
        <v>34387</v>
      </c>
      <c r="E71" t="s">
        <v>57</v>
      </c>
      <c r="F71" t="s">
        <v>91</v>
      </c>
      <c r="G71">
        <v>1000</v>
      </c>
      <c r="H71">
        <v>1279.08</v>
      </c>
      <c r="I71">
        <v>0</v>
      </c>
      <c r="J71">
        <v>449718</v>
      </c>
      <c r="K71" t="s">
        <v>41</v>
      </c>
      <c r="L71" t="s">
        <v>42</v>
      </c>
      <c r="M71" t="s">
        <v>111</v>
      </c>
      <c r="N71" t="s">
        <v>170</v>
      </c>
      <c r="O71" t="s">
        <v>74</v>
      </c>
      <c r="P71">
        <v>0</v>
      </c>
      <c r="Q71">
        <v>-51500</v>
      </c>
      <c r="R71" s="1">
        <v>42062</v>
      </c>
      <c r="S71" t="s">
        <v>138</v>
      </c>
      <c r="T71" t="s">
        <v>62</v>
      </c>
      <c r="U71" t="s">
        <v>63</v>
      </c>
      <c r="V71" t="s">
        <v>93</v>
      </c>
      <c r="W71" t="s">
        <v>121</v>
      </c>
      <c r="X71" t="s">
        <v>65</v>
      </c>
      <c r="Y71" t="s">
        <v>240</v>
      </c>
      <c r="Z71">
        <v>13</v>
      </c>
      <c r="AA71">
        <v>1</v>
      </c>
      <c r="AB71" t="s">
        <v>79</v>
      </c>
      <c r="AC71">
        <v>0</v>
      </c>
      <c r="AD71">
        <v>1</v>
      </c>
      <c r="AE71" t="s">
        <v>62</v>
      </c>
      <c r="AF71">
        <v>4300</v>
      </c>
      <c r="AG71">
        <v>860</v>
      </c>
      <c r="AH71">
        <v>860</v>
      </c>
      <c r="AI71">
        <v>2580</v>
      </c>
      <c r="AJ71" t="s">
        <v>129</v>
      </c>
      <c r="AK71" t="s">
        <v>130</v>
      </c>
      <c r="AL71">
        <v>2004</v>
      </c>
      <c r="AM71" t="s">
        <v>82</v>
      </c>
      <c r="AN71" s="2">
        <f t="shared" si="7"/>
        <v>3.3591650521842387</v>
      </c>
      <c r="AO71">
        <f t="shared" si="8"/>
        <v>-3020.92</v>
      </c>
      <c r="AP71" s="2">
        <f t="shared" si="9"/>
        <v>0.29739130434782607</v>
      </c>
      <c r="AQ71" s="2">
        <f t="shared" si="13"/>
        <v>11</v>
      </c>
      <c r="AR71">
        <f t="shared" si="10"/>
        <v>338</v>
      </c>
      <c r="AS71" t="str">
        <f t="shared" si="11"/>
        <v>Low Claim Ratio</v>
      </c>
      <c r="AT71" t="str">
        <f t="shared" si="12"/>
        <v>Low Profit</v>
      </c>
    </row>
    <row r="72" spans="1:46" x14ac:dyDescent="0.2">
      <c r="A72">
        <v>271</v>
      </c>
      <c r="B72">
        <v>42</v>
      </c>
      <c r="C72">
        <v>486676</v>
      </c>
      <c r="D72" s="1">
        <v>40770</v>
      </c>
      <c r="E72" t="s">
        <v>39</v>
      </c>
      <c r="F72" t="s">
        <v>69</v>
      </c>
      <c r="G72">
        <v>500</v>
      </c>
      <c r="H72">
        <v>1105.49</v>
      </c>
      <c r="I72">
        <v>0</v>
      </c>
      <c r="J72">
        <v>463181</v>
      </c>
      <c r="K72" t="s">
        <v>70</v>
      </c>
      <c r="L72" t="s">
        <v>92</v>
      </c>
      <c r="M72" t="s">
        <v>101</v>
      </c>
      <c r="N72" t="s">
        <v>44</v>
      </c>
      <c r="O72" t="s">
        <v>74</v>
      </c>
      <c r="P72">
        <v>56200</v>
      </c>
      <c r="Q72">
        <v>-50000</v>
      </c>
      <c r="R72" s="1">
        <v>42055</v>
      </c>
      <c r="S72" t="s">
        <v>75</v>
      </c>
      <c r="T72" t="s">
        <v>47</v>
      </c>
      <c r="U72" t="s">
        <v>48</v>
      </c>
      <c r="V72" t="s">
        <v>120</v>
      </c>
      <c r="W72" t="s">
        <v>50</v>
      </c>
      <c r="X72" t="s">
        <v>122</v>
      </c>
      <c r="Y72" t="s">
        <v>241</v>
      </c>
      <c r="Z72">
        <v>12</v>
      </c>
      <c r="AA72">
        <v>2</v>
      </c>
      <c r="AB72" t="s">
        <v>62</v>
      </c>
      <c r="AC72">
        <v>2</v>
      </c>
      <c r="AD72">
        <v>3</v>
      </c>
      <c r="AE72" t="s">
        <v>62</v>
      </c>
      <c r="AF72">
        <v>68310</v>
      </c>
      <c r="AG72">
        <v>12420</v>
      </c>
      <c r="AH72">
        <v>6210</v>
      </c>
      <c r="AI72">
        <v>49680</v>
      </c>
      <c r="AJ72" t="s">
        <v>109</v>
      </c>
      <c r="AK72" t="s">
        <v>134</v>
      </c>
      <c r="AL72">
        <v>2003</v>
      </c>
      <c r="AM72" t="s">
        <v>56</v>
      </c>
      <c r="AN72" s="2">
        <f t="shared" si="7"/>
        <v>61.73575902177155</v>
      </c>
      <c r="AO72">
        <f t="shared" si="8"/>
        <v>-67204.509999999995</v>
      </c>
      <c r="AP72" s="2">
        <f t="shared" si="9"/>
        <v>1.618319157968702E-2</v>
      </c>
      <c r="AQ72" s="2">
        <f t="shared" si="13"/>
        <v>12</v>
      </c>
      <c r="AR72">
        <f t="shared" si="10"/>
        <v>271</v>
      </c>
      <c r="AS72" t="str">
        <f t="shared" si="11"/>
        <v>High Claim Ratio</v>
      </c>
      <c r="AT72" t="str">
        <f t="shared" si="12"/>
        <v>High Profit</v>
      </c>
    </row>
    <row r="73" spans="1:46" x14ac:dyDescent="0.2">
      <c r="A73">
        <v>222</v>
      </c>
      <c r="B73">
        <v>41</v>
      </c>
      <c r="C73">
        <v>260845</v>
      </c>
      <c r="D73" s="1">
        <v>36110</v>
      </c>
      <c r="E73" t="s">
        <v>39</v>
      </c>
      <c r="F73" t="s">
        <v>69</v>
      </c>
      <c r="G73">
        <v>2000</v>
      </c>
      <c r="H73">
        <v>1055.53</v>
      </c>
      <c r="I73">
        <v>0</v>
      </c>
      <c r="J73">
        <v>441992</v>
      </c>
      <c r="K73" t="s">
        <v>70</v>
      </c>
      <c r="L73" t="s">
        <v>42</v>
      </c>
      <c r="M73" t="s">
        <v>84</v>
      </c>
      <c r="N73" t="s">
        <v>242</v>
      </c>
      <c r="O73" t="s">
        <v>142</v>
      </c>
      <c r="P73">
        <v>37800</v>
      </c>
      <c r="Q73">
        <v>-50300</v>
      </c>
      <c r="R73" s="1">
        <v>42043</v>
      </c>
      <c r="S73" t="s">
        <v>46</v>
      </c>
      <c r="T73" t="s">
        <v>86</v>
      </c>
      <c r="U73" t="s">
        <v>107</v>
      </c>
      <c r="V73" t="s">
        <v>120</v>
      </c>
      <c r="W73" t="s">
        <v>113</v>
      </c>
      <c r="X73" t="s">
        <v>156</v>
      </c>
      <c r="Y73" t="s">
        <v>243</v>
      </c>
      <c r="Z73">
        <v>7</v>
      </c>
      <c r="AA73">
        <v>1</v>
      </c>
      <c r="AB73" t="s">
        <v>79</v>
      </c>
      <c r="AC73">
        <v>0</v>
      </c>
      <c r="AD73">
        <v>2</v>
      </c>
      <c r="AE73" t="s">
        <v>79</v>
      </c>
      <c r="AF73">
        <v>61290</v>
      </c>
      <c r="AG73">
        <v>6810</v>
      </c>
      <c r="AH73">
        <v>6810</v>
      </c>
      <c r="AI73">
        <v>47670</v>
      </c>
      <c r="AJ73" t="s">
        <v>209</v>
      </c>
      <c r="AK73" t="s">
        <v>210</v>
      </c>
      <c r="AL73">
        <v>1995</v>
      </c>
      <c r="AM73" t="s">
        <v>56</v>
      </c>
      <c r="AN73" s="2">
        <f t="shared" si="7"/>
        <v>58.010657529838248</v>
      </c>
      <c r="AO73">
        <f t="shared" si="8"/>
        <v>-60234.47</v>
      </c>
      <c r="AP73" s="2">
        <f t="shared" si="9"/>
        <v>1.7221614918992999E-2</v>
      </c>
      <c r="AQ73" s="2">
        <f t="shared" si="13"/>
        <v>20</v>
      </c>
      <c r="AR73">
        <f t="shared" si="10"/>
        <v>222</v>
      </c>
      <c r="AS73" t="str">
        <f t="shared" si="11"/>
        <v>High Claim Ratio</v>
      </c>
      <c r="AT73" t="str">
        <f t="shared" si="12"/>
        <v>High Profit</v>
      </c>
    </row>
    <row r="74" spans="1:46" x14ac:dyDescent="0.2">
      <c r="A74">
        <v>199</v>
      </c>
      <c r="B74">
        <v>41</v>
      </c>
      <c r="C74">
        <v>657045</v>
      </c>
      <c r="D74" s="1">
        <v>35037</v>
      </c>
      <c r="E74" t="s">
        <v>39</v>
      </c>
      <c r="F74" t="s">
        <v>40</v>
      </c>
      <c r="G74">
        <v>1000</v>
      </c>
      <c r="H74">
        <v>895.83</v>
      </c>
      <c r="I74">
        <v>0</v>
      </c>
      <c r="J74">
        <v>452597</v>
      </c>
      <c r="K74" t="s">
        <v>70</v>
      </c>
      <c r="L74" t="s">
        <v>92</v>
      </c>
      <c r="M74" t="s">
        <v>72</v>
      </c>
      <c r="N74" t="s">
        <v>165</v>
      </c>
      <c r="O74" t="s">
        <v>45</v>
      </c>
      <c r="P74">
        <v>0</v>
      </c>
      <c r="Q74">
        <v>0</v>
      </c>
      <c r="R74" s="1">
        <v>42046</v>
      </c>
      <c r="S74" t="s">
        <v>46</v>
      </c>
      <c r="T74" t="s">
        <v>76</v>
      </c>
      <c r="U74" t="s">
        <v>63</v>
      </c>
      <c r="V74" t="s">
        <v>136</v>
      </c>
      <c r="W74" t="s">
        <v>121</v>
      </c>
      <c r="X74" t="s">
        <v>87</v>
      </c>
      <c r="Y74" t="s">
        <v>244</v>
      </c>
      <c r="Z74">
        <v>10</v>
      </c>
      <c r="AA74">
        <v>1</v>
      </c>
      <c r="AB74" t="s">
        <v>79</v>
      </c>
      <c r="AC74">
        <v>1</v>
      </c>
      <c r="AD74">
        <v>2</v>
      </c>
      <c r="AE74" t="s">
        <v>79</v>
      </c>
      <c r="AF74">
        <v>30100</v>
      </c>
      <c r="AG74">
        <v>3010</v>
      </c>
      <c r="AH74">
        <v>0</v>
      </c>
      <c r="AI74">
        <v>27090</v>
      </c>
      <c r="AJ74" t="s">
        <v>89</v>
      </c>
      <c r="AK74" t="s">
        <v>245</v>
      </c>
      <c r="AL74">
        <v>1999</v>
      </c>
      <c r="AM74" t="s">
        <v>82</v>
      </c>
      <c r="AN74" s="2">
        <f t="shared" si="7"/>
        <v>33.562659589888831</v>
      </c>
      <c r="AO74">
        <f t="shared" si="8"/>
        <v>-29204.17</v>
      </c>
      <c r="AP74" s="2">
        <f t="shared" si="9"/>
        <v>2.9760805288860836E-2</v>
      </c>
      <c r="AQ74" s="2">
        <f t="shared" si="13"/>
        <v>16</v>
      </c>
      <c r="AR74">
        <f t="shared" si="10"/>
        <v>199</v>
      </c>
      <c r="AS74" t="str">
        <f t="shared" si="11"/>
        <v>High Claim Ratio</v>
      </c>
      <c r="AT74" t="str">
        <f t="shared" si="12"/>
        <v>High Profit</v>
      </c>
    </row>
    <row r="75" spans="1:46" x14ac:dyDescent="0.2">
      <c r="A75">
        <v>215</v>
      </c>
      <c r="B75">
        <v>37</v>
      </c>
      <c r="C75">
        <v>761189</v>
      </c>
      <c r="D75" s="1">
        <v>37618</v>
      </c>
      <c r="E75" t="s">
        <v>57</v>
      </c>
      <c r="F75" t="s">
        <v>69</v>
      </c>
      <c r="G75">
        <v>500</v>
      </c>
      <c r="H75">
        <v>1632.93</v>
      </c>
      <c r="I75">
        <v>0</v>
      </c>
      <c r="J75">
        <v>614417</v>
      </c>
      <c r="K75" t="s">
        <v>70</v>
      </c>
      <c r="L75" t="s">
        <v>141</v>
      </c>
      <c r="M75" t="s">
        <v>145</v>
      </c>
      <c r="N75" t="s">
        <v>112</v>
      </c>
      <c r="O75" t="s">
        <v>142</v>
      </c>
      <c r="P75">
        <v>0</v>
      </c>
      <c r="Q75">
        <v>-42900</v>
      </c>
      <c r="R75" s="1">
        <v>42058</v>
      </c>
      <c r="S75" t="s">
        <v>75</v>
      </c>
      <c r="T75" t="s">
        <v>76</v>
      </c>
      <c r="U75" t="s">
        <v>63</v>
      </c>
      <c r="V75" t="s">
        <v>99</v>
      </c>
      <c r="W75" t="s">
        <v>50</v>
      </c>
      <c r="X75" t="s">
        <v>65</v>
      </c>
      <c r="Y75" t="s">
        <v>246</v>
      </c>
      <c r="Z75">
        <v>7</v>
      </c>
      <c r="AA75">
        <v>3</v>
      </c>
      <c r="AB75" t="s">
        <v>79</v>
      </c>
      <c r="AC75">
        <v>2</v>
      </c>
      <c r="AD75">
        <v>0</v>
      </c>
      <c r="AE75" t="s">
        <v>53</v>
      </c>
      <c r="AF75">
        <v>57120</v>
      </c>
      <c r="AG75">
        <v>9520</v>
      </c>
      <c r="AH75">
        <v>4760</v>
      </c>
      <c r="AI75">
        <v>42840</v>
      </c>
      <c r="AJ75" t="s">
        <v>67</v>
      </c>
      <c r="AK75" t="s">
        <v>193</v>
      </c>
      <c r="AL75">
        <v>2002</v>
      </c>
      <c r="AM75" t="s">
        <v>82</v>
      </c>
      <c r="AN75" s="2">
        <f t="shared" si="7"/>
        <v>34.958657959643311</v>
      </c>
      <c r="AO75">
        <f t="shared" si="8"/>
        <v>-55487.07</v>
      </c>
      <c r="AP75" s="2">
        <f t="shared" si="9"/>
        <v>2.8587209607674937E-2</v>
      </c>
      <c r="AQ75" s="2">
        <f t="shared" si="13"/>
        <v>13</v>
      </c>
      <c r="AR75">
        <f t="shared" si="10"/>
        <v>215</v>
      </c>
      <c r="AS75" t="str">
        <f t="shared" si="11"/>
        <v>High Claim Ratio</v>
      </c>
      <c r="AT75" t="str">
        <f t="shared" si="12"/>
        <v>High Profit</v>
      </c>
    </row>
    <row r="76" spans="1:46" x14ac:dyDescent="0.2">
      <c r="A76">
        <v>192</v>
      </c>
      <c r="B76">
        <v>40</v>
      </c>
      <c r="C76">
        <v>175177</v>
      </c>
      <c r="D76" s="1">
        <v>38092</v>
      </c>
      <c r="E76" t="s">
        <v>83</v>
      </c>
      <c r="F76" t="s">
        <v>69</v>
      </c>
      <c r="G76">
        <v>1000</v>
      </c>
      <c r="H76">
        <v>1405.99</v>
      </c>
      <c r="I76">
        <v>0</v>
      </c>
      <c r="J76">
        <v>472895</v>
      </c>
      <c r="K76" t="s">
        <v>70</v>
      </c>
      <c r="L76" t="s">
        <v>92</v>
      </c>
      <c r="M76" t="s">
        <v>72</v>
      </c>
      <c r="N76" t="s">
        <v>155</v>
      </c>
      <c r="O76" t="s">
        <v>119</v>
      </c>
      <c r="P76">
        <v>0</v>
      </c>
      <c r="Q76">
        <v>0</v>
      </c>
      <c r="R76" s="1">
        <v>42064</v>
      </c>
      <c r="S76" t="s">
        <v>75</v>
      </c>
      <c r="T76" t="s">
        <v>47</v>
      </c>
      <c r="U76" t="s">
        <v>63</v>
      </c>
      <c r="V76" t="s">
        <v>136</v>
      </c>
      <c r="W76" t="s">
        <v>64</v>
      </c>
      <c r="X76" t="s">
        <v>102</v>
      </c>
      <c r="Y76" t="s">
        <v>247</v>
      </c>
      <c r="Z76">
        <v>18</v>
      </c>
      <c r="AA76">
        <v>3</v>
      </c>
      <c r="AB76" t="s">
        <v>53</v>
      </c>
      <c r="AC76">
        <v>1</v>
      </c>
      <c r="AD76">
        <v>0</v>
      </c>
      <c r="AE76" t="s">
        <v>53</v>
      </c>
      <c r="AF76">
        <v>42930</v>
      </c>
      <c r="AG76">
        <v>9540</v>
      </c>
      <c r="AH76">
        <v>4770</v>
      </c>
      <c r="AI76">
        <v>28620</v>
      </c>
      <c r="AJ76" t="s">
        <v>187</v>
      </c>
      <c r="AK76" t="s">
        <v>238</v>
      </c>
      <c r="AL76">
        <v>2005</v>
      </c>
      <c r="AM76" t="s">
        <v>82</v>
      </c>
      <c r="AN76" s="2">
        <f t="shared" si="7"/>
        <v>30.511943937057122</v>
      </c>
      <c r="AO76">
        <f t="shared" si="8"/>
        <v>-41524.01</v>
      </c>
      <c r="AP76" s="2">
        <f t="shared" si="9"/>
        <v>3.274999417670215E-2</v>
      </c>
      <c r="AQ76" s="2">
        <f t="shared" si="13"/>
        <v>10</v>
      </c>
      <c r="AR76">
        <f t="shared" si="10"/>
        <v>192</v>
      </c>
      <c r="AS76" t="str">
        <f t="shared" si="11"/>
        <v>High Claim Ratio</v>
      </c>
      <c r="AT76" t="str">
        <f t="shared" si="12"/>
        <v>High Profit</v>
      </c>
    </row>
    <row r="77" spans="1:46" x14ac:dyDescent="0.2">
      <c r="A77">
        <v>120</v>
      </c>
      <c r="B77">
        <v>35</v>
      </c>
      <c r="C77">
        <v>116700</v>
      </c>
      <c r="D77" s="1">
        <v>36924</v>
      </c>
      <c r="E77" t="s">
        <v>39</v>
      </c>
      <c r="F77" t="s">
        <v>69</v>
      </c>
      <c r="G77">
        <v>1000</v>
      </c>
      <c r="H77">
        <v>1425.54</v>
      </c>
      <c r="I77">
        <v>0</v>
      </c>
      <c r="J77">
        <v>475847</v>
      </c>
      <c r="K77" t="s">
        <v>70</v>
      </c>
      <c r="L77" t="s">
        <v>131</v>
      </c>
      <c r="M77" t="s">
        <v>145</v>
      </c>
      <c r="N77" t="s">
        <v>98</v>
      </c>
      <c r="O77" t="s">
        <v>60</v>
      </c>
      <c r="P77">
        <v>78300</v>
      </c>
      <c r="Q77">
        <v>0</v>
      </c>
      <c r="R77" s="1">
        <v>42019</v>
      </c>
      <c r="S77" t="s">
        <v>75</v>
      </c>
      <c r="T77" t="s">
        <v>86</v>
      </c>
      <c r="U77" t="s">
        <v>107</v>
      </c>
      <c r="V77" t="s">
        <v>136</v>
      </c>
      <c r="W77" t="s">
        <v>50</v>
      </c>
      <c r="X77" t="s">
        <v>65</v>
      </c>
      <c r="Y77" t="s">
        <v>248</v>
      </c>
      <c r="Z77">
        <v>22</v>
      </c>
      <c r="AA77">
        <v>3</v>
      </c>
      <c r="AB77" t="s">
        <v>79</v>
      </c>
      <c r="AC77">
        <v>2</v>
      </c>
      <c r="AD77">
        <v>0</v>
      </c>
      <c r="AE77" t="s">
        <v>79</v>
      </c>
      <c r="AF77">
        <v>51210</v>
      </c>
      <c r="AG77">
        <v>11380</v>
      </c>
      <c r="AH77">
        <v>5690</v>
      </c>
      <c r="AI77">
        <v>34140</v>
      </c>
      <c r="AJ77" t="s">
        <v>129</v>
      </c>
      <c r="AK77" t="s">
        <v>249</v>
      </c>
      <c r="AL77">
        <v>2010</v>
      </c>
      <c r="AM77" t="s">
        <v>82</v>
      </c>
      <c r="AN77" s="2">
        <f t="shared" si="7"/>
        <v>35.898047022866514</v>
      </c>
      <c r="AO77">
        <f t="shared" si="8"/>
        <v>-49784.46</v>
      </c>
      <c r="AP77" s="2">
        <f t="shared" si="9"/>
        <v>2.7836597605983088E-2</v>
      </c>
      <c r="AQ77" s="2">
        <f t="shared" si="13"/>
        <v>5</v>
      </c>
      <c r="AR77">
        <f t="shared" si="10"/>
        <v>120</v>
      </c>
      <c r="AS77" t="str">
        <f t="shared" si="11"/>
        <v>High Claim Ratio</v>
      </c>
      <c r="AT77" t="str">
        <f t="shared" si="12"/>
        <v>High Profit</v>
      </c>
    </row>
    <row r="78" spans="1:46" x14ac:dyDescent="0.2">
      <c r="A78">
        <v>270</v>
      </c>
      <c r="B78">
        <v>45</v>
      </c>
      <c r="C78">
        <v>166264</v>
      </c>
      <c r="D78" s="1">
        <v>40190</v>
      </c>
      <c r="E78" t="s">
        <v>39</v>
      </c>
      <c r="F78" t="s">
        <v>91</v>
      </c>
      <c r="G78">
        <v>1000</v>
      </c>
      <c r="H78">
        <v>1038.0899999999999</v>
      </c>
      <c r="I78">
        <v>0</v>
      </c>
      <c r="J78">
        <v>476978</v>
      </c>
      <c r="K78" t="s">
        <v>70</v>
      </c>
      <c r="L78" t="s">
        <v>141</v>
      </c>
      <c r="M78" t="s">
        <v>159</v>
      </c>
      <c r="N78" t="s">
        <v>112</v>
      </c>
      <c r="O78" t="s">
        <v>45</v>
      </c>
      <c r="P78">
        <v>0</v>
      </c>
      <c r="Q78">
        <v>-19700</v>
      </c>
      <c r="R78" s="1">
        <v>42018</v>
      </c>
      <c r="S78" t="s">
        <v>75</v>
      </c>
      <c r="T78" t="s">
        <v>86</v>
      </c>
      <c r="U78" t="s">
        <v>63</v>
      </c>
      <c r="V78" t="s">
        <v>99</v>
      </c>
      <c r="W78" t="s">
        <v>77</v>
      </c>
      <c r="X78" t="s">
        <v>102</v>
      </c>
      <c r="Y78" t="s">
        <v>250</v>
      </c>
      <c r="Z78">
        <v>18</v>
      </c>
      <c r="AA78">
        <v>3</v>
      </c>
      <c r="AB78" t="s">
        <v>79</v>
      </c>
      <c r="AC78">
        <v>1</v>
      </c>
      <c r="AD78">
        <v>1</v>
      </c>
      <c r="AE78" t="s">
        <v>53</v>
      </c>
      <c r="AF78">
        <v>89400</v>
      </c>
      <c r="AG78">
        <v>14900</v>
      </c>
      <c r="AH78">
        <v>7450</v>
      </c>
      <c r="AI78">
        <v>67050</v>
      </c>
      <c r="AJ78" t="s">
        <v>153</v>
      </c>
      <c r="AK78" t="s">
        <v>154</v>
      </c>
      <c r="AL78">
        <v>1998</v>
      </c>
      <c r="AM78" t="s">
        <v>82</v>
      </c>
      <c r="AN78" s="2">
        <f t="shared" si="7"/>
        <v>86.036820679633152</v>
      </c>
      <c r="AO78">
        <f t="shared" si="8"/>
        <v>-88361.91</v>
      </c>
      <c r="AP78" s="2">
        <f t="shared" si="9"/>
        <v>1.161161508260534E-2</v>
      </c>
      <c r="AQ78" s="2">
        <f t="shared" si="13"/>
        <v>17</v>
      </c>
      <c r="AR78">
        <f t="shared" si="10"/>
        <v>270</v>
      </c>
      <c r="AS78" t="str">
        <f t="shared" si="11"/>
        <v>High Claim Ratio</v>
      </c>
      <c r="AT78" t="str">
        <f t="shared" si="12"/>
        <v>High Profit</v>
      </c>
    </row>
    <row r="79" spans="1:46" x14ac:dyDescent="0.2">
      <c r="A79">
        <v>319</v>
      </c>
      <c r="B79">
        <v>47</v>
      </c>
      <c r="C79">
        <v>527945</v>
      </c>
      <c r="D79" s="1">
        <v>33708</v>
      </c>
      <c r="E79" t="s">
        <v>57</v>
      </c>
      <c r="F79" t="s">
        <v>40</v>
      </c>
      <c r="G79">
        <v>500</v>
      </c>
      <c r="H79">
        <v>1307.1099999999999</v>
      </c>
      <c r="I79">
        <v>0</v>
      </c>
      <c r="J79">
        <v>600648</v>
      </c>
      <c r="K79" t="s">
        <v>41</v>
      </c>
      <c r="L79" t="s">
        <v>141</v>
      </c>
      <c r="M79" t="s">
        <v>145</v>
      </c>
      <c r="N79" t="s">
        <v>126</v>
      </c>
      <c r="O79" t="s">
        <v>142</v>
      </c>
      <c r="P79">
        <v>0</v>
      </c>
      <c r="Q79">
        <v>0</v>
      </c>
      <c r="R79" s="1">
        <v>42052</v>
      </c>
      <c r="S79" t="s">
        <v>75</v>
      </c>
      <c r="T79" t="s">
        <v>86</v>
      </c>
      <c r="U79" t="s">
        <v>107</v>
      </c>
      <c r="V79" t="s">
        <v>49</v>
      </c>
      <c r="W79" t="s">
        <v>113</v>
      </c>
      <c r="X79" t="s">
        <v>156</v>
      </c>
      <c r="Y79" t="s">
        <v>251</v>
      </c>
      <c r="Z79">
        <v>22</v>
      </c>
      <c r="AA79">
        <v>3</v>
      </c>
      <c r="AB79" t="s">
        <v>79</v>
      </c>
      <c r="AC79">
        <v>0</v>
      </c>
      <c r="AD79">
        <v>2</v>
      </c>
      <c r="AE79" t="s">
        <v>62</v>
      </c>
      <c r="AF79">
        <v>59730</v>
      </c>
      <c r="AG79">
        <v>10860</v>
      </c>
      <c r="AH79">
        <v>10860</v>
      </c>
      <c r="AI79">
        <v>38010</v>
      </c>
      <c r="AJ79" t="s">
        <v>109</v>
      </c>
      <c r="AK79" t="s">
        <v>134</v>
      </c>
      <c r="AL79">
        <v>2005</v>
      </c>
      <c r="AM79" t="s">
        <v>82</v>
      </c>
      <c r="AN79" s="2">
        <f t="shared" si="7"/>
        <v>45.661297597296866</v>
      </c>
      <c r="AO79">
        <f t="shared" si="8"/>
        <v>-58422.89</v>
      </c>
      <c r="AP79" s="2">
        <f t="shared" si="9"/>
        <v>2.188327669049572E-2</v>
      </c>
      <c r="AQ79" s="2">
        <f t="shared" si="13"/>
        <v>10</v>
      </c>
      <c r="AR79">
        <f t="shared" si="10"/>
        <v>319</v>
      </c>
      <c r="AS79" t="str">
        <f t="shared" si="11"/>
        <v>High Claim Ratio</v>
      </c>
      <c r="AT79" t="str">
        <f t="shared" si="12"/>
        <v>High Profit</v>
      </c>
    </row>
    <row r="80" spans="1:46" x14ac:dyDescent="0.2">
      <c r="A80">
        <v>194</v>
      </c>
      <c r="B80">
        <v>39</v>
      </c>
      <c r="C80">
        <v>627540</v>
      </c>
      <c r="D80" s="1">
        <v>40319</v>
      </c>
      <c r="E80" t="s">
        <v>39</v>
      </c>
      <c r="F80" t="s">
        <v>91</v>
      </c>
      <c r="G80">
        <v>1000</v>
      </c>
      <c r="H80">
        <v>1489.24</v>
      </c>
      <c r="I80">
        <v>6000000</v>
      </c>
      <c r="J80">
        <v>608335</v>
      </c>
      <c r="K80" t="s">
        <v>70</v>
      </c>
      <c r="L80" t="s">
        <v>161</v>
      </c>
      <c r="M80" t="s">
        <v>111</v>
      </c>
      <c r="N80" t="s">
        <v>170</v>
      </c>
      <c r="O80" t="s">
        <v>119</v>
      </c>
      <c r="P80">
        <v>0</v>
      </c>
      <c r="Q80">
        <v>-45000</v>
      </c>
      <c r="R80" s="1">
        <v>42028</v>
      </c>
      <c r="S80" t="s">
        <v>61</v>
      </c>
      <c r="T80" t="s">
        <v>62</v>
      </c>
      <c r="U80" t="s">
        <v>63</v>
      </c>
      <c r="V80" t="s">
        <v>93</v>
      </c>
      <c r="W80" t="s">
        <v>50</v>
      </c>
      <c r="X80" t="s">
        <v>102</v>
      </c>
      <c r="Y80" t="s">
        <v>252</v>
      </c>
      <c r="Z80">
        <v>15</v>
      </c>
      <c r="AA80">
        <v>1</v>
      </c>
      <c r="AB80" t="s">
        <v>53</v>
      </c>
      <c r="AC80">
        <v>2</v>
      </c>
      <c r="AD80">
        <v>2</v>
      </c>
      <c r="AE80" t="s">
        <v>53</v>
      </c>
      <c r="AF80">
        <v>8060</v>
      </c>
      <c r="AG80">
        <v>1240</v>
      </c>
      <c r="AH80">
        <v>1240</v>
      </c>
      <c r="AI80">
        <v>5580</v>
      </c>
      <c r="AJ80" t="s">
        <v>54</v>
      </c>
      <c r="AK80">
        <v>95</v>
      </c>
      <c r="AL80">
        <v>2004</v>
      </c>
      <c r="AM80" t="s">
        <v>82</v>
      </c>
      <c r="AN80" s="2">
        <f t="shared" si="7"/>
        <v>5.4085248013742753</v>
      </c>
      <c r="AO80">
        <f t="shared" si="8"/>
        <v>-6570.76</v>
      </c>
      <c r="AP80" s="2">
        <f t="shared" si="9"/>
        <v>0.18474630939089443</v>
      </c>
      <c r="AQ80" s="2">
        <f t="shared" si="13"/>
        <v>11</v>
      </c>
      <c r="AR80">
        <f t="shared" si="10"/>
        <v>194</v>
      </c>
      <c r="AS80" t="str">
        <f t="shared" si="11"/>
        <v>Medium Claim Ratio</v>
      </c>
      <c r="AT80" t="str">
        <f t="shared" si="12"/>
        <v>High Profit</v>
      </c>
    </row>
    <row r="81" spans="1:46" x14ac:dyDescent="0.2">
      <c r="A81">
        <v>227</v>
      </c>
      <c r="B81">
        <v>38</v>
      </c>
      <c r="C81">
        <v>279422</v>
      </c>
      <c r="D81" s="1">
        <v>41574</v>
      </c>
      <c r="E81" t="s">
        <v>39</v>
      </c>
      <c r="F81" t="s">
        <v>91</v>
      </c>
      <c r="G81">
        <v>500</v>
      </c>
      <c r="H81">
        <v>976.67</v>
      </c>
      <c r="I81">
        <v>0</v>
      </c>
      <c r="J81">
        <v>471600</v>
      </c>
      <c r="K81" t="s">
        <v>70</v>
      </c>
      <c r="L81" t="s">
        <v>71</v>
      </c>
      <c r="M81" t="s">
        <v>159</v>
      </c>
      <c r="N81" t="s">
        <v>173</v>
      </c>
      <c r="O81" t="s">
        <v>85</v>
      </c>
      <c r="P81">
        <v>0</v>
      </c>
      <c r="Q81">
        <v>0</v>
      </c>
      <c r="R81" s="1">
        <v>42025</v>
      </c>
      <c r="S81" t="s">
        <v>46</v>
      </c>
      <c r="T81" t="s">
        <v>76</v>
      </c>
      <c r="U81" t="s">
        <v>48</v>
      </c>
      <c r="V81" t="s">
        <v>99</v>
      </c>
      <c r="W81" t="s">
        <v>50</v>
      </c>
      <c r="X81" t="s">
        <v>156</v>
      </c>
      <c r="Y81" t="s">
        <v>253</v>
      </c>
      <c r="Z81">
        <v>16</v>
      </c>
      <c r="AA81">
        <v>1</v>
      </c>
      <c r="AB81" t="s">
        <v>62</v>
      </c>
      <c r="AC81">
        <v>1</v>
      </c>
      <c r="AD81">
        <v>2</v>
      </c>
      <c r="AE81" t="s">
        <v>62</v>
      </c>
      <c r="AF81">
        <v>72200</v>
      </c>
      <c r="AG81">
        <v>14440</v>
      </c>
      <c r="AH81">
        <v>7220</v>
      </c>
      <c r="AI81">
        <v>50540</v>
      </c>
      <c r="AJ81" t="s">
        <v>187</v>
      </c>
      <c r="AK81" t="s">
        <v>201</v>
      </c>
      <c r="AL81">
        <v>2013</v>
      </c>
      <c r="AM81" t="s">
        <v>56</v>
      </c>
      <c r="AN81" s="2">
        <f t="shared" si="7"/>
        <v>73.849049270203651</v>
      </c>
      <c r="AO81">
        <f t="shared" si="8"/>
        <v>-71223.33</v>
      </c>
      <c r="AP81" s="2">
        <f t="shared" si="9"/>
        <v>1.3527097962632096E-2</v>
      </c>
      <c r="AQ81" s="2">
        <f t="shared" si="13"/>
        <v>2</v>
      </c>
      <c r="AR81">
        <f t="shared" si="10"/>
        <v>227</v>
      </c>
      <c r="AS81" t="str">
        <f t="shared" si="11"/>
        <v>High Claim Ratio</v>
      </c>
      <c r="AT81" t="str">
        <f t="shared" si="12"/>
        <v>High Profit</v>
      </c>
    </row>
    <row r="82" spans="1:46" x14ac:dyDescent="0.2">
      <c r="A82">
        <v>137</v>
      </c>
      <c r="B82">
        <v>31</v>
      </c>
      <c r="C82">
        <v>484200</v>
      </c>
      <c r="D82" s="1">
        <v>34619</v>
      </c>
      <c r="E82" t="s">
        <v>39</v>
      </c>
      <c r="F82" t="s">
        <v>40</v>
      </c>
      <c r="G82">
        <v>2000</v>
      </c>
      <c r="H82">
        <v>1340.43</v>
      </c>
      <c r="I82">
        <v>0</v>
      </c>
      <c r="J82">
        <v>441175</v>
      </c>
      <c r="K82" t="s">
        <v>41</v>
      </c>
      <c r="L82" t="s">
        <v>131</v>
      </c>
      <c r="M82" t="s">
        <v>125</v>
      </c>
      <c r="N82" t="s">
        <v>165</v>
      </c>
      <c r="O82" t="s">
        <v>45</v>
      </c>
      <c r="P82">
        <v>52700</v>
      </c>
      <c r="Q82">
        <v>-40600</v>
      </c>
      <c r="R82" s="1">
        <v>42054</v>
      </c>
      <c r="S82" t="s">
        <v>75</v>
      </c>
      <c r="T82" t="s">
        <v>47</v>
      </c>
      <c r="U82" t="s">
        <v>63</v>
      </c>
      <c r="V82" t="s">
        <v>136</v>
      </c>
      <c r="W82" t="s">
        <v>121</v>
      </c>
      <c r="X82" t="s">
        <v>87</v>
      </c>
      <c r="Y82" t="s">
        <v>254</v>
      </c>
      <c r="Z82">
        <v>6</v>
      </c>
      <c r="AA82">
        <v>3</v>
      </c>
      <c r="AB82" t="s">
        <v>79</v>
      </c>
      <c r="AC82">
        <v>1</v>
      </c>
      <c r="AD82">
        <v>2</v>
      </c>
      <c r="AE82" t="s">
        <v>79</v>
      </c>
      <c r="AF82">
        <v>50800</v>
      </c>
      <c r="AG82">
        <v>10160</v>
      </c>
      <c r="AH82">
        <v>10160</v>
      </c>
      <c r="AI82">
        <v>30480</v>
      </c>
      <c r="AJ82" t="s">
        <v>95</v>
      </c>
      <c r="AK82" t="s">
        <v>148</v>
      </c>
      <c r="AL82">
        <v>2005</v>
      </c>
      <c r="AM82" t="s">
        <v>82</v>
      </c>
      <c r="AN82" s="2">
        <f t="shared" si="7"/>
        <v>37.870034217215952</v>
      </c>
      <c r="AO82">
        <f t="shared" si="8"/>
        <v>-49459.57</v>
      </c>
      <c r="AP82" s="2">
        <f t="shared" si="9"/>
        <v>2.6385897915395369E-2</v>
      </c>
      <c r="AQ82" s="2">
        <f t="shared" si="13"/>
        <v>10</v>
      </c>
      <c r="AR82">
        <f t="shared" si="10"/>
        <v>137</v>
      </c>
      <c r="AS82" t="str">
        <f t="shared" si="11"/>
        <v>High Claim Ratio</v>
      </c>
      <c r="AT82" t="str">
        <f t="shared" si="12"/>
        <v>High Profit</v>
      </c>
    </row>
    <row r="83" spans="1:46" x14ac:dyDescent="0.2">
      <c r="A83">
        <v>244</v>
      </c>
      <c r="B83">
        <v>40</v>
      </c>
      <c r="C83">
        <v>645258</v>
      </c>
      <c r="D83" s="1">
        <v>35615</v>
      </c>
      <c r="E83" t="s">
        <v>39</v>
      </c>
      <c r="F83" t="s">
        <v>91</v>
      </c>
      <c r="G83">
        <v>2000</v>
      </c>
      <c r="H83">
        <v>1267.81</v>
      </c>
      <c r="I83">
        <v>5000000</v>
      </c>
      <c r="J83">
        <v>603123</v>
      </c>
      <c r="K83" t="s">
        <v>70</v>
      </c>
      <c r="L83" t="s">
        <v>124</v>
      </c>
      <c r="M83" t="s">
        <v>125</v>
      </c>
      <c r="N83" t="s">
        <v>181</v>
      </c>
      <c r="O83" t="s">
        <v>119</v>
      </c>
      <c r="P83">
        <v>0</v>
      </c>
      <c r="Q83">
        <v>0</v>
      </c>
      <c r="R83" s="1">
        <v>42007</v>
      </c>
      <c r="S83" t="s">
        <v>61</v>
      </c>
      <c r="T83" t="s">
        <v>62</v>
      </c>
      <c r="U83" t="s">
        <v>212</v>
      </c>
      <c r="V83" t="s">
        <v>93</v>
      </c>
      <c r="W83" t="s">
        <v>121</v>
      </c>
      <c r="X83" t="s">
        <v>156</v>
      </c>
      <c r="Y83" t="s">
        <v>255</v>
      </c>
      <c r="Z83">
        <v>10</v>
      </c>
      <c r="AA83">
        <v>1</v>
      </c>
      <c r="AB83" t="s">
        <v>62</v>
      </c>
      <c r="AC83">
        <v>2</v>
      </c>
      <c r="AD83">
        <v>1</v>
      </c>
      <c r="AE83" t="s">
        <v>62</v>
      </c>
      <c r="AF83">
        <v>6600</v>
      </c>
      <c r="AG83">
        <v>660</v>
      </c>
      <c r="AH83">
        <v>1320</v>
      </c>
      <c r="AI83">
        <v>4620</v>
      </c>
      <c r="AJ83" t="s">
        <v>95</v>
      </c>
      <c r="AK83" t="s">
        <v>158</v>
      </c>
      <c r="AL83">
        <v>2005</v>
      </c>
      <c r="AM83" t="s">
        <v>82</v>
      </c>
      <c r="AN83" s="2">
        <f t="shared" si="7"/>
        <v>5.2017244504693378</v>
      </c>
      <c r="AO83">
        <f t="shared" si="8"/>
        <v>-5332.1900000000005</v>
      </c>
      <c r="AP83" s="2">
        <f t="shared" si="9"/>
        <v>0.19206332373882745</v>
      </c>
      <c r="AQ83" s="2">
        <f t="shared" si="13"/>
        <v>10</v>
      </c>
      <c r="AR83">
        <f t="shared" si="10"/>
        <v>244</v>
      </c>
      <c r="AS83" t="str">
        <f t="shared" si="11"/>
        <v>Medium Claim Ratio</v>
      </c>
      <c r="AT83" t="str">
        <f t="shared" si="12"/>
        <v>High Profit</v>
      </c>
    </row>
    <row r="84" spans="1:46" x14ac:dyDescent="0.2">
      <c r="A84">
        <v>78</v>
      </c>
      <c r="B84">
        <v>29</v>
      </c>
      <c r="C84">
        <v>694662</v>
      </c>
      <c r="D84" s="1">
        <v>40589</v>
      </c>
      <c r="E84" t="s">
        <v>83</v>
      </c>
      <c r="F84" t="s">
        <v>40</v>
      </c>
      <c r="G84">
        <v>1000</v>
      </c>
      <c r="H84">
        <v>1234.2</v>
      </c>
      <c r="I84">
        <v>6000000</v>
      </c>
      <c r="J84">
        <v>457767</v>
      </c>
      <c r="K84" t="s">
        <v>41</v>
      </c>
      <c r="L84" t="s">
        <v>124</v>
      </c>
      <c r="M84" t="s">
        <v>111</v>
      </c>
      <c r="N84" t="s">
        <v>98</v>
      </c>
      <c r="O84" t="s">
        <v>60</v>
      </c>
      <c r="P84">
        <v>0</v>
      </c>
      <c r="Q84">
        <v>0</v>
      </c>
      <c r="R84" s="1">
        <v>42033</v>
      </c>
      <c r="S84" t="s">
        <v>61</v>
      </c>
      <c r="T84" t="s">
        <v>62</v>
      </c>
      <c r="U84" t="s">
        <v>63</v>
      </c>
      <c r="V84" t="s">
        <v>49</v>
      </c>
      <c r="W84" t="s">
        <v>77</v>
      </c>
      <c r="X84" t="s">
        <v>156</v>
      </c>
      <c r="Y84" t="s">
        <v>256</v>
      </c>
      <c r="Z84">
        <v>3</v>
      </c>
      <c r="AA84">
        <v>1</v>
      </c>
      <c r="AB84" t="s">
        <v>53</v>
      </c>
      <c r="AC84">
        <v>2</v>
      </c>
      <c r="AD84">
        <v>2</v>
      </c>
      <c r="AE84" t="s">
        <v>79</v>
      </c>
      <c r="AF84">
        <v>7500</v>
      </c>
      <c r="AG84">
        <v>750</v>
      </c>
      <c r="AH84">
        <v>1500</v>
      </c>
      <c r="AI84">
        <v>5250</v>
      </c>
      <c r="AJ84" t="s">
        <v>104</v>
      </c>
      <c r="AK84" t="s">
        <v>151</v>
      </c>
      <c r="AL84">
        <v>2002</v>
      </c>
      <c r="AM84" t="s">
        <v>82</v>
      </c>
      <c r="AN84" s="2">
        <f t="shared" si="7"/>
        <v>6.0718911917098444</v>
      </c>
      <c r="AO84">
        <f t="shared" si="8"/>
        <v>-6265.8</v>
      </c>
      <c r="AP84" s="2">
        <f t="shared" si="9"/>
        <v>0.16453806159178777</v>
      </c>
      <c r="AQ84" s="2">
        <f t="shared" si="13"/>
        <v>13</v>
      </c>
      <c r="AR84">
        <f t="shared" si="10"/>
        <v>78</v>
      </c>
      <c r="AS84" t="str">
        <f t="shared" si="11"/>
        <v>Medium Claim Ratio</v>
      </c>
      <c r="AT84" t="str">
        <f t="shared" si="12"/>
        <v>High Profit</v>
      </c>
    </row>
    <row r="85" spans="1:46" x14ac:dyDescent="0.2">
      <c r="A85">
        <v>200</v>
      </c>
      <c r="B85">
        <v>35</v>
      </c>
      <c r="C85">
        <v>960680</v>
      </c>
      <c r="D85" s="1">
        <v>34567</v>
      </c>
      <c r="E85" t="s">
        <v>57</v>
      </c>
      <c r="F85" t="s">
        <v>40</v>
      </c>
      <c r="G85">
        <v>2000</v>
      </c>
      <c r="H85">
        <v>1318.06</v>
      </c>
      <c r="I85">
        <v>0</v>
      </c>
      <c r="J85">
        <v>618498</v>
      </c>
      <c r="K85" t="s">
        <v>41</v>
      </c>
      <c r="L85" t="s">
        <v>131</v>
      </c>
      <c r="M85" t="s">
        <v>125</v>
      </c>
      <c r="N85" t="s">
        <v>181</v>
      </c>
      <c r="O85" t="s">
        <v>119</v>
      </c>
      <c r="P85">
        <v>57300</v>
      </c>
      <c r="Q85">
        <v>-80600</v>
      </c>
      <c r="R85" s="1">
        <v>42023</v>
      </c>
      <c r="S85" t="s">
        <v>61</v>
      </c>
      <c r="T85" t="s">
        <v>62</v>
      </c>
      <c r="U85" t="s">
        <v>212</v>
      </c>
      <c r="V85" t="s">
        <v>93</v>
      </c>
      <c r="W85" t="s">
        <v>64</v>
      </c>
      <c r="X85" t="s">
        <v>122</v>
      </c>
      <c r="Y85" t="s">
        <v>257</v>
      </c>
      <c r="Z85">
        <v>13</v>
      </c>
      <c r="AA85">
        <v>1</v>
      </c>
      <c r="AB85" t="s">
        <v>79</v>
      </c>
      <c r="AC85">
        <v>0</v>
      </c>
      <c r="AD85">
        <v>3</v>
      </c>
      <c r="AE85" t="s">
        <v>53</v>
      </c>
      <c r="AF85">
        <v>6490</v>
      </c>
      <c r="AG85">
        <v>1180</v>
      </c>
      <c r="AH85">
        <v>1180</v>
      </c>
      <c r="AI85">
        <v>4130</v>
      </c>
      <c r="AJ85" t="s">
        <v>214</v>
      </c>
      <c r="AK85" t="s">
        <v>258</v>
      </c>
      <c r="AL85">
        <v>2002</v>
      </c>
      <c r="AM85" t="s">
        <v>82</v>
      </c>
      <c r="AN85" s="2">
        <f t="shared" si="7"/>
        <v>4.9201704243931284</v>
      </c>
      <c r="AO85">
        <f t="shared" si="8"/>
        <v>-5171.9400000000005</v>
      </c>
      <c r="AP85" s="2">
        <f t="shared" si="9"/>
        <v>0.20305962101371128</v>
      </c>
      <c r="AQ85" s="2">
        <f t="shared" si="13"/>
        <v>13</v>
      </c>
      <c r="AR85">
        <f t="shared" si="10"/>
        <v>200</v>
      </c>
      <c r="AS85" t="str">
        <f t="shared" si="11"/>
        <v>Low Claim Ratio</v>
      </c>
      <c r="AT85" t="str">
        <f t="shared" si="12"/>
        <v>High Profit</v>
      </c>
    </row>
    <row r="86" spans="1:46" x14ac:dyDescent="0.2">
      <c r="A86">
        <v>284</v>
      </c>
      <c r="B86">
        <v>48</v>
      </c>
      <c r="C86">
        <v>498140</v>
      </c>
      <c r="D86" s="1">
        <v>35565</v>
      </c>
      <c r="E86" t="s">
        <v>57</v>
      </c>
      <c r="F86" t="s">
        <v>91</v>
      </c>
      <c r="G86">
        <v>2000</v>
      </c>
      <c r="H86">
        <v>769.95</v>
      </c>
      <c r="I86">
        <v>0</v>
      </c>
      <c r="J86">
        <v>605486</v>
      </c>
      <c r="K86" t="s">
        <v>41</v>
      </c>
      <c r="L86" t="s">
        <v>124</v>
      </c>
      <c r="M86" t="s">
        <v>101</v>
      </c>
      <c r="N86" t="s">
        <v>146</v>
      </c>
      <c r="O86" t="s">
        <v>142</v>
      </c>
      <c r="P86">
        <v>0</v>
      </c>
      <c r="Q86">
        <v>-44200</v>
      </c>
      <c r="R86" s="1">
        <v>42023</v>
      </c>
      <c r="S86" t="s">
        <v>75</v>
      </c>
      <c r="T86" t="s">
        <v>47</v>
      </c>
      <c r="U86" t="s">
        <v>48</v>
      </c>
      <c r="V86" t="s">
        <v>136</v>
      </c>
      <c r="W86" t="s">
        <v>77</v>
      </c>
      <c r="X86" t="s">
        <v>122</v>
      </c>
      <c r="Y86" t="s">
        <v>259</v>
      </c>
      <c r="Z86">
        <v>16</v>
      </c>
      <c r="AA86">
        <v>2</v>
      </c>
      <c r="AB86" t="s">
        <v>62</v>
      </c>
      <c r="AC86">
        <v>2</v>
      </c>
      <c r="AD86">
        <v>3</v>
      </c>
      <c r="AE86" t="s">
        <v>79</v>
      </c>
      <c r="AF86">
        <v>60940</v>
      </c>
      <c r="AG86">
        <v>5540</v>
      </c>
      <c r="AH86">
        <v>11080</v>
      </c>
      <c r="AI86">
        <v>44320</v>
      </c>
      <c r="AJ86" t="s">
        <v>109</v>
      </c>
      <c r="AK86" t="s">
        <v>134</v>
      </c>
      <c r="AL86">
        <v>2013</v>
      </c>
      <c r="AM86" t="s">
        <v>56</v>
      </c>
      <c r="AN86" s="2">
        <f t="shared" si="7"/>
        <v>79.045333679226928</v>
      </c>
      <c r="AO86">
        <f t="shared" si="8"/>
        <v>-60170.05</v>
      </c>
      <c r="AP86" s="2">
        <f t="shared" si="9"/>
        <v>1.2634351257773914E-2</v>
      </c>
      <c r="AQ86" s="2">
        <f t="shared" si="13"/>
        <v>2</v>
      </c>
      <c r="AR86">
        <f t="shared" si="10"/>
        <v>284</v>
      </c>
      <c r="AS86" t="str">
        <f t="shared" si="11"/>
        <v>High Claim Ratio</v>
      </c>
      <c r="AT86" t="str">
        <f t="shared" si="12"/>
        <v>High Profit</v>
      </c>
    </row>
    <row r="87" spans="1:46" x14ac:dyDescent="0.2">
      <c r="A87">
        <v>275</v>
      </c>
      <c r="B87">
        <v>41</v>
      </c>
      <c r="C87">
        <v>498875</v>
      </c>
      <c r="D87" s="1">
        <v>35364</v>
      </c>
      <c r="E87" t="s">
        <v>39</v>
      </c>
      <c r="F87" t="s">
        <v>69</v>
      </c>
      <c r="G87">
        <v>2000</v>
      </c>
      <c r="H87">
        <v>1514.72</v>
      </c>
      <c r="I87">
        <v>0</v>
      </c>
      <c r="J87">
        <v>617970</v>
      </c>
      <c r="K87" t="s">
        <v>41</v>
      </c>
      <c r="L87" t="s">
        <v>131</v>
      </c>
      <c r="M87" t="s">
        <v>145</v>
      </c>
      <c r="N87" t="s">
        <v>73</v>
      </c>
      <c r="O87" t="s">
        <v>74</v>
      </c>
      <c r="P87">
        <v>35700</v>
      </c>
      <c r="Q87">
        <v>0</v>
      </c>
      <c r="R87" s="1">
        <v>42037</v>
      </c>
      <c r="S87" t="s">
        <v>75</v>
      </c>
      <c r="T87" t="s">
        <v>86</v>
      </c>
      <c r="U87" t="s">
        <v>48</v>
      </c>
      <c r="V87" t="s">
        <v>99</v>
      </c>
      <c r="W87" t="s">
        <v>77</v>
      </c>
      <c r="X87" t="s">
        <v>156</v>
      </c>
      <c r="Y87" t="s">
        <v>260</v>
      </c>
      <c r="Z87">
        <v>13</v>
      </c>
      <c r="AA87">
        <v>3</v>
      </c>
      <c r="AB87" t="s">
        <v>53</v>
      </c>
      <c r="AC87">
        <v>0</v>
      </c>
      <c r="AD87">
        <v>1</v>
      </c>
      <c r="AE87" t="s">
        <v>62</v>
      </c>
      <c r="AF87">
        <v>58300</v>
      </c>
      <c r="AG87">
        <v>5830</v>
      </c>
      <c r="AH87">
        <v>11660</v>
      </c>
      <c r="AI87">
        <v>40810</v>
      </c>
      <c r="AJ87" t="s">
        <v>153</v>
      </c>
      <c r="AK87" t="s">
        <v>154</v>
      </c>
      <c r="AL87">
        <v>2007</v>
      </c>
      <c r="AM87" t="s">
        <v>82</v>
      </c>
      <c r="AN87" s="2">
        <f t="shared" si="7"/>
        <v>38.463568469110392</v>
      </c>
      <c r="AO87">
        <f t="shared" si="8"/>
        <v>-56785.279999999999</v>
      </c>
      <c r="AP87" s="2">
        <f t="shared" si="9"/>
        <v>2.5981029484914497E-2</v>
      </c>
      <c r="AQ87" s="2">
        <f t="shared" si="13"/>
        <v>8</v>
      </c>
      <c r="AR87">
        <f t="shared" si="10"/>
        <v>275</v>
      </c>
      <c r="AS87" t="str">
        <f t="shared" si="11"/>
        <v>High Claim Ratio</v>
      </c>
      <c r="AT87" t="str">
        <f t="shared" si="12"/>
        <v>High Profit</v>
      </c>
    </row>
    <row r="88" spans="1:46" x14ac:dyDescent="0.2">
      <c r="A88">
        <v>153</v>
      </c>
      <c r="B88">
        <v>34</v>
      </c>
      <c r="C88">
        <v>798177</v>
      </c>
      <c r="D88" s="1">
        <v>38780</v>
      </c>
      <c r="E88" t="s">
        <v>83</v>
      </c>
      <c r="F88" t="s">
        <v>91</v>
      </c>
      <c r="G88">
        <v>1000</v>
      </c>
      <c r="H88">
        <v>873.64</v>
      </c>
      <c r="I88">
        <v>4000000</v>
      </c>
      <c r="J88">
        <v>432934</v>
      </c>
      <c r="K88" t="s">
        <v>70</v>
      </c>
      <c r="L88" t="s">
        <v>92</v>
      </c>
      <c r="M88" t="s">
        <v>117</v>
      </c>
      <c r="N88" t="s">
        <v>155</v>
      </c>
      <c r="O88" t="s">
        <v>45</v>
      </c>
      <c r="P88">
        <v>800</v>
      </c>
      <c r="Q88">
        <v>0</v>
      </c>
      <c r="R88" s="1">
        <v>42034</v>
      </c>
      <c r="S88" t="s">
        <v>75</v>
      </c>
      <c r="T88" t="s">
        <v>86</v>
      </c>
      <c r="U88" t="s">
        <v>63</v>
      </c>
      <c r="V88" t="s">
        <v>120</v>
      </c>
      <c r="W88" t="s">
        <v>50</v>
      </c>
      <c r="X88" t="s">
        <v>51</v>
      </c>
      <c r="Y88" t="s">
        <v>261</v>
      </c>
      <c r="Z88">
        <v>9</v>
      </c>
      <c r="AA88">
        <v>3</v>
      </c>
      <c r="AB88" t="s">
        <v>79</v>
      </c>
      <c r="AC88">
        <v>2</v>
      </c>
      <c r="AD88">
        <v>1</v>
      </c>
      <c r="AE88" t="s">
        <v>62</v>
      </c>
      <c r="AF88">
        <v>68400</v>
      </c>
      <c r="AG88">
        <v>11400</v>
      </c>
      <c r="AH88">
        <v>11400</v>
      </c>
      <c r="AI88">
        <v>45600</v>
      </c>
      <c r="AJ88" t="s">
        <v>129</v>
      </c>
      <c r="AK88" t="s">
        <v>130</v>
      </c>
      <c r="AL88">
        <v>2007</v>
      </c>
      <c r="AM88" t="s">
        <v>82</v>
      </c>
      <c r="AN88" s="2">
        <f t="shared" si="7"/>
        <v>78.203603768407575</v>
      </c>
      <c r="AO88">
        <f t="shared" si="8"/>
        <v>-67526.36</v>
      </c>
      <c r="AP88" s="2">
        <f t="shared" si="9"/>
        <v>1.277232788994313E-2</v>
      </c>
      <c r="AQ88" s="2">
        <f t="shared" si="13"/>
        <v>8</v>
      </c>
      <c r="AR88">
        <f t="shared" si="10"/>
        <v>153</v>
      </c>
      <c r="AS88" t="str">
        <f t="shared" si="11"/>
        <v>High Claim Ratio</v>
      </c>
      <c r="AT88" t="str">
        <f t="shared" si="12"/>
        <v>High Profit</v>
      </c>
    </row>
    <row r="89" spans="1:46" x14ac:dyDescent="0.2">
      <c r="A89">
        <v>134</v>
      </c>
      <c r="B89">
        <v>32</v>
      </c>
      <c r="C89">
        <v>614763</v>
      </c>
      <c r="D89" s="1">
        <v>33240</v>
      </c>
      <c r="E89" t="s">
        <v>83</v>
      </c>
      <c r="F89" t="s">
        <v>91</v>
      </c>
      <c r="G89">
        <v>500</v>
      </c>
      <c r="H89">
        <v>1612.43</v>
      </c>
      <c r="I89">
        <v>0</v>
      </c>
      <c r="J89">
        <v>456762</v>
      </c>
      <c r="K89" t="s">
        <v>70</v>
      </c>
      <c r="L89" t="s">
        <v>42</v>
      </c>
      <c r="M89" t="s">
        <v>111</v>
      </c>
      <c r="N89" t="s">
        <v>155</v>
      </c>
      <c r="O89" t="s">
        <v>74</v>
      </c>
      <c r="P89">
        <v>36400</v>
      </c>
      <c r="Q89">
        <v>0</v>
      </c>
      <c r="R89" s="1">
        <v>42012</v>
      </c>
      <c r="S89" t="s">
        <v>46</v>
      </c>
      <c r="T89" t="s">
        <v>47</v>
      </c>
      <c r="U89" t="s">
        <v>107</v>
      </c>
      <c r="V89" t="s">
        <v>99</v>
      </c>
      <c r="W89" t="s">
        <v>64</v>
      </c>
      <c r="X89" t="s">
        <v>102</v>
      </c>
      <c r="Y89" t="s">
        <v>262</v>
      </c>
      <c r="Z89">
        <v>2</v>
      </c>
      <c r="AA89">
        <v>1</v>
      </c>
      <c r="AB89" t="s">
        <v>62</v>
      </c>
      <c r="AC89">
        <v>2</v>
      </c>
      <c r="AD89">
        <v>1</v>
      </c>
      <c r="AE89" t="s">
        <v>53</v>
      </c>
      <c r="AF89">
        <v>64240</v>
      </c>
      <c r="AG89">
        <v>11680</v>
      </c>
      <c r="AH89">
        <v>11680</v>
      </c>
      <c r="AI89">
        <v>40880</v>
      </c>
      <c r="AJ89" t="s">
        <v>187</v>
      </c>
      <c r="AK89" t="s">
        <v>188</v>
      </c>
      <c r="AL89">
        <v>2015</v>
      </c>
      <c r="AM89" t="s">
        <v>82</v>
      </c>
      <c r="AN89" s="2">
        <f t="shared" si="7"/>
        <v>39.815796160973825</v>
      </c>
      <c r="AO89">
        <f t="shared" si="8"/>
        <v>-62627.57</v>
      </c>
      <c r="AP89" s="2">
        <f t="shared" si="9"/>
        <v>2.5099702682087763E-2</v>
      </c>
      <c r="AQ89" s="2">
        <f t="shared" si="13"/>
        <v>0</v>
      </c>
      <c r="AR89">
        <f t="shared" si="10"/>
        <v>134</v>
      </c>
      <c r="AS89" t="str">
        <f t="shared" si="11"/>
        <v>High Claim Ratio</v>
      </c>
      <c r="AT89" t="str">
        <f t="shared" si="12"/>
        <v>High Profit</v>
      </c>
    </row>
    <row r="90" spans="1:46" x14ac:dyDescent="0.2">
      <c r="A90">
        <v>31</v>
      </c>
      <c r="B90">
        <v>36</v>
      </c>
      <c r="C90">
        <v>679370</v>
      </c>
      <c r="D90" s="1">
        <v>36387</v>
      </c>
      <c r="E90" t="s">
        <v>83</v>
      </c>
      <c r="F90" t="s">
        <v>91</v>
      </c>
      <c r="G90">
        <v>2000</v>
      </c>
      <c r="H90">
        <v>1318.24</v>
      </c>
      <c r="I90">
        <v>9000000</v>
      </c>
      <c r="J90">
        <v>601748</v>
      </c>
      <c r="K90" t="s">
        <v>70</v>
      </c>
      <c r="L90" t="s">
        <v>141</v>
      </c>
      <c r="M90" t="s">
        <v>101</v>
      </c>
      <c r="N90" t="s">
        <v>170</v>
      </c>
      <c r="O90" t="s">
        <v>142</v>
      </c>
      <c r="P90">
        <v>0</v>
      </c>
      <c r="Q90">
        <v>-78600</v>
      </c>
      <c r="R90" s="1">
        <v>42034</v>
      </c>
      <c r="S90" t="s">
        <v>138</v>
      </c>
      <c r="T90" t="s">
        <v>62</v>
      </c>
      <c r="U90" t="s">
        <v>212</v>
      </c>
      <c r="V90" t="s">
        <v>93</v>
      </c>
      <c r="W90" t="s">
        <v>113</v>
      </c>
      <c r="X90" t="s">
        <v>87</v>
      </c>
      <c r="Y90" t="s">
        <v>263</v>
      </c>
      <c r="Z90">
        <v>9</v>
      </c>
      <c r="AA90">
        <v>1</v>
      </c>
      <c r="AB90" t="s">
        <v>79</v>
      </c>
      <c r="AC90">
        <v>0</v>
      </c>
      <c r="AD90">
        <v>1</v>
      </c>
      <c r="AE90" t="s">
        <v>53</v>
      </c>
      <c r="AF90">
        <v>4700</v>
      </c>
      <c r="AG90">
        <v>940</v>
      </c>
      <c r="AH90">
        <v>470</v>
      </c>
      <c r="AI90">
        <v>3290</v>
      </c>
      <c r="AJ90" t="s">
        <v>80</v>
      </c>
      <c r="AK90" t="s">
        <v>144</v>
      </c>
      <c r="AL90">
        <v>2002</v>
      </c>
      <c r="AM90" t="s">
        <v>82</v>
      </c>
      <c r="AN90" s="2">
        <f t="shared" si="7"/>
        <v>3.5626572875291833</v>
      </c>
      <c r="AO90">
        <f t="shared" si="8"/>
        <v>-3381.76</v>
      </c>
      <c r="AP90" s="2">
        <f t="shared" si="9"/>
        <v>0.2804169325675388</v>
      </c>
      <c r="AQ90" s="2">
        <f t="shared" si="13"/>
        <v>13</v>
      </c>
      <c r="AR90">
        <f t="shared" si="10"/>
        <v>31</v>
      </c>
      <c r="AS90" t="str">
        <f t="shared" si="11"/>
        <v>Low Claim Ratio</v>
      </c>
      <c r="AT90" t="str">
        <f t="shared" si="12"/>
        <v>Low Profit</v>
      </c>
    </row>
    <row r="91" spans="1:46" x14ac:dyDescent="0.2">
      <c r="A91">
        <v>41</v>
      </c>
      <c r="B91">
        <v>25</v>
      </c>
      <c r="C91">
        <v>958857</v>
      </c>
      <c r="D91" s="1">
        <v>33618</v>
      </c>
      <c r="E91" t="s">
        <v>57</v>
      </c>
      <c r="F91" t="s">
        <v>69</v>
      </c>
      <c r="G91">
        <v>1000</v>
      </c>
      <c r="H91">
        <v>1226.83</v>
      </c>
      <c r="I91">
        <v>0</v>
      </c>
      <c r="J91">
        <v>607763</v>
      </c>
      <c r="K91" t="s">
        <v>70</v>
      </c>
      <c r="L91" t="s">
        <v>141</v>
      </c>
      <c r="M91" t="s">
        <v>125</v>
      </c>
      <c r="N91" t="s">
        <v>264</v>
      </c>
      <c r="O91" t="s">
        <v>142</v>
      </c>
      <c r="P91">
        <v>0</v>
      </c>
      <c r="Q91">
        <v>-56100</v>
      </c>
      <c r="R91" s="1">
        <v>42011</v>
      </c>
      <c r="S91" t="s">
        <v>75</v>
      </c>
      <c r="T91" t="s">
        <v>47</v>
      </c>
      <c r="U91" t="s">
        <v>48</v>
      </c>
      <c r="V91" t="s">
        <v>120</v>
      </c>
      <c r="W91" t="s">
        <v>50</v>
      </c>
      <c r="X91" t="s">
        <v>51</v>
      </c>
      <c r="Y91" t="s">
        <v>265</v>
      </c>
      <c r="Z91">
        <v>12</v>
      </c>
      <c r="AA91">
        <v>3</v>
      </c>
      <c r="AB91" t="s">
        <v>53</v>
      </c>
      <c r="AC91">
        <v>2</v>
      </c>
      <c r="AD91">
        <v>0</v>
      </c>
      <c r="AE91" t="s">
        <v>62</v>
      </c>
      <c r="AF91">
        <v>45120</v>
      </c>
      <c r="AG91">
        <v>0</v>
      </c>
      <c r="AH91">
        <v>5640</v>
      </c>
      <c r="AI91">
        <v>39480</v>
      </c>
      <c r="AJ91" t="s">
        <v>95</v>
      </c>
      <c r="AK91" t="s">
        <v>148</v>
      </c>
      <c r="AL91">
        <v>2011</v>
      </c>
      <c r="AM91" t="s">
        <v>56</v>
      </c>
      <c r="AN91" s="2">
        <f t="shared" si="7"/>
        <v>36.747758240147256</v>
      </c>
      <c r="AO91">
        <f t="shared" si="8"/>
        <v>-43893.17</v>
      </c>
      <c r="AP91" s="2">
        <f t="shared" si="9"/>
        <v>2.7189778595332548E-2</v>
      </c>
      <c r="AQ91" s="2">
        <f t="shared" si="13"/>
        <v>4</v>
      </c>
      <c r="AR91">
        <f t="shared" si="10"/>
        <v>41</v>
      </c>
      <c r="AS91" t="str">
        <f t="shared" si="11"/>
        <v>High Claim Ratio</v>
      </c>
      <c r="AT91" t="str">
        <f t="shared" si="12"/>
        <v>High Profit</v>
      </c>
    </row>
    <row r="92" spans="1:46" x14ac:dyDescent="0.2">
      <c r="A92">
        <v>127</v>
      </c>
      <c r="B92">
        <v>29</v>
      </c>
      <c r="C92">
        <v>686816</v>
      </c>
      <c r="D92" s="1">
        <v>36501</v>
      </c>
      <c r="E92" t="s">
        <v>39</v>
      </c>
      <c r="F92" t="s">
        <v>40</v>
      </c>
      <c r="G92">
        <v>2000</v>
      </c>
      <c r="H92">
        <v>1326.44</v>
      </c>
      <c r="I92">
        <v>5000000</v>
      </c>
      <c r="J92">
        <v>436973</v>
      </c>
      <c r="K92" t="s">
        <v>70</v>
      </c>
      <c r="L92" t="s">
        <v>131</v>
      </c>
      <c r="M92" t="s">
        <v>72</v>
      </c>
      <c r="N92" t="s">
        <v>73</v>
      </c>
      <c r="O92" t="s">
        <v>74</v>
      </c>
      <c r="P92">
        <v>0</v>
      </c>
      <c r="Q92">
        <v>0</v>
      </c>
      <c r="R92" s="1">
        <v>42059</v>
      </c>
      <c r="S92" t="s">
        <v>75</v>
      </c>
      <c r="T92" t="s">
        <v>86</v>
      </c>
      <c r="U92" t="s">
        <v>107</v>
      </c>
      <c r="V92" t="s">
        <v>99</v>
      </c>
      <c r="W92" t="s">
        <v>50</v>
      </c>
      <c r="X92" t="s">
        <v>87</v>
      </c>
      <c r="Y92" t="s">
        <v>266</v>
      </c>
      <c r="Z92">
        <v>12</v>
      </c>
      <c r="AA92">
        <v>2</v>
      </c>
      <c r="AB92" t="s">
        <v>53</v>
      </c>
      <c r="AC92">
        <v>1</v>
      </c>
      <c r="AD92">
        <v>1</v>
      </c>
      <c r="AE92" t="s">
        <v>62</v>
      </c>
      <c r="AF92">
        <v>66950</v>
      </c>
      <c r="AG92">
        <v>10300</v>
      </c>
      <c r="AH92">
        <v>10300</v>
      </c>
      <c r="AI92">
        <v>46350</v>
      </c>
      <c r="AJ92" t="s">
        <v>54</v>
      </c>
      <c r="AK92">
        <v>93</v>
      </c>
      <c r="AL92">
        <v>1995</v>
      </c>
      <c r="AM92" t="s">
        <v>82</v>
      </c>
      <c r="AN92" s="2">
        <f t="shared" si="7"/>
        <v>50.435424576628698</v>
      </c>
      <c r="AO92">
        <f t="shared" si="8"/>
        <v>-65623.56</v>
      </c>
      <c r="AP92" s="2">
        <f t="shared" si="9"/>
        <v>1.9812101387581965E-2</v>
      </c>
      <c r="AQ92" s="2">
        <f t="shared" si="13"/>
        <v>20</v>
      </c>
      <c r="AR92">
        <f t="shared" si="10"/>
        <v>127</v>
      </c>
      <c r="AS92" t="str">
        <f t="shared" si="11"/>
        <v>High Claim Ratio</v>
      </c>
      <c r="AT92" t="str">
        <f t="shared" si="12"/>
        <v>High Profit</v>
      </c>
    </row>
    <row r="93" spans="1:46" x14ac:dyDescent="0.2">
      <c r="A93">
        <v>61</v>
      </c>
      <c r="B93">
        <v>23</v>
      </c>
      <c r="C93">
        <v>127754</v>
      </c>
      <c r="D93" s="1">
        <v>34126</v>
      </c>
      <c r="E93" t="s">
        <v>83</v>
      </c>
      <c r="F93" t="s">
        <v>40</v>
      </c>
      <c r="G93">
        <v>2000</v>
      </c>
      <c r="H93">
        <v>1136.83</v>
      </c>
      <c r="I93">
        <v>4000000</v>
      </c>
      <c r="J93">
        <v>471300</v>
      </c>
      <c r="K93" t="s">
        <v>70</v>
      </c>
      <c r="L93" t="s">
        <v>92</v>
      </c>
      <c r="M93" t="s">
        <v>97</v>
      </c>
      <c r="N93" t="s">
        <v>264</v>
      </c>
      <c r="O93" t="s">
        <v>74</v>
      </c>
      <c r="P93">
        <v>0</v>
      </c>
      <c r="Q93">
        <v>-62400</v>
      </c>
      <c r="R93" s="1">
        <v>42037</v>
      </c>
      <c r="S93" t="s">
        <v>46</v>
      </c>
      <c r="T93" t="s">
        <v>47</v>
      </c>
      <c r="U93" t="s">
        <v>48</v>
      </c>
      <c r="V93" t="s">
        <v>49</v>
      </c>
      <c r="W93" t="s">
        <v>77</v>
      </c>
      <c r="X93" t="s">
        <v>51</v>
      </c>
      <c r="Y93" t="s">
        <v>267</v>
      </c>
      <c r="Z93">
        <v>14</v>
      </c>
      <c r="AA93">
        <v>1</v>
      </c>
      <c r="AB93" t="s">
        <v>79</v>
      </c>
      <c r="AC93">
        <v>0</v>
      </c>
      <c r="AD93">
        <v>3</v>
      </c>
      <c r="AE93" t="s">
        <v>62</v>
      </c>
      <c r="AF93">
        <v>98340</v>
      </c>
      <c r="AG93">
        <v>8940</v>
      </c>
      <c r="AH93">
        <v>17880</v>
      </c>
      <c r="AI93">
        <v>71520</v>
      </c>
      <c r="AJ93" t="s">
        <v>209</v>
      </c>
      <c r="AK93" t="s">
        <v>231</v>
      </c>
      <c r="AL93">
        <v>2004</v>
      </c>
      <c r="AM93" t="s">
        <v>56</v>
      </c>
      <c r="AN93" s="2">
        <f t="shared" si="7"/>
        <v>86.427673729819048</v>
      </c>
      <c r="AO93">
        <f t="shared" si="8"/>
        <v>-97203.17</v>
      </c>
      <c r="AP93" s="2">
        <f t="shared" si="9"/>
        <v>1.156008175633764E-2</v>
      </c>
      <c r="AQ93" s="2">
        <f t="shared" si="13"/>
        <v>11</v>
      </c>
      <c r="AR93">
        <f t="shared" si="10"/>
        <v>61</v>
      </c>
      <c r="AS93" t="str">
        <f t="shared" si="11"/>
        <v>High Claim Ratio</v>
      </c>
      <c r="AT93" t="str">
        <f t="shared" si="12"/>
        <v>High Profit</v>
      </c>
    </row>
    <row r="94" spans="1:46" x14ac:dyDescent="0.2">
      <c r="A94">
        <v>207</v>
      </c>
      <c r="B94">
        <v>42</v>
      </c>
      <c r="C94">
        <v>918629</v>
      </c>
      <c r="D94" s="1">
        <v>36802</v>
      </c>
      <c r="E94" t="s">
        <v>83</v>
      </c>
      <c r="F94" t="s">
        <v>40</v>
      </c>
      <c r="G94">
        <v>2000</v>
      </c>
      <c r="H94">
        <v>1322.78</v>
      </c>
      <c r="I94">
        <v>0</v>
      </c>
      <c r="J94">
        <v>453277</v>
      </c>
      <c r="K94" t="s">
        <v>41</v>
      </c>
      <c r="L94" t="s">
        <v>71</v>
      </c>
      <c r="M94" t="s">
        <v>189</v>
      </c>
      <c r="N94" t="s">
        <v>155</v>
      </c>
      <c r="O94" t="s">
        <v>74</v>
      </c>
      <c r="P94">
        <v>55200</v>
      </c>
      <c r="Q94">
        <v>0</v>
      </c>
      <c r="R94" s="1">
        <v>42063</v>
      </c>
      <c r="S94" t="s">
        <v>138</v>
      </c>
      <c r="T94" t="s">
        <v>62</v>
      </c>
      <c r="U94" t="s">
        <v>212</v>
      </c>
      <c r="V94" t="s">
        <v>93</v>
      </c>
      <c r="W94" t="s">
        <v>113</v>
      </c>
      <c r="X94" t="s">
        <v>102</v>
      </c>
      <c r="Y94" t="s">
        <v>268</v>
      </c>
      <c r="Z94">
        <v>9</v>
      </c>
      <c r="AA94">
        <v>1</v>
      </c>
      <c r="AB94" t="s">
        <v>79</v>
      </c>
      <c r="AC94">
        <v>0</v>
      </c>
      <c r="AD94">
        <v>1</v>
      </c>
      <c r="AE94" t="s">
        <v>79</v>
      </c>
      <c r="AF94">
        <v>5900</v>
      </c>
      <c r="AG94">
        <v>590</v>
      </c>
      <c r="AH94">
        <v>590</v>
      </c>
      <c r="AI94">
        <v>4720</v>
      </c>
      <c r="AJ94" t="s">
        <v>187</v>
      </c>
      <c r="AK94" t="s">
        <v>203</v>
      </c>
      <c r="AL94">
        <v>2007</v>
      </c>
      <c r="AM94" t="s">
        <v>82</v>
      </c>
      <c r="AN94" s="2">
        <f t="shared" si="7"/>
        <v>4.4569339316200578</v>
      </c>
      <c r="AO94">
        <f t="shared" si="8"/>
        <v>-4577.22</v>
      </c>
      <c r="AP94" s="2">
        <f t="shared" si="9"/>
        <v>0.2241620064395865</v>
      </c>
      <c r="AQ94" s="2">
        <f t="shared" si="13"/>
        <v>8</v>
      </c>
      <c r="AR94">
        <f t="shared" si="10"/>
        <v>207</v>
      </c>
      <c r="AS94" t="str">
        <f t="shared" si="11"/>
        <v>Low Claim Ratio</v>
      </c>
      <c r="AT94" t="str">
        <f t="shared" si="12"/>
        <v>Low Profit</v>
      </c>
    </row>
    <row r="95" spans="1:46" x14ac:dyDescent="0.2">
      <c r="A95">
        <v>219</v>
      </c>
      <c r="B95">
        <v>43</v>
      </c>
      <c r="C95">
        <v>731450</v>
      </c>
      <c r="D95" s="1">
        <v>40541</v>
      </c>
      <c r="E95" t="s">
        <v>57</v>
      </c>
      <c r="F95" t="s">
        <v>69</v>
      </c>
      <c r="G95">
        <v>1000</v>
      </c>
      <c r="H95">
        <v>1483.25</v>
      </c>
      <c r="I95">
        <v>0</v>
      </c>
      <c r="J95">
        <v>465100</v>
      </c>
      <c r="K95" t="s">
        <v>70</v>
      </c>
      <c r="L95" t="s">
        <v>42</v>
      </c>
      <c r="M95" t="s">
        <v>125</v>
      </c>
      <c r="N95" t="s">
        <v>264</v>
      </c>
      <c r="O95" t="s">
        <v>142</v>
      </c>
      <c r="P95">
        <v>90700</v>
      </c>
      <c r="Q95">
        <v>-20800</v>
      </c>
      <c r="R95" s="1">
        <v>42044</v>
      </c>
      <c r="S95" t="s">
        <v>75</v>
      </c>
      <c r="T95" t="s">
        <v>86</v>
      </c>
      <c r="U95" t="s">
        <v>48</v>
      </c>
      <c r="V95" t="s">
        <v>136</v>
      </c>
      <c r="W95" t="s">
        <v>121</v>
      </c>
      <c r="X95" t="s">
        <v>65</v>
      </c>
      <c r="Y95" t="s">
        <v>269</v>
      </c>
      <c r="Z95">
        <v>3</v>
      </c>
      <c r="AA95">
        <v>3</v>
      </c>
      <c r="AB95" t="s">
        <v>79</v>
      </c>
      <c r="AC95">
        <v>1</v>
      </c>
      <c r="AD95">
        <v>1</v>
      </c>
      <c r="AE95" t="s">
        <v>62</v>
      </c>
      <c r="AF95">
        <v>70680</v>
      </c>
      <c r="AG95">
        <v>5890</v>
      </c>
      <c r="AH95">
        <v>11780</v>
      </c>
      <c r="AI95">
        <v>53010</v>
      </c>
      <c r="AJ95" t="s">
        <v>129</v>
      </c>
      <c r="AK95" t="s">
        <v>249</v>
      </c>
      <c r="AL95">
        <v>2009</v>
      </c>
      <c r="AM95" t="s">
        <v>82</v>
      </c>
      <c r="AN95" s="2">
        <f t="shared" si="7"/>
        <v>47.620010106114201</v>
      </c>
      <c r="AO95">
        <f t="shared" si="8"/>
        <v>-69196.75</v>
      </c>
      <c r="AP95" s="2">
        <f t="shared" si="9"/>
        <v>2.0985130374499512E-2</v>
      </c>
      <c r="AQ95" s="2">
        <f t="shared" si="13"/>
        <v>6</v>
      </c>
      <c r="AR95">
        <f t="shared" si="10"/>
        <v>219</v>
      </c>
      <c r="AS95" t="str">
        <f t="shared" si="11"/>
        <v>High Claim Ratio</v>
      </c>
      <c r="AT95" t="str">
        <f t="shared" si="12"/>
        <v>High Profit</v>
      </c>
    </row>
    <row r="96" spans="1:46" x14ac:dyDescent="0.2">
      <c r="A96">
        <v>271</v>
      </c>
      <c r="B96">
        <v>42</v>
      </c>
      <c r="C96">
        <v>307447</v>
      </c>
      <c r="D96" s="1">
        <v>32949</v>
      </c>
      <c r="E96" t="s">
        <v>83</v>
      </c>
      <c r="F96" t="s">
        <v>69</v>
      </c>
      <c r="G96">
        <v>500</v>
      </c>
      <c r="H96">
        <v>1515.3</v>
      </c>
      <c r="I96">
        <v>0</v>
      </c>
      <c r="J96">
        <v>603248</v>
      </c>
      <c r="K96" t="s">
        <v>70</v>
      </c>
      <c r="L96" t="s">
        <v>131</v>
      </c>
      <c r="M96" t="s">
        <v>58</v>
      </c>
      <c r="N96" t="s">
        <v>149</v>
      </c>
      <c r="O96" t="s">
        <v>142</v>
      </c>
      <c r="P96">
        <v>0</v>
      </c>
      <c r="Q96">
        <v>0</v>
      </c>
      <c r="R96" s="1">
        <v>42023</v>
      </c>
      <c r="S96" t="s">
        <v>75</v>
      </c>
      <c r="T96" t="s">
        <v>76</v>
      </c>
      <c r="U96" t="s">
        <v>107</v>
      </c>
      <c r="V96" t="s">
        <v>136</v>
      </c>
      <c r="W96" t="s">
        <v>50</v>
      </c>
      <c r="X96" t="s">
        <v>127</v>
      </c>
      <c r="Y96" t="s">
        <v>270</v>
      </c>
      <c r="Z96">
        <v>21</v>
      </c>
      <c r="AA96">
        <v>3</v>
      </c>
      <c r="AB96" t="s">
        <v>79</v>
      </c>
      <c r="AC96">
        <v>1</v>
      </c>
      <c r="AD96">
        <v>0</v>
      </c>
      <c r="AE96" t="s">
        <v>79</v>
      </c>
      <c r="AF96">
        <v>93720</v>
      </c>
      <c r="AG96">
        <v>17040</v>
      </c>
      <c r="AH96">
        <v>8520</v>
      </c>
      <c r="AI96">
        <v>68160</v>
      </c>
      <c r="AJ96" t="s">
        <v>67</v>
      </c>
      <c r="AK96" t="s">
        <v>271</v>
      </c>
      <c r="AL96">
        <v>2005</v>
      </c>
      <c r="AM96" t="s">
        <v>82</v>
      </c>
      <c r="AN96" s="2">
        <f t="shared" si="7"/>
        <v>61.808349271252389</v>
      </c>
      <c r="AO96">
        <f t="shared" si="8"/>
        <v>-92204.7</v>
      </c>
      <c r="AP96" s="2">
        <f t="shared" si="9"/>
        <v>1.6168201363621813E-2</v>
      </c>
      <c r="AQ96" s="2">
        <f t="shared" si="13"/>
        <v>10</v>
      </c>
      <c r="AR96">
        <f t="shared" si="10"/>
        <v>271</v>
      </c>
      <c r="AS96" t="str">
        <f t="shared" si="11"/>
        <v>High Claim Ratio</v>
      </c>
      <c r="AT96" t="str">
        <f t="shared" si="12"/>
        <v>High Profit</v>
      </c>
    </row>
    <row r="97" spans="1:46" x14ac:dyDescent="0.2">
      <c r="A97">
        <v>80</v>
      </c>
      <c r="B97">
        <v>25</v>
      </c>
      <c r="C97">
        <v>992145</v>
      </c>
      <c r="D97" s="1">
        <v>40969</v>
      </c>
      <c r="E97" t="s">
        <v>83</v>
      </c>
      <c r="F97" t="s">
        <v>69</v>
      </c>
      <c r="G97">
        <v>2000</v>
      </c>
      <c r="H97">
        <v>1075.18</v>
      </c>
      <c r="I97">
        <v>5000000</v>
      </c>
      <c r="J97">
        <v>601112</v>
      </c>
      <c r="K97" t="s">
        <v>70</v>
      </c>
      <c r="L97" t="s">
        <v>71</v>
      </c>
      <c r="M97" t="s">
        <v>84</v>
      </c>
      <c r="N97" t="s">
        <v>264</v>
      </c>
      <c r="O97" t="s">
        <v>45</v>
      </c>
      <c r="P97">
        <v>67700</v>
      </c>
      <c r="Q97">
        <v>-58400</v>
      </c>
      <c r="R97" s="1">
        <v>42056</v>
      </c>
      <c r="S97" t="s">
        <v>61</v>
      </c>
      <c r="T97" t="s">
        <v>62</v>
      </c>
      <c r="U97" t="s">
        <v>63</v>
      </c>
      <c r="V97" t="s">
        <v>93</v>
      </c>
      <c r="W97" t="s">
        <v>39</v>
      </c>
      <c r="X97" t="s">
        <v>156</v>
      </c>
      <c r="Y97" t="s">
        <v>272</v>
      </c>
      <c r="Z97">
        <v>5</v>
      </c>
      <c r="AA97">
        <v>1</v>
      </c>
      <c r="AB97" t="s">
        <v>79</v>
      </c>
      <c r="AC97">
        <v>2</v>
      </c>
      <c r="AD97">
        <v>0</v>
      </c>
      <c r="AE97" t="s">
        <v>53</v>
      </c>
      <c r="AF97">
        <v>6930</v>
      </c>
      <c r="AG97">
        <v>1260</v>
      </c>
      <c r="AH97">
        <v>630</v>
      </c>
      <c r="AI97">
        <v>5040</v>
      </c>
      <c r="AJ97" t="s">
        <v>115</v>
      </c>
      <c r="AK97" t="s">
        <v>140</v>
      </c>
      <c r="AL97">
        <v>2001</v>
      </c>
      <c r="AM97" t="s">
        <v>82</v>
      </c>
      <c r="AN97" s="2">
        <f t="shared" si="7"/>
        <v>6.4394432158189145</v>
      </c>
      <c r="AO97">
        <f t="shared" si="8"/>
        <v>-5854.82</v>
      </c>
      <c r="AP97" s="2">
        <f t="shared" si="9"/>
        <v>0.15512624440917616</v>
      </c>
      <c r="AQ97" s="2">
        <f t="shared" si="13"/>
        <v>14</v>
      </c>
      <c r="AR97">
        <f t="shared" si="10"/>
        <v>80</v>
      </c>
      <c r="AS97" t="str">
        <f t="shared" si="11"/>
        <v>Medium Claim Ratio</v>
      </c>
      <c r="AT97" t="str">
        <f t="shared" si="12"/>
        <v>High Profit</v>
      </c>
    </row>
    <row r="98" spans="1:46" x14ac:dyDescent="0.2">
      <c r="A98">
        <v>325</v>
      </c>
      <c r="B98">
        <v>47</v>
      </c>
      <c r="C98">
        <v>900628</v>
      </c>
      <c r="D98" s="1">
        <v>38753</v>
      </c>
      <c r="E98" t="s">
        <v>57</v>
      </c>
      <c r="F98" t="s">
        <v>91</v>
      </c>
      <c r="G98">
        <v>1000</v>
      </c>
      <c r="H98">
        <v>1690.27</v>
      </c>
      <c r="I98">
        <v>0</v>
      </c>
      <c r="J98">
        <v>438830</v>
      </c>
      <c r="K98" t="s">
        <v>70</v>
      </c>
      <c r="L98" t="s">
        <v>92</v>
      </c>
      <c r="M98" t="s">
        <v>135</v>
      </c>
      <c r="N98" t="s">
        <v>149</v>
      </c>
      <c r="O98" t="s">
        <v>142</v>
      </c>
      <c r="P98">
        <v>61500</v>
      </c>
      <c r="Q98">
        <v>0</v>
      </c>
      <c r="R98" s="1">
        <v>42018</v>
      </c>
      <c r="S98" t="s">
        <v>46</v>
      </c>
      <c r="T98" t="s">
        <v>47</v>
      </c>
      <c r="U98" t="s">
        <v>48</v>
      </c>
      <c r="V98" t="s">
        <v>99</v>
      </c>
      <c r="W98" t="s">
        <v>64</v>
      </c>
      <c r="X98" t="s">
        <v>102</v>
      </c>
      <c r="Y98" t="s">
        <v>273</v>
      </c>
      <c r="Z98">
        <v>11</v>
      </c>
      <c r="AA98">
        <v>1</v>
      </c>
      <c r="AB98" t="s">
        <v>53</v>
      </c>
      <c r="AC98">
        <v>0</v>
      </c>
      <c r="AD98">
        <v>3</v>
      </c>
      <c r="AE98" t="s">
        <v>79</v>
      </c>
      <c r="AF98">
        <v>72930</v>
      </c>
      <c r="AG98">
        <v>6630</v>
      </c>
      <c r="AH98">
        <v>6630</v>
      </c>
      <c r="AI98">
        <v>59670</v>
      </c>
      <c r="AJ98" t="s">
        <v>80</v>
      </c>
      <c r="AK98" t="s">
        <v>81</v>
      </c>
      <c r="AL98">
        <v>2006</v>
      </c>
      <c r="AM98" t="s">
        <v>56</v>
      </c>
      <c r="AN98" s="2">
        <f t="shared" si="7"/>
        <v>43.121441283769002</v>
      </c>
      <c r="AO98">
        <f t="shared" si="8"/>
        <v>-71239.73</v>
      </c>
      <c r="AP98" s="2">
        <f t="shared" si="9"/>
        <v>2.3176289917867573E-2</v>
      </c>
      <c r="AQ98" s="2">
        <f t="shared" si="13"/>
        <v>9</v>
      </c>
      <c r="AR98">
        <f t="shared" si="10"/>
        <v>325</v>
      </c>
      <c r="AS98" t="str">
        <f t="shared" si="11"/>
        <v>High Claim Ratio</v>
      </c>
      <c r="AT98" t="str">
        <f t="shared" si="12"/>
        <v>High Profit</v>
      </c>
    </row>
    <row r="99" spans="1:46" x14ac:dyDescent="0.2">
      <c r="A99">
        <v>29</v>
      </c>
      <c r="B99">
        <v>25</v>
      </c>
      <c r="C99">
        <v>235220</v>
      </c>
      <c r="D99" s="1">
        <v>41944</v>
      </c>
      <c r="E99" t="s">
        <v>83</v>
      </c>
      <c r="F99" t="s">
        <v>40</v>
      </c>
      <c r="G99">
        <v>2000</v>
      </c>
      <c r="H99">
        <v>1352.83</v>
      </c>
      <c r="I99">
        <v>0</v>
      </c>
      <c r="J99">
        <v>464959</v>
      </c>
      <c r="K99" t="s">
        <v>41</v>
      </c>
      <c r="L99" t="s">
        <v>124</v>
      </c>
      <c r="M99" t="s">
        <v>189</v>
      </c>
      <c r="N99" t="s">
        <v>132</v>
      </c>
      <c r="O99" t="s">
        <v>74</v>
      </c>
      <c r="P99">
        <v>0</v>
      </c>
      <c r="Q99">
        <v>-71700</v>
      </c>
      <c r="R99" s="1">
        <v>42026</v>
      </c>
      <c r="S99" t="s">
        <v>75</v>
      </c>
      <c r="T99" t="s">
        <v>76</v>
      </c>
      <c r="U99" t="s">
        <v>63</v>
      </c>
      <c r="V99" t="s">
        <v>120</v>
      </c>
      <c r="W99" t="s">
        <v>50</v>
      </c>
      <c r="X99" t="s">
        <v>122</v>
      </c>
      <c r="Y99" t="s">
        <v>274</v>
      </c>
      <c r="Z99">
        <v>4</v>
      </c>
      <c r="AA99">
        <v>4</v>
      </c>
      <c r="AB99" t="s">
        <v>53</v>
      </c>
      <c r="AC99">
        <v>1</v>
      </c>
      <c r="AD99">
        <v>2</v>
      </c>
      <c r="AE99" t="s">
        <v>53</v>
      </c>
      <c r="AF99">
        <v>64890</v>
      </c>
      <c r="AG99">
        <v>7210</v>
      </c>
      <c r="AH99">
        <v>7210</v>
      </c>
      <c r="AI99">
        <v>50470</v>
      </c>
      <c r="AJ99" t="s">
        <v>104</v>
      </c>
      <c r="AK99" t="s">
        <v>105</v>
      </c>
      <c r="AL99">
        <v>2013</v>
      </c>
      <c r="AM99" t="s">
        <v>56</v>
      </c>
      <c r="AN99" s="2">
        <f t="shared" si="7"/>
        <v>47.93068553658879</v>
      </c>
      <c r="AO99">
        <f t="shared" si="8"/>
        <v>-63537.17</v>
      </c>
      <c r="AP99" s="2">
        <f t="shared" si="9"/>
        <v>2.0847729269081999E-2</v>
      </c>
      <c r="AQ99" s="2">
        <f t="shared" si="13"/>
        <v>2</v>
      </c>
      <c r="AR99">
        <f t="shared" si="10"/>
        <v>29</v>
      </c>
      <c r="AS99" t="str">
        <f t="shared" si="11"/>
        <v>High Claim Ratio</v>
      </c>
      <c r="AT99" t="str">
        <f t="shared" si="12"/>
        <v>High Profit</v>
      </c>
    </row>
    <row r="100" spans="1:46" x14ac:dyDescent="0.2">
      <c r="A100">
        <v>295</v>
      </c>
      <c r="B100">
        <v>48</v>
      </c>
      <c r="C100">
        <v>740019</v>
      </c>
      <c r="D100" s="1">
        <v>39981</v>
      </c>
      <c r="E100" t="s">
        <v>39</v>
      </c>
      <c r="F100" t="s">
        <v>40</v>
      </c>
      <c r="G100">
        <v>1000</v>
      </c>
      <c r="H100">
        <v>1148.73</v>
      </c>
      <c r="I100">
        <v>0</v>
      </c>
      <c r="J100">
        <v>439787</v>
      </c>
      <c r="K100" t="s">
        <v>70</v>
      </c>
      <c r="L100" t="s">
        <v>141</v>
      </c>
      <c r="M100" t="s">
        <v>58</v>
      </c>
      <c r="N100" t="s">
        <v>170</v>
      </c>
      <c r="O100" t="s">
        <v>119</v>
      </c>
      <c r="P100">
        <v>0</v>
      </c>
      <c r="Q100">
        <v>0</v>
      </c>
      <c r="R100" s="1">
        <v>42057</v>
      </c>
      <c r="S100" t="s">
        <v>138</v>
      </c>
      <c r="T100" t="s">
        <v>62</v>
      </c>
      <c r="U100" t="s">
        <v>212</v>
      </c>
      <c r="V100" t="s">
        <v>93</v>
      </c>
      <c r="W100" t="s">
        <v>113</v>
      </c>
      <c r="X100" t="s">
        <v>51</v>
      </c>
      <c r="Y100" t="s">
        <v>275</v>
      </c>
      <c r="Z100">
        <v>6</v>
      </c>
      <c r="AA100">
        <v>1</v>
      </c>
      <c r="AB100" t="s">
        <v>62</v>
      </c>
      <c r="AC100">
        <v>1</v>
      </c>
      <c r="AD100">
        <v>2</v>
      </c>
      <c r="AE100" t="s">
        <v>53</v>
      </c>
      <c r="AF100">
        <v>5400</v>
      </c>
      <c r="AG100">
        <v>900</v>
      </c>
      <c r="AH100">
        <v>900</v>
      </c>
      <c r="AI100">
        <v>3600</v>
      </c>
      <c r="AJ100" t="s">
        <v>54</v>
      </c>
      <c r="AK100">
        <v>95</v>
      </c>
      <c r="AL100">
        <v>1999</v>
      </c>
      <c r="AM100" t="s">
        <v>82</v>
      </c>
      <c r="AN100" s="2">
        <f t="shared" si="7"/>
        <v>4.6967548902785872</v>
      </c>
      <c r="AO100">
        <f t="shared" si="8"/>
        <v>-4251.2700000000004</v>
      </c>
      <c r="AP100" s="2">
        <f t="shared" si="9"/>
        <v>0.21268839103869655</v>
      </c>
      <c r="AQ100" s="2">
        <f t="shared" si="13"/>
        <v>16</v>
      </c>
      <c r="AR100">
        <f t="shared" si="10"/>
        <v>295</v>
      </c>
      <c r="AS100" t="str">
        <f t="shared" si="11"/>
        <v>Low Claim Ratio</v>
      </c>
      <c r="AT100" t="str">
        <f t="shared" si="12"/>
        <v>Low Profit</v>
      </c>
    </row>
    <row r="101" spans="1:46" x14ac:dyDescent="0.2">
      <c r="A101">
        <v>239</v>
      </c>
      <c r="B101">
        <v>42</v>
      </c>
      <c r="C101">
        <v>246882</v>
      </c>
      <c r="D101" s="1">
        <v>36423</v>
      </c>
      <c r="E101" t="s">
        <v>83</v>
      </c>
      <c r="F101" t="s">
        <v>69</v>
      </c>
      <c r="G101">
        <v>1000</v>
      </c>
      <c r="H101">
        <v>969.5</v>
      </c>
      <c r="I101">
        <v>0</v>
      </c>
      <c r="J101">
        <v>464839</v>
      </c>
      <c r="K101" t="s">
        <v>41</v>
      </c>
      <c r="L101" t="s">
        <v>141</v>
      </c>
      <c r="M101" t="s">
        <v>125</v>
      </c>
      <c r="N101" t="s">
        <v>59</v>
      </c>
      <c r="O101" t="s">
        <v>142</v>
      </c>
      <c r="P101">
        <v>0</v>
      </c>
      <c r="Q101">
        <v>0</v>
      </c>
      <c r="R101" s="1">
        <v>42030</v>
      </c>
      <c r="S101" t="s">
        <v>61</v>
      </c>
      <c r="T101" t="s">
        <v>62</v>
      </c>
      <c r="U101" t="s">
        <v>212</v>
      </c>
      <c r="V101" t="s">
        <v>93</v>
      </c>
      <c r="W101" t="s">
        <v>121</v>
      </c>
      <c r="X101" t="s">
        <v>156</v>
      </c>
      <c r="Y101" t="s">
        <v>276</v>
      </c>
      <c r="Z101">
        <v>10</v>
      </c>
      <c r="AA101">
        <v>1</v>
      </c>
      <c r="AB101" t="s">
        <v>79</v>
      </c>
      <c r="AC101">
        <v>0</v>
      </c>
      <c r="AD101">
        <v>0</v>
      </c>
      <c r="AE101" t="s">
        <v>62</v>
      </c>
      <c r="AF101">
        <v>5600</v>
      </c>
      <c r="AG101">
        <v>700</v>
      </c>
      <c r="AH101">
        <v>700</v>
      </c>
      <c r="AI101">
        <v>4200</v>
      </c>
      <c r="AJ101" t="s">
        <v>109</v>
      </c>
      <c r="AK101" t="s">
        <v>134</v>
      </c>
      <c r="AL101">
        <v>2007</v>
      </c>
      <c r="AM101" t="s">
        <v>82</v>
      </c>
      <c r="AN101" s="2">
        <f t="shared" si="7"/>
        <v>5.7702215352910873</v>
      </c>
      <c r="AO101">
        <f t="shared" si="8"/>
        <v>-4630.5</v>
      </c>
      <c r="AP101" s="2">
        <f t="shared" si="9"/>
        <v>0.17309409034101053</v>
      </c>
      <c r="AQ101" s="2">
        <f t="shared" si="13"/>
        <v>8</v>
      </c>
      <c r="AR101">
        <f t="shared" si="10"/>
        <v>239</v>
      </c>
      <c r="AS101" t="str">
        <f t="shared" si="11"/>
        <v>Medium Claim Ratio</v>
      </c>
      <c r="AT101" t="str">
        <f t="shared" si="12"/>
        <v>Low Profit</v>
      </c>
    </row>
    <row r="102" spans="1:46" x14ac:dyDescent="0.2">
      <c r="A102">
        <v>269</v>
      </c>
      <c r="B102">
        <v>41</v>
      </c>
      <c r="C102">
        <v>797613</v>
      </c>
      <c r="D102" s="1">
        <v>33165</v>
      </c>
      <c r="E102" t="s">
        <v>57</v>
      </c>
      <c r="F102" t="s">
        <v>69</v>
      </c>
      <c r="G102">
        <v>500</v>
      </c>
      <c r="H102">
        <v>1463.82</v>
      </c>
      <c r="I102">
        <v>0</v>
      </c>
      <c r="J102">
        <v>448984</v>
      </c>
      <c r="K102" t="s">
        <v>70</v>
      </c>
      <c r="L102" t="s">
        <v>141</v>
      </c>
      <c r="M102" t="s">
        <v>135</v>
      </c>
      <c r="N102" t="s">
        <v>155</v>
      </c>
      <c r="O102" t="s">
        <v>142</v>
      </c>
      <c r="P102">
        <v>0</v>
      </c>
      <c r="Q102">
        <v>-72300</v>
      </c>
      <c r="R102" s="1">
        <v>42028</v>
      </c>
      <c r="S102" t="s">
        <v>46</v>
      </c>
      <c r="T102" t="s">
        <v>76</v>
      </c>
      <c r="U102" t="s">
        <v>63</v>
      </c>
      <c r="V102" t="s">
        <v>49</v>
      </c>
      <c r="W102" t="s">
        <v>50</v>
      </c>
      <c r="X102" t="s">
        <v>127</v>
      </c>
      <c r="Y102" t="s">
        <v>277</v>
      </c>
      <c r="Z102">
        <v>23</v>
      </c>
      <c r="AA102">
        <v>1</v>
      </c>
      <c r="AB102" t="s">
        <v>53</v>
      </c>
      <c r="AC102">
        <v>0</v>
      </c>
      <c r="AD102">
        <v>0</v>
      </c>
      <c r="AE102" t="s">
        <v>62</v>
      </c>
      <c r="AF102">
        <v>79300</v>
      </c>
      <c r="AG102">
        <v>15860</v>
      </c>
      <c r="AH102">
        <v>15860</v>
      </c>
      <c r="AI102">
        <v>47580</v>
      </c>
      <c r="AJ102" t="s">
        <v>54</v>
      </c>
      <c r="AK102" t="s">
        <v>55</v>
      </c>
      <c r="AL102">
        <v>2007</v>
      </c>
      <c r="AM102" t="s">
        <v>82</v>
      </c>
      <c r="AN102" s="2">
        <f t="shared" si="7"/>
        <v>54.136344397263827</v>
      </c>
      <c r="AO102">
        <f t="shared" si="8"/>
        <v>-77836.179999999993</v>
      </c>
      <c r="AP102" s="2">
        <f t="shared" si="9"/>
        <v>1.8459035825525529E-2</v>
      </c>
      <c r="AQ102" s="2">
        <f t="shared" si="13"/>
        <v>8</v>
      </c>
      <c r="AR102">
        <f t="shared" si="10"/>
        <v>269</v>
      </c>
      <c r="AS102" t="str">
        <f t="shared" si="11"/>
        <v>High Claim Ratio</v>
      </c>
      <c r="AT102" t="str">
        <f t="shared" si="12"/>
        <v>High Profit</v>
      </c>
    </row>
    <row r="103" spans="1:46" x14ac:dyDescent="0.2">
      <c r="A103">
        <v>80</v>
      </c>
      <c r="B103">
        <v>27</v>
      </c>
      <c r="C103">
        <v>193442</v>
      </c>
      <c r="D103" s="1">
        <v>35282</v>
      </c>
      <c r="E103" t="s">
        <v>83</v>
      </c>
      <c r="F103" t="s">
        <v>69</v>
      </c>
      <c r="G103">
        <v>1000</v>
      </c>
      <c r="H103">
        <v>1474.17</v>
      </c>
      <c r="I103">
        <v>0</v>
      </c>
      <c r="J103">
        <v>440327</v>
      </c>
      <c r="K103" t="s">
        <v>70</v>
      </c>
      <c r="L103" t="s">
        <v>141</v>
      </c>
      <c r="M103" t="s">
        <v>97</v>
      </c>
      <c r="N103" t="s">
        <v>264</v>
      </c>
      <c r="O103" t="s">
        <v>85</v>
      </c>
      <c r="P103">
        <v>0</v>
      </c>
      <c r="Q103">
        <v>0</v>
      </c>
      <c r="R103" s="1">
        <v>42054</v>
      </c>
      <c r="S103" t="s">
        <v>46</v>
      </c>
      <c r="T103" t="s">
        <v>47</v>
      </c>
      <c r="U103" t="s">
        <v>48</v>
      </c>
      <c r="V103" t="s">
        <v>49</v>
      </c>
      <c r="W103" t="s">
        <v>113</v>
      </c>
      <c r="X103" t="s">
        <v>127</v>
      </c>
      <c r="Y103" t="s">
        <v>278</v>
      </c>
      <c r="Z103">
        <v>13</v>
      </c>
      <c r="AA103">
        <v>1</v>
      </c>
      <c r="AB103" t="s">
        <v>53</v>
      </c>
      <c r="AC103">
        <v>1</v>
      </c>
      <c r="AD103">
        <v>0</v>
      </c>
      <c r="AE103" t="s">
        <v>53</v>
      </c>
      <c r="AF103">
        <v>52800</v>
      </c>
      <c r="AG103">
        <v>10560</v>
      </c>
      <c r="AH103">
        <v>5280</v>
      </c>
      <c r="AI103">
        <v>36960</v>
      </c>
      <c r="AJ103" t="s">
        <v>54</v>
      </c>
      <c r="AK103">
        <v>95</v>
      </c>
      <c r="AL103">
        <v>2004</v>
      </c>
      <c r="AM103" t="s">
        <v>82</v>
      </c>
      <c r="AN103" s="2">
        <f t="shared" si="7"/>
        <v>35.792484933939818</v>
      </c>
      <c r="AO103">
        <f t="shared" si="8"/>
        <v>-51325.83</v>
      </c>
      <c r="AP103" s="2">
        <f t="shared" si="9"/>
        <v>2.7919357587924472E-2</v>
      </c>
      <c r="AQ103" s="2">
        <f t="shared" si="13"/>
        <v>11</v>
      </c>
      <c r="AR103">
        <f t="shared" si="10"/>
        <v>80</v>
      </c>
      <c r="AS103" t="str">
        <f t="shared" si="11"/>
        <v>High Claim Ratio</v>
      </c>
      <c r="AT103" t="str">
        <f t="shared" si="12"/>
        <v>High Profit</v>
      </c>
    </row>
    <row r="104" spans="1:46" x14ac:dyDescent="0.2">
      <c r="A104">
        <v>279</v>
      </c>
      <c r="B104">
        <v>41</v>
      </c>
      <c r="C104">
        <v>389238</v>
      </c>
      <c r="D104" s="1">
        <v>37048</v>
      </c>
      <c r="E104" t="s">
        <v>83</v>
      </c>
      <c r="F104" t="s">
        <v>40</v>
      </c>
      <c r="G104">
        <v>500</v>
      </c>
      <c r="H104">
        <v>1497.35</v>
      </c>
      <c r="I104">
        <v>0</v>
      </c>
      <c r="J104">
        <v>460742</v>
      </c>
      <c r="K104" t="s">
        <v>70</v>
      </c>
      <c r="L104" t="s">
        <v>161</v>
      </c>
      <c r="M104" t="s">
        <v>101</v>
      </c>
      <c r="N104" t="s">
        <v>98</v>
      </c>
      <c r="O104" t="s">
        <v>45</v>
      </c>
      <c r="P104">
        <v>37300</v>
      </c>
      <c r="Q104">
        <v>-31700</v>
      </c>
      <c r="R104" s="1">
        <v>42033</v>
      </c>
      <c r="S104" t="s">
        <v>75</v>
      </c>
      <c r="T104" t="s">
        <v>86</v>
      </c>
      <c r="U104" t="s">
        <v>63</v>
      </c>
      <c r="V104" t="s">
        <v>99</v>
      </c>
      <c r="W104" t="s">
        <v>121</v>
      </c>
      <c r="X104" t="s">
        <v>156</v>
      </c>
      <c r="Y104" t="s">
        <v>279</v>
      </c>
      <c r="Z104">
        <v>16</v>
      </c>
      <c r="AA104">
        <v>3</v>
      </c>
      <c r="AB104" t="s">
        <v>62</v>
      </c>
      <c r="AC104">
        <v>2</v>
      </c>
      <c r="AD104">
        <v>3</v>
      </c>
      <c r="AE104" t="s">
        <v>79</v>
      </c>
      <c r="AF104">
        <v>28800</v>
      </c>
      <c r="AG104">
        <v>0</v>
      </c>
      <c r="AH104">
        <v>3600</v>
      </c>
      <c r="AI104">
        <v>25200</v>
      </c>
      <c r="AJ104" t="s">
        <v>129</v>
      </c>
      <c r="AK104" t="s">
        <v>249</v>
      </c>
      <c r="AL104">
        <v>2013</v>
      </c>
      <c r="AM104" t="s">
        <v>82</v>
      </c>
      <c r="AN104" s="2">
        <f t="shared" si="7"/>
        <v>19.221143257583343</v>
      </c>
      <c r="AO104">
        <f t="shared" si="8"/>
        <v>-27302.65</v>
      </c>
      <c r="AP104" s="2">
        <f t="shared" si="9"/>
        <v>5.1989514252977327E-2</v>
      </c>
      <c r="AQ104" s="2">
        <f t="shared" si="13"/>
        <v>2</v>
      </c>
      <c r="AR104">
        <f t="shared" si="10"/>
        <v>279</v>
      </c>
      <c r="AS104" t="str">
        <f t="shared" si="11"/>
        <v>Medium Claim Ratio</v>
      </c>
      <c r="AT104" t="str">
        <f t="shared" si="12"/>
        <v>High Profit</v>
      </c>
    </row>
    <row r="105" spans="1:46" x14ac:dyDescent="0.2">
      <c r="A105">
        <v>165</v>
      </c>
      <c r="B105">
        <v>33</v>
      </c>
      <c r="C105">
        <v>760179</v>
      </c>
      <c r="D105" s="1">
        <v>39166</v>
      </c>
      <c r="E105" t="s">
        <v>39</v>
      </c>
      <c r="F105" t="s">
        <v>69</v>
      </c>
      <c r="G105">
        <v>1000</v>
      </c>
      <c r="H105">
        <v>1427.14</v>
      </c>
      <c r="I105">
        <v>0</v>
      </c>
      <c r="J105">
        <v>446895</v>
      </c>
      <c r="K105" t="s">
        <v>70</v>
      </c>
      <c r="L105" t="s">
        <v>92</v>
      </c>
      <c r="M105" t="s">
        <v>97</v>
      </c>
      <c r="N105" t="s">
        <v>170</v>
      </c>
      <c r="O105" t="s">
        <v>60</v>
      </c>
      <c r="P105">
        <v>35300</v>
      </c>
      <c r="Q105">
        <v>-58100</v>
      </c>
      <c r="R105" s="1">
        <v>42050</v>
      </c>
      <c r="S105" t="s">
        <v>138</v>
      </c>
      <c r="T105" t="s">
        <v>62</v>
      </c>
      <c r="U105" t="s">
        <v>63</v>
      </c>
      <c r="V105" t="s">
        <v>49</v>
      </c>
      <c r="W105" t="s">
        <v>113</v>
      </c>
      <c r="X105" t="s">
        <v>127</v>
      </c>
      <c r="Y105" t="s">
        <v>280</v>
      </c>
      <c r="Z105">
        <v>3</v>
      </c>
      <c r="AA105">
        <v>1</v>
      </c>
      <c r="AB105" t="s">
        <v>79</v>
      </c>
      <c r="AC105">
        <v>1</v>
      </c>
      <c r="AD105">
        <v>1</v>
      </c>
      <c r="AE105" t="s">
        <v>79</v>
      </c>
      <c r="AF105">
        <v>2970</v>
      </c>
      <c r="AG105">
        <v>330</v>
      </c>
      <c r="AH105">
        <v>330</v>
      </c>
      <c r="AI105">
        <v>2310</v>
      </c>
      <c r="AJ105" t="s">
        <v>115</v>
      </c>
      <c r="AK105" t="s">
        <v>140</v>
      </c>
      <c r="AL105">
        <v>2008</v>
      </c>
      <c r="AM105" t="s">
        <v>82</v>
      </c>
      <c r="AN105" s="2">
        <f t="shared" si="7"/>
        <v>2.0796280476703961</v>
      </c>
      <c r="AO105">
        <f t="shared" si="8"/>
        <v>-1542.86</v>
      </c>
      <c r="AP105" s="2">
        <f t="shared" si="9"/>
        <v>0.48035678222820605</v>
      </c>
      <c r="AQ105" s="2">
        <f t="shared" si="13"/>
        <v>7</v>
      </c>
      <c r="AR105">
        <f t="shared" si="10"/>
        <v>165</v>
      </c>
      <c r="AS105" t="str">
        <f t="shared" si="11"/>
        <v>Low Claim Ratio</v>
      </c>
      <c r="AT105" t="str">
        <f t="shared" si="12"/>
        <v>Low Profit</v>
      </c>
    </row>
    <row r="106" spans="1:46" x14ac:dyDescent="0.2">
      <c r="A106">
        <v>350</v>
      </c>
      <c r="B106">
        <v>54</v>
      </c>
      <c r="C106">
        <v>939905</v>
      </c>
      <c r="D106" s="1">
        <v>41578</v>
      </c>
      <c r="E106" t="s">
        <v>39</v>
      </c>
      <c r="F106" t="s">
        <v>91</v>
      </c>
      <c r="G106">
        <v>500</v>
      </c>
      <c r="H106">
        <v>1495.1</v>
      </c>
      <c r="I106">
        <v>0</v>
      </c>
      <c r="J106">
        <v>609374</v>
      </c>
      <c r="K106" t="s">
        <v>41</v>
      </c>
      <c r="L106" t="s">
        <v>141</v>
      </c>
      <c r="M106" t="s">
        <v>111</v>
      </c>
      <c r="N106" t="s">
        <v>179</v>
      </c>
      <c r="O106" t="s">
        <v>119</v>
      </c>
      <c r="P106">
        <v>50500</v>
      </c>
      <c r="Q106">
        <v>0</v>
      </c>
      <c r="R106" s="1">
        <v>42047</v>
      </c>
      <c r="S106" t="s">
        <v>75</v>
      </c>
      <c r="T106" t="s">
        <v>47</v>
      </c>
      <c r="U106" t="s">
        <v>107</v>
      </c>
      <c r="V106" t="s">
        <v>49</v>
      </c>
      <c r="W106" t="s">
        <v>50</v>
      </c>
      <c r="X106" t="s">
        <v>127</v>
      </c>
      <c r="Y106" t="s">
        <v>281</v>
      </c>
      <c r="Z106">
        <v>15</v>
      </c>
      <c r="AA106">
        <v>3</v>
      </c>
      <c r="AB106" t="s">
        <v>79</v>
      </c>
      <c r="AC106">
        <v>0</v>
      </c>
      <c r="AD106">
        <v>0</v>
      </c>
      <c r="AE106" t="s">
        <v>62</v>
      </c>
      <c r="AF106">
        <v>93480</v>
      </c>
      <c r="AG106">
        <v>15580</v>
      </c>
      <c r="AH106">
        <v>7790</v>
      </c>
      <c r="AI106">
        <v>70110</v>
      </c>
      <c r="AJ106" t="s">
        <v>89</v>
      </c>
      <c r="AK106" t="s">
        <v>245</v>
      </c>
      <c r="AL106">
        <v>2014</v>
      </c>
      <c r="AM106" t="s">
        <v>82</v>
      </c>
      <c r="AN106" s="2">
        <f t="shared" si="7"/>
        <v>62.482454381391619</v>
      </c>
      <c r="AO106">
        <f t="shared" si="8"/>
        <v>-91984.9</v>
      </c>
      <c r="AP106" s="2">
        <f t="shared" si="9"/>
        <v>1.5993624372867214E-2</v>
      </c>
      <c r="AQ106" s="2">
        <f t="shared" si="13"/>
        <v>1</v>
      </c>
      <c r="AR106">
        <f t="shared" si="10"/>
        <v>350</v>
      </c>
      <c r="AS106" t="str">
        <f t="shared" si="11"/>
        <v>High Claim Ratio</v>
      </c>
      <c r="AT106" t="str">
        <f t="shared" si="12"/>
        <v>High Profit</v>
      </c>
    </row>
    <row r="107" spans="1:46" x14ac:dyDescent="0.2">
      <c r="A107">
        <v>295</v>
      </c>
      <c r="B107">
        <v>49</v>
      </c>
      <c r="C107">
        <v>872814</v>
      </c>
      <c r="D107" s="1">
        <v>33768</v>
      </c>
      <c r="E107" t="s">
        <v>83</v>
      </c>
      <c r="F107" t="s">
        <v>69</v>
      </c>
      <c r="G107">
        <v>500</v>
      </c>
      <c r="H107">
        <v>1141.6199999999999</v>
      </c>
      <c r="I107">
        <v>0</v>
      </c>
      <c r="J107">
        <v>451672</v>
      </c>
      <c r="K107" t="s">
        <v>41</v>
      </c>
      <c r="L107" t="s">
        <v>141</v>
      </c>
      <c r="M107" t="s">
        <v>101</v>
      </c>
      <c r="N107" t="s">
        <v>170</v>
      </c>
      <c r="O107" t="s">
        <v>45</v>
      </c>
      <c r="P107">
        <v>34300</v>
      </c>
      <c r="Q107">
        <v>-24300</v>
      </c>
      <c r="R107" s="1">
        <v>42005</v>
      </c>
      <c r="S107" t="s">
        <v>61</v>
      </c>
      <c r="T107" t="s">
        <v>62</v>
      </c>
      <c r="U107" t="s">
        <v>63</v>
      </c>
      <c r="V107" t="s">
        <v>93</v>
      </c>
      <c r="W107" t="s">
        <v>113</v>
      </c>
      <c r="X107" t="s">
        <v>51</v>
      </c>
      <c r="Y107" t="s">
        <v>282</v>
      </c>
      <c r="Z107">
        <v>4</v>
      </c>
      <c r="AA107">
        <v>1</v>
      </c>
      <c r="AB107" t="s">
        <v>53</v>
      </c>
      <c r="AC107">
        <v>1</v>
      </c>
      <c r="AD107">
        <v>3</v>
      </c>
      <c r="AE107" t="s">
        <v>53</v>
      </c>
      <c r="AF107">
        <v>4320</v>
      </c>
      <c r="AG107">
        <v>480</v>
      </c>
      <c r="AH107">
        <v>480</v>
      </c>
      <c r="AI107">
        <v>3360</v>
      </c>
      <c r="AJ107" t="s">
        <v>67</v>
      </c>
      <c r="AK107" t="s">
        <v>68</v>
      </c>
      <c r="AL107">
        <v>2002</v>
      </c>
      <c r="AM107" t="s">
        <v>82</v>
      </c>
      <c r="AN107" s="2">
        <f t="shared" si="7"/>
        <v>3.7807845127864037</v>
      </c>
      <c r="AO107">
        <f t="shared" si="8"/>
        <v>-3178.38</v>
      </c>
      <c r="AP107" s="2">
        <f t="shared" si="9"/>
        <v>0.26420273084934043</v>
      </c>
      <c r="AQ107" s="2">
        <f t="shared" si="13"/>
        <v>13</v>
      </c>
      <c r="AR107">
        <f t="shared" si="10"/>
        <v>295</v>
      </c>
      <c r="AS107" t="str">
        <f t="shared" si="11"/>
        <v>Low Claim Ratio</v>
      </c>
      <c r="AT107" t="str">
        <f t="shared" si="12"/>
        <v>Low Profit</v>
      </c>
    </row>
    <row r="108" spans="1:46" x14ac:dyDescent="0.2">
      <c r="A108">
        <v>464</v>
      </c>
      <c r="B108">
        <v>61</v>
      </c>
      <c r="C108">
        <v>632627</v>
      </c>
      <c r="D108" s="1">
        <v>33153</v>
      </c>
      <c r="E108" t="s">
        <v>39</v>
      </c>
      <c r="F108" t="s">
        <v>91</v>
      </c>
      <c r="G108">
        <v>1000</v>
      </c>
      <c r="H108">
        <v>1125.3699999999999</v>
      </c>
      <c r="I108">
        <v>0</v>
      </c>
      <c r="J108">
        <v>604450</v>
      </c>
      <c r="K108" t="s">
        <v>70</v>
      </c>
      <c r="L108" t="s">
        <v>92</v>
      </c>
      <c r="M108" t="s">
        <v>101</v>
      </c>
      <c r="N108" t="s">
        <v>179</v>
      </c>
      <c r="O108" t="s">
        <v>45</v>
      </c>
      <c r="P108">
        <v>0</v>
      </c>
      <c r="Q108">
        <v>-56400</v>
      </c>
      <c r="R108" s="1">
        <v>42017</v>
      </c>
      <c r="S108" t="s">
        <v>75</v>
      </c>
      <c r="T108" t="s">
        <v>76</v>
      </c>
      <c r="U108" t="s">
        <v>48</v>
      </c>
      <c r="V108" t="s">
        <v>49</v>
      </c>
      <c r="W108" t="s">
        <v>64</v>
      </c>
      <c r="X108" t="s">
        <v>127</v>
      </c>
      <c r="Y108" t="s">
        <v>283</v>
      </c>
      <c r="Z108">
        <v>6</v>
      </c>
      <c r="AA108">
        <v>3</v>
      </c>
      <c r="AB108" t="s">
        <v>62</v>
      </c>
      <c r="AC108">
        <v>0</v>
      </c>
      <c r="AD108">
        <v>2</v>
      </c>
      <c r="AE108" t="s">
        <v>53</v>
      </c>
      <c r="AF108">
        <v>79800</v>
      </c>
      <c r="AG108">
        <v>6650</v>
      </c>
      <c r="AH108">
        <v>19950</v>
      </c>
      <c r="AI108">
        <v>53200</v>
      </c>
      <c r="AJ108" t="s">
        <v>54</v>
      </c>
      <c r="AK108">
        <v>95</v>
      </c>
      <c r="AL108">
        <v>2000</v>
      </c>
      <c r="AM108" t="s">
        <v>56</v>
      </c>
      <c r="AN108" s="2">
        <f t="shared" si="7"/>
        <v>70.847057361257853</v>
      </c>
      <c r="AO108">
        <f t="shared" si="8"/>
        <v>-78674.63</v>
      </c>
      <c r="AP108" s="2">
        <f t="shared" si="9"/>
        <v>1.410220423302966E-2</v>
      </c>
      <c r="AQ108" s="2">
        <f t="shared" si="13"/>
        <v>15</v>
      </c>
      <c r="AR108">
        <f t="shared" si="10"/>
        <v>464</v>
      </c>
      <c r="AS108" t="str">
        <f t="shared" si="11"/>
        <v>High Claim Ratio</v>
      </c>
      <c r="AT108" t="str">
        <f t="shared" si="12"/>
        <v>High Profit</v>
      </c>
    </row>
    <row r="109" spans="1:46" x14ac:dyDescent="0.2">
      <c r="A109">
        <v>118</v>
      </c>
      <c r="B109">
        <v>28</v>
      </c>
      <c r="C109">
        <v>283414</v>
      </c>
      <c r="D109" s="1">
        <v>33600</v>
      </c>
      <c r="E109" t="s">
        <v>57</v>
      </c>
      <c r="F109" t="s">
        <v>91</v>
      </c>
      <c r="G109">
        <v>2000</v>
      </c>
      <c r="H109">
        <v>1207.3599999999999</v>
      </c>
      <c r="I109">
        <v>0</v>
      </c>
      <c r="J109">
        <v>432896</v>
      </c>
      <c r="K109" t="s">
        <v>70</v>
      </c>
      <c r="L109" t="s">
        <v>131</v>
      </c>
      <c r="M109" t="s">
        <v>159</v>
      </c>
      <c r="N109" t="s">
        <v>118</v>
      </c>
      <c r="O109" t="s">
        <v>74</v>
      </c>
      <c r="P109">
        <v>0</v>
      </c>
      <c r="Q109">
        <v>-57000</v>
      </c>
      <c r="R109" s="1">
        <v>42064</v>
      </c>
      <c r="S109" t="s">
        <v>75</v>
      </c>
      <c r="T109" t="s">
        <v>86</v>
      </c>
      <c r="U109" t="s">
        <v>48</v>
      </c>
      <c r="V109" t="s">
        <v>136</v>
      </c>
      <c r="W109" t="s">
        <v>113</v>
      </c>
      <c r="X109" t="s">
        <v>51</v>
      </c>
      <c r="Y109" t="s">
        <v>284</v>
      </c>
      <c r="Z109">
        <v>22</v>
      </c>
      <c r="AA109">
        <v>2</v>
      </c>
      <c r="AB109" t="s">
        <v>79</v>
      </c>
      <c r="AC109">
        <v>1</v>
      </c>
      <c r="AD109">
        <v>0</v>
      </c>
      <c r="AE109" t="s">
        <v>62</v>
      </c>
      <c r="AF109">
        <v>74200</v>
      </c>
      <c r="AG109">
        <v>7420</v>
      </c>
      <c r="AH109">
        <v>14840</v>
      </c>
      <c r="AI109">
        <v>51940</v>
      </c>
      <c r="AJ109" t="s">
        <v>214</v>
      </c>
      <c r="AK109" t="s">
        <v>215</v>
      </c>
      <c r="AL109">
        <v>1997</v>
      </c>
      <c r="AM109" t="s">
        <v>82</v>
      </c>
      <c r="AN109" s="2">
        <f t="shared" si="7"/>
        <v>61.405541394948528</v>
      </c>
      <c r="AO109">
        <f t="shared" si="8"/>
        <v>-72992.639999999999</v>
      </c>
      <c r="AP109" s="2">
        <f t="shared" si="9"/>
        <v>1.6271478821040148E-2</v>
      </c>
      <c r="AQ109" s="2">
        <f t="shared" si="13"/>
        <v>18</v>
      </c>
      <c r="AR109">
        <f t="shared" si="10"/>
        <v>118</v>
      </c>
      <c r="AS109" t="str">
        <f t="shared" si="11"/>
        <v>High Claim Ratio</v>
      </c>
      <c r="AT109" t="str">
        <f t="shared" si="12"/>
        <v>High Profit</v>
      </c>
    </row>
    <row r="110" spans="1:46" x14ac:dyDescent="0.2">
      <c r="A110">
        <v>298</v>
      </c>
      <c r="B110">
        <v>47</v>
      </c>
      <c r="C110">
        <v>163161</v>
      </c>
      <c r="D110" s="1">
        <v>36110</v>
      </c>
      <c r="E110" t="s">
        <v>83</v>
      </c>
      <c r="F110" t="s">
        <v>91</v>
      </c>
      <c r="G110">
        <v>2000</v>
      </c>
      <c r="H110">
        <v>1338.5</v>
      </c>
      <c r="I110">
        <v>0</v>
      </c>
      <c r="J110">
        <v>618929</v>
      </c>
      <c r="K110" t="s">
        <v>70</v>
      </c>
      <c r="L110" t="s">
        <v>71</v>
      </c>
      <c r="M110" t="s">
        <v>58</v>
      </c>
      <c r="N110" t="s">
        <v>179</v>
      </c>
      <c r="O110" t="s">
        <v>60</v>
      </c>
      <c r="P110">
        <v>28800</v>
      </c>
      <c r="Q110">
        <v>0</v>
      </c>
      <c r="R110" s="1">
        <v>42037</v>
      </c>
      <c r="S110" t="s">
        <v>46</v>
      </c>
      <c r="T110" t="s">
        <v>86</v>
      </c>
      <c r="U110" t="s">
        <v>48</v>
      </c>
      <c r="V110" t="s">
        <v>99</v>
      </c>
      <c r="W110" t="s">
        <v>77</v>
      </c>
      <c r="X110" t="s">
        <v>156</v>
      </c>
      <c r="Y110" t="s">
        <v>285</v>
      </c>
      <c r="Z110">
        <v>1</v>
      </c>
      <c r="AA110">
        <v>1</v>
      </c>
      <c r="AB110" t="s">
        <v>62</v>
      </c>
      <c r="AC110">
        <v>0</v>
      </c>
      <c r="AD110">
        <v>0</v>
      </c>
      <c r="AE110" t="s">
        <v>62</v>
      </c>
      <c r="AF110">
        <v>70590</v>
      </c>
      <c r="AG110">
        <v>10860</v>
      </c>
      <c r="AH110">
        <v>10860</v>
      </c>
      <c r="AI110">
        <v>48870</v>
      </c>
      <c r="AJ110" t="s">
        <v>54</v>
      </c>
      <c r="AK110">
        <v>93</v>
      </c>
      <c r="AL110">
        <v>2000</v>
      </c>
      <c r="AM110" t="s">
        <v>56</v>
      </c>
      <c r="AN110" s="2">
        <f t="shared" si="7"/>
        <v>52.698768197088469</v>
      </c>
      <c r="AO110">
        <f t="shared" si="8"/>
        <v>-69251.5</v>
      </c>
      <c r="AP110" s="2">
        <f t="shared" si="9"/>
        <v>1.8961340680823335E-2</v>
      </c>
      <c r="AQ110" s="2">
        <f t="shared" si="13"/>
        <v>15</v>
      </c>
      <c r="AR110">
        <f t="shared" si="10"/>
        <v>298</v>
      </c>
      <c r="AS110" t="str">
        <f t="shared" si="11"/>
        <v>High Claim Ratio</v>
      </c>
      <c r="AT110" t="str">
        <f t="shared" si="12"/>
        <v>High Profit</v>
      </c>
    </row>
    <row r="111" spans="1:46" x14ac:dyDescent="0.2">
      <c r="A111">
        <v>87</v>
      </c>
      <c r="B111">
        <v>31</v>
      </c>
      <c r="C111">
        <v>853360</v>
      </c>
      <c r="D111" s="1">
        <v>39990</v>
      </c>
      <c r="E111" t="s">
        <v>57</v>
      </c>
      <c r="F111" t="s">
        <v>91</v>
      </c>
      <c r="G111">
        <v>1000</v>
      </c>
      <c r="H111">
        <v>1074.07</v>
      </c>
      <c r="I111">
        <v>0</v>
      </c>
      <c r="J111">
        <v>451312</v>
      </c>
      <c r="K111" t="s">
        <v>70</v>
      </c>
      <c r="L111" t="s">
        <v>124</v>
      </c>
      <c r="M111" t="s">
        <v>72</v>
      </c>
      <c r="N111" t="s">
        <v>168</v>
      </c>
      <c r="O111" t="s">
        <v>45</v>
      </c>
      <c r="P111">
        <v>0</v>
      </c>
      <c r="Q111">
        <v>-47500</v>
      </c>
      <c r="R111" s="1">
        <v>42031</v>
      </c>
      <c r="S111" t="s">
        <v>75</v>
      </c>
      <c r="T111" t="s">
        <v>76</v>
      </c>
      <c r="U111" t="s">
        <v>48</v>
      </c>
      <c r="V111" t="s">
        <v>99</v>
      </c>
      <c r="W111" t="s">
        <v>77</v>
      </c>
      <c r="X111" t="s">
        <v>102</v>
      </c>
      <c r="Y111" t="s">
        <v>286</v>
      </c>
      <c r="Z111">
        <v>16</v>
      </c>
      <c r="AA111">
        <v>3</v>
      </c>
      <c r="AB111" t="s">
        <v>79</v>
      </c>
      <c r="AC111">
        <v>0</v>
      </c>
      <c r="AD111">
        <v>3</v>
      </c>
      <c r="AE111" t="s">
        <v>53</v>
      </c>
      <c r="AF111">
        <v>60940</v>
      </c>
      <c r="AG111">
        <v>5540</v>
      </c>
      <c r="AH111">
        <v>11080</v>
      </c>
      <c r="AI111">
        <v>44320</v>
      </c>
      <c r="AJ111" t="s">
        <v>104</v>
      </c>
      <c r="AK111" t="s">
        <v>287</v>
      </c>
      <c r="AL111">
        <v>2006</v>
      </c>
      <c r="AM111" t="s">
        <v>56</v>
      </c>
      <c r="AN111" s="2">
        <f t="shared" si="7"/>
        <v>56.684680997516445</v>
      </c>
      <c r="AO111">
        <f t="shared" si="8"/>
        <v>-59865.93</v>
      </c>
      <c r="AP111" s="2">
        <f t="shared" si="9"/>
        <v>1.762475180912686E-2</v>
      </c>
      <c r="AQ111" s="2">
        <f t="shared" si="13"/>
        <v>9</v>
      </c>
      <c r="AR111">
        <f t="shared" si="10"/>
        <v>87</v>
      </c>
      <c r="AS111" t="str">
        <f t="shared" si="11"/>
        <v>High Claim Ratio</v>
      </c>
      <c r="AT111" t="str">
        <f t="shared" si="12"/>
        <v>High Profit</v>
      </c>
    </row>
    <row r="112" spans="1:46" x14ac:dyDescent="0.2">
      <c r="A112">
        <v>261</v>
      </c>
      <c r="B112">
        <v>42</v>
      </c>
      <c r="C112">
        <v>776860</v>
      </c>
      <c r="D112" s="1">
        <v>39824</v>
      </c>
      <c r="E112" t="s">
        <v>39</v>
      </c>
      <c r="F112" t="s">
        <v>40</v>
      </c>
      <c r="G112">
        <v>500</v>
      </c>
      <c r="H112">
        <v>1337.56</v>
      </c>
      <c r="I112">
        <v>0</v>
      </c>
      <c r="J112">
        <v>605141</v>
      </c>
      <c r="K112" t="s">
        <v>70</v>
      </c>
      <c r="L112" t="s">
        <v>141</v>
      </c>
      <c r="M112" t="s">
        <v>101</v>
      </c>
      <c r="N112" t="s">
        <v>181</v>
      </c>
      <c r="O112" t="s">
        <v>85</v>
      </c>
      <c r="P112">
        <v>0</v>
      </c>
      <c r="Q112">
        <v>0</v>
      </c>
      <c r="R112" s="1">
        <v>42016</v>
      </c>
      <c r="S112" t="s">
        <v>46</v>
      </c>
      <c r="T112" t="s">
        <v>76</v>
      </c>
      <c r="U112" t="s">
        <v>63</v>
      </c>
      <c r="V112" t="s">
        <v>49</v>
      </c>
      <c r="W112" t="s">
        <v>50</v>
      </c>
      <c r="X112" t="s">
        <v>65</v>
      </c>
      <c r="Y112" t="s">
        <v>288</v>
      </c>
      <c r="Z112">
        <v>18</v>
      </c>
      <c r="AA112">
        <v>1</v>
      </c>
      <c r="AB112" t="s">
        <v>62</v>
      </c>
      <c r="AC112">
        <v>1</v>
      </c>
      <c r="AD112">
        <v>2</v>
      </c>
      <c r="AE112" t="s">
        <v>53</v>
      </c>
      <c r="AF112">
        <v>74700</v>
      </c>
      <c r="AG112">
        <v>7470</v>
      </c>
      <c r="AH112">
        <v>14940</v>
      </c>
      <c r="AI112">
        <v>52290</v>
      </c>
      <c r="AJ112" t="s">
        <v>80</v>
      </c>
      <c r="AK112" t="s">
        <v>81</v>
      </c>
      <c r="AL112">
        <v>2010</v>
      </c>
      <c r="AM112" t="s">
        <v>82</v>
      </c>
      <c r="AN112" s="2">
        <f t="shared" si="7"/>
        <v>55.806239540999286</v>
      </c>
      <c r="AO112">
        <f t="shared" si="8"/>
        <v>-73362.44</v>
      </c>
      <c r="AP112" s="2">
        <f t="shared" si="9"/>
        <v>1.7905516659750202E-2</v>
      </c>
      <c r="AQ112" s="2">
        <f t="shared" si="13"/>
        <v>5</v>
      </c>
      <c r="AR112">
        <f t="shared" si="10"/>
        <v>261</v>
      </c>
      <c r="AS112" t="str">
        <f t="shared" si="11"/>
        <v>High Claim Ratio</v>
      </c>
      <c r="AT112" t="str">
        <f t="shared" si="12"/>
        <v>High Profit</v>
      </c>
    </row>
    <row r="113" spans="1:46" x14ac:dyDescent="0.2">
      <c r="A113">
        <v>453</v>
      </c>
      <c r="B113">
        <v>60</v>
      </c>
      <c r="C113">
        <v>149367</v>
      </c>
      <c r="D113" s="1">
        <v>37698</v>
      </c>
      <c r="E113" t="s">
        <v>57</v>
      </c>
      <c r="F113" t="s">
        <v>69</v>
      </c>
      <c r="G113">
        <v>500</v>
      </c>
      <c r="H113">
        <v>1298.9100000000001</v>
      </c>
      <c r="I113">
        <v>6000000</v>
      </c>
      <c r="J113">
        <v>459504</v>
      </c>
      <c r="K113" t="s">
        <v>41</v>
      </c>
      <c r="L113" t="s">
        <v>71</v>
      </c>
      <c r="M113" t="s">
        <v>43</v>
      </c>
      <c r="N113" t="s">
        <v>126</v>
      </c>
      <c r="O113" t="s">
        <v>85</v>
      </c>
      <c r="P113">
        <v>52600</v>
      </c>
      <c r="Q113">
        <v>-38800</v>
      </c>
      <c r="R113" s="1">
        <v>42010</v>
      </c>
      <c r="S113" t="s">
        <v>46</v>
      </c>
      <c r="T113" t="s">
        <v>86</v>
      </c>
      <c r="U113" t="s">
        <v>48</v>
      </c>
      <c r="V113" t="s">
        <v>99</v>
      </c>
      <c r="W113" t="s">
        <v>121</v>
      </c>
      <c r="X113" t="s">
        <v>102</v>
      </c>
      <c r="Y113" t="s">
        <v>289</v>
      </c>
      <c r="Z113">
        <v>0</v>
      </c>
      <c r="AA113">
        <v>1</v>
      </c>
      <c r="AB113" t="s">
        <v>53</v>
      </c>
      <c r="AC113">
        <v>0</v>
      </c>
      <c r="AD113">
        <v>0</v>
      </c>
      <c r="AE113" t="s">
        <v>62</v>
      </c>
      <c r="AF113">
        <v>70000</v>
      </c>
      <c r="AG113">
        <v>14000</v>
      </c>
      <c r="AH113">
        <v>7000</v>
      </c>
      <c r="AI113">
        <v>49000</v>
      </c>
      <c r="AJ113" t="s">
        <v>129</v>
      </c>
      <c r="AK113" t="s">
        <v>130</v>
      </c>
      <c r="AL113">
        <v>2015</v>
      </c>
      <c r="AM113" t="s">
        <v>56</v>
      </c>
      <c r="AN113" s="2">
        <f t="shared" si="7"/>
        <v>53.8498819149018</v>
      </c>
      <c r="AO113">
        <f t="shared" si="8"/>
        <v>-68701.09</v>
      </c>
      <c r="AP113" s="2">
        <f t="shared" si="9"/>
        <v>1.8555592062970531E-2</v>
      </c>
      <c r="AQ113" s="2">
        <f t="shared" si="13"/>
        <v>0</v>
      </c>
      <c r="AR113">
        <f t="shared" si="10"/>
        <v>453</v>
      </c>
      <c r="AS113" t="str">
        <f t="shared" si="11"/>
        <v>High Claim Ratio</v>
      </c>
      <c r="AT113" t="str">
        <f t="shared" si="12"/>
        <v>High Profit</v>
      </c>
    </row>
    <row r="114" spans="1:46" x14ac:dyDescent="0.2">
      <c r="A114">
        <v>210</v>
      </c>
      <c r="B114">
        <v>41</v>
      </c>
      <c r="C114">
        <v>395269</v>
      </c>
      <c r="D114" s="1">
        <v>41215</v>
      </c>
      <c r="E114" t="s">
        <v>83</v>
      </c>
      <c r="F114" t="s">
        <v>91</v>
      </c>
      <c r="G114">
        <v>500</v>
      </c>
      <c r="H114">
        <v>1222.75</v>
      </c>
      <c r="I114">
        <v>0</v>
      </c>
      <c r="J114">
        <v>432781</v>
      </c>
      <c r="K114" t="s">
        <v>41</v>
      </c>
      <c r="L114" t="s">
        <v>131</v>
      </c>
      <c r="M114" t="s">
        <v>125</v>
      </c>
      <c r="N114" t="s">
        <v>173</v>
      </c>
      <c r="O114" t="s">
        <v>60</v>
      </c>
      <c r="P114">
        <v>0</v>
      </c>
      <c r="Q114">
        <v>-41000</v>
      </c>
      <c r="R114" s="1">
        <v>42034</v>
      </c>
      <c r="S114" t="s">
        <v>75</v>
      </c>
      <c r="T114" t="s">
        <v>76</v>
      </c>
      <c r="U114" t="s">
        <v>107</v>
      </c>
      <c r="V114" t="s">
        <v>120</v>
      </c>
      <c r="W114" t="s">
        <v>113</v>
      </c>
      <c r="X114" t="s">
        <v>51</v>
      </c>
      <c r="Y114" t="s">
        <v>290</v>
      </c>
      <c r="Z114">
        <v>12</v>
      </c>
      <c r="AA114">
        <v>3</v>
      </c>
      <c r="AB114" t="s">
        <v>62</v>
      </c>
      <c r="AC114">
        <v>2</v>
      </c>
      <c r="AD114">
        <v>0</v>
      </c>
      <c r="AE114" t="s">
        <v>79</v>
      </c>
      <c r="AF114">
        <v>81070</v>
      </c>
      <c r="AG114">
        <v>14740</v>
      </c>
      <c r="AH114">
        <v>14740</v>
      </c>
      <c r="AI114">
        <v>51590</v>
      </c>
      <c r="AJ114" t="s">
        <v>187</v>
      </c>
      <c r="AK114" t="s">
        <v>203</v>
      </c>
      <c r="AL114">
        <v>2001</v>
      </c>
      <c r="AM114" t="s">
        <v>82</v>
      </c>
      <c r="AN114" s="2">
        <f t="shared" si="7"/>
        <v>66.247191011235955</v>
      </c>
      <c r="AO114">
        <f t="shared" si="8"/>
        <v>-79847.25</v>
      </c>
      <c r="AP114" s="2">
        <f t="shared" si="9"/>
        <v>1.5082458585684154E-2</v>
      </c>
      <c r="AQ114" s="2">
        <f t="shared" si="13"/>
        <v>14</v>
      </c>
      <c r="AR114">
        <f t="shared" si="10"/>
        <v>210</v>
      </c>
      <c r="AS114" t="str">
        <f t="shared" si="11"/>
        <v>High Claim Ratio</v>
      </c>
      <c r="AT114" t="str">
        <f t="shared" si="12"/>
        <v>High Profit</v>
      </c>
    </row>
    <row r="115" spans="1:46" x14ac:dyDescent="0.2">
      <c r="A115">
        <v>168</v>
      </c>
      <c r="B115">
        <v>32</v>
      </c>
      <c r="C115">
        <v>981123</v>
      </c>
      <c r="D115" s="1">
        <v>36650</v>
      </c>
      <c r="E115" t="s">
        <v>57</v>
      </c>
      <c r="F115" t="s">
        <v>69</v>
      </c>
      <c r="G115">
        <v>1000</v>
      </c>
      <c r="H115">
        <v>1059.52</v>
      </c>
      <c r="I115">
        <v>0</v>
      </c>
      <c r="J115">
        <v>452748</v>
      </c>
      <c r="K115" t="s">
        <v>41</v>
      </c>
      <c r="L115" t="s">
        <v>42</v>
      </c>
      <c r="M115" t="s">
        <v>135</v>
      </c>
      <c r="N115" t="s">
        <v>118</v>
      </c>
      <c r="O115" t="s">
        <v>74</v>
      </c>
      <c r="P115">
        <v>0</v>
      </c>
      <c r="Q115">
        <v>-40600</v>
      </c>
      <c r="R115" s="1">
        <v>42064</v>
      </c>
      <c r="S115" t="s">
        <v>75</v>
      </c>
      <c r="T115" t="s">
        <v>47</v>
      </c>
      <c r="U115" t="s">
        <v>48</v>
      </c>
      <c r="V115" t="s">
        <v>120</v>
      </c>
      <c r="W115" t="s">
        <v>64</v>
      </c>
      <c r="X115" t="s">
        <v>122</v>
      </c>
      <c r="Y115" t="s">
        <v>291</v>
      </c>
      <c r="Z115">
        <v>13</v>
      </c>
      <c r="AA115">
        <v>2</v>
      </c>
      <c r="AB115" t="s">
        <v>62</v>
      </c>
      <c r="AC115">
        <v>1</v>
      </c>
      <c r="AD115">
        <v>1</v>
      </c>
      <c r="AE115" t="s">
        <v>62</v>
      </c>
      <c r="AF115">
        <v>57720</v>
      </c>
      <c r="AG115">
        <v>14430</v>
      </c>
      <c r="AH115">
        <v>9620</v>
      </c>
      <c r="AI115">
        <v>33670</v>
      </c>
      <c r="AJ115" t="s">
        <v>54</v>
      </c>
      <c r="AK115">
        <v>93</v>
      </c>
      <c r="AL115">
        <v>2007</v>
      </c>
      <c r="AM115" t="s">
        <v>82</v>
      </c>
      <c r="AN115" s="2">
        <f t="shared" si="7"/>
        <v>54.426130577452568</v>
      </c>
      <c r="AO115">
        <f t="shared" si="8"/>
        <v>-56660.480000000003</v>
      </c>
      <c r="AP115" s="2">
        <f t="shared" si="9"/>
        <v>1.8355884340188144E-2</v>
      </c>
      <c r="AQ115" s="2">
        <f t="shared" si="13"/>
        <v>8</v>
      </c>
      <c r="AR115">
        <f t="shared" si="10"/>
        <v>168</v>
      </c>
      <c r="AS115" t="str">
        <f t="shared" si="11"/>
        <v>High Claim Ratio</v>
      </c>
      <c r="AT115" t="str">
        <f t="shared" si="12"/>
        <v>High Profit</v>
      </c>
    </row>
    <row r="116" spans="1:46" x14ac:dyDescent="0.2">
      <c r="A116">
        <v>390</v>
      </c>
      <c r="B116">
        <v>51</v>
      </c>
      <c r="C116">
        <v>143626</v>
      </c>
      <c r="D116" s="1">
        <v>36432</v>
      </c>
      <c r="E116" t="s">
        <v>39</v>
      </c>
      <c r="F116" t="s">
        <v>40</v>
      </c>
      <c r="G116">
        <v>2000</v>
      </c>
      <c r="H116">
        <v>1124.3800000000001</v>
      </c>
      <c r="I116">
        <v>0</v>
      </c>
      <c r="J116">
        <v>618316</v>
      </c>
      <c r="K116" t="s">
        <v>41</v>
      </c>
      <c r="L116" t="s">
        <v>92</v>
      </c>
      <c r="M116" t="s">
        <v>84</v>
      </c>
      <c r="N116" t="s">
        <v>59</v>
      </c>
      <c r="O116" t="s">
        <v>60</v>
      </c>
      <c r="P116">
        <v>0</v>
      </c>
      <c r="Q116">
        <v>0</v>
      </c>
      <c r="R116" s="1">
        <v>42059</v>
      </c>
      <c r="S116" t="s">
        <v>61</v>
      </c>
      <c r="T116" t="s">
        <v>62</v>
      </c>
      <c r="U116" t="s">
        <v>63</v>
      </c>
      <c r="V116" t="s">
        <v>93</v>
      </c>
      <c r="W116" t="s">
        <v>64</v>
      </c>
      <c r="X116" t="s">
        <v>156</v>
      </c>
      <c r="Y116" t="s">
        <v>292</v>
      </c>
      <c r="Z116">
        <v>9</v>
      </c>
      <c r="AA116">
        <v>1</v>
      </c>
      <c r="AB116" t="s">
        <v>53</v>
      </c>
      <c r="AC116">
        <v>1</v>
      </c>
      <c r="AD116">
        <v>1</v>
      </c>
      <c r="AE116" t="s">
        <v>53</v>
      </c>
      <c r="AF116">
        <v>7080</v>
      </c>
      <c r="AG116">
        <v>1180</v>
      </c>
      <c r="AH116">
        <v>1180</v>
      </c>
      <c r="AI116">
        <v>4720</v>
      </c>
      <c r="AJ116" t="s">
        <v>129</v>
      </c>
      <c r="AK116" t="s">
        <v>130</v>
      </c>
      <c r="AL116">
        <v>2001</v>
      </c>
      <c r="AM116" t="s">
        <v>82</v>
      </c>
      <c r="AN116" s="2">
        <f t="shared" si="7"/>
        <v>6.2912083029732173</v>
      </c>
      <c r="AO116">
        <f t="shared" si="8"/>
        <v>-5955.62</v>
      </c>
      <c r="AP116" s="2">
        <f t="shared" si="9"/>
        <v>0.1587883067363367</v>
      </c>
      <c r="AQ116" s="2">
        <f t="shared" si="13"/>
        <v>14</v>
      </c>
      <c r="AR116">
        <f t="shared" si="10"/>
        <v>390</v>
      </c>
      <c r="AS116" t="str">
        <f t="shared" si="11"/>
        <v>Medium Claim Ratio</v>
      </c>
      <c r="AT116" t="str">
        <f t="shared" si="12"/>
        <v>High Profit</v>
      </c>
    </row>
    <row r="117" spans="1:46" x14ac:dyDescent="0.2">
      <c r="A117">
        <v>258</v>
      </c>
      <c r="B117">
        <v>46</v>
      </c>
      <c r="C117">
        <v>648397</v>
      </c>
      <c r="D117" s="1">
        <v>36228</v>
      </c>
      <c r="E117" t="s">
        <v>57</v>
      </c>
      <c r="F117" t="s">
        <v>69</v>
      </c>
      <c r="G117">
        <v>1000</v>
      </c>
      <c r="H117">
        <v>1110.3699999999999</v>
      </c>
      <c r="I117">
        <v>10000000</v>
      </c>
      <c r="J117">
        <v>455365</v>
      </c>
      <c r="K117" t="s">
        <v>41</v>
      </c>
      <c r="L117" t="s">
        <v>42</v>
      </c>
      <c r="M117" t="s">
        <v>58</v>
      </c>
      <c r="N117" t="s">
        <v>149</v>
      </c>
      <c r="O117" t="s">
        <v>60</v>
      </c>
      <c r="P117">
        <v>34400</v>
      </c>
      <c r="Q117">
        <v>-56800</v>
      </c>
      <c r="R117" s="1">
        <v>42028</v>
      </c>
      <c r="S117" t="s">
        <v>75</v>
      </c>
      <c r="T117" t="s">
        <v>47</v>
      </c>
      <c r="U117" t="s">
        <v>107</v>
      </c>
      <c r="V117" t="s">
        <v>120</v>
      </c>
      <c r="W117" t="s">
        <v>77</v>
      </c>
      <c r="X117" t="s">
        <v>65</v>
      </c>
      <c r="Y117" t="s">
        <v>293</v>
      </c>
      <c r="Z117">
        <v>14</v>
      </c>
      <c r="AA117">
        <v>3</v>
      </c>
      <c r="AB117" t="s">
        <v>79</v>
      </c>
      <c r="AC117">
        <v>0</v>
      </c>
      <c r="AD117">
        <v>1</v>
      </c>
      <c r="AE117" t="s">
        <v>62</v>
      </c>
      <c r="AF117">
        <v>47700</v>
      </c>
      <c r="AG117">
        <v>4770</v>
      </c>
      <c r="AH117">
        <v>9540</v>
      </c>
      <c r="AI117">
        <v>33390</v>
      </c>
      <c r="AJ117" t="s">
        <v>95</v>
      </c>
      <c r="AK117" t="s">
        <v>148</v>
      </c>
      <c r="AL117">
        <v>1997</v>
      </c>
      <c r="AM117" t="s">
        <v>56</v>
      </c>
      <c r="AN117" s="2">
        <f t="shared" si="7"/>
        <v>42.919999640083866</v>
      </c>
      <c r="AO117">
        <f t="shared" si="8"/>
        <v>-46589.63</v>
      </c>
      <c r="AP117" s="2">
        <f t="shared" si="9"/>
        <v>2.3277709062703086E-2</v>
      </c>
      <c r="AQ117" s="2">
        <f t="shared" si="13"/>
        <v>18</v>
      </c>
      <c r="AR117">
        <f t="shared" si="10"/>
        <v>258</v>
      </c>
      <c r="AS117" t="str">
        <f t="shared" si="11"/>
        <v>High Claim Ratio</v>
      </c>
      <c r="AT117" t="str">
        <f t="shared" si="12"/>
        <v>High Profit</v>
      </c>
    </row>
    <row r="118" spans="1:46" x14ac:dyDescent="0.2">
      <c r="A118">
        <v>107</v>
      </c>
      <c r="B118">
        <v>31</v>
      </c>
      <c r="C118">
        <v>154982</v>
      </c>
      <c r="D118" s="1">
        <v>33282</v>
      </c>
      <c r="E118" t="s">
        <v>83</v>
      </c>
      <c r="F118" t="s">
        <v>91</v>
      </c>
      <c r="G118">
        <v>2000</v>
      </c>
      <c r="H118">
        <v>1374.22</v>
      </c>
      <c r="I118">
        <v>0</v>
      </c>
      <c r="J118">
        <v>470603</v>
      </c>
      <c r="K118" t="s">
        <v>70</v>
      </c>
      <c r="L118" t="s">
        <v>71</v>
      </c>
      <c r="M118" t="s">
        <v>58</v>
      </c>
      <c r="N118" t="s">
        <v>98</v>
      </c>
      <c r="O118" t="s">
        <v>60</v>
      </c>
      <c r="P118">
        <v>62000</v>
      </c>
      <c r="Q118">
        <v>-63100</v>
      </c>
      <c r="R118" s="1">
        <v>42061</v>
      </c>
      <c r="S118" t="s">
        <v>46</v>
      </c>
      <c r="T118" t="s">
        <v>76</v>
      </c>
      <c r="U118" t="s">
        <v>63</v>
      </c>
      <c r="V118" t="s">
        <v>49</v>
      </c>
      <c r="W118" t="s">
        <v>50</v>
      </c>
      <c r="X118" t="s">
        <v>122</v>
      </c>
      <c r="Y118" t="s">
        <v>294</v>
      </c>
      <c r="Z118">
        <v>16</v>
      </c>
      <c r="AA118">
        <v>1</v>
      </c>
      <c r="AB118" t="s">
        <v>79</v>
      </c>
      <c r="AC118">
        <v>0</v>
      </c>
      <c r="AD118">
        <v>3</v>
      </c>
      <c r="AE118" t="s">
        <v>79</v>
      </c>
      <c r="AF118">
        <v>51260</v>
      </c>
      <c r="AG118">
        <v>9320</v>
      </c>
      <c r="AH118">
        <v>9320</v>
      </c>
      <c r="AI118">
        <v>32620</v>
      </c>
      <c r="AJ118" t="s">
        <v>153</v>
      </c>
      <c r="AK118" t="s">
        <v>154</v>
      </c>
      <c r="AL118">
        <v>2002</v>
      </c>
      <c r="AM118" t="s">
        <v>82</v>
      </c>
      <c r="AN118" s="2">
        <f t="shared" si="7"/>
        <v>37.274036154215324</v>
      </c>
      <c r="AO118">
        <f t="shared" si="8"/>
        <v>-49885.78</v>
      </c>
      <c r="AP118" s="2">
        <f t="shared" si="9"/>
        <v>2.6808294805017459E-2</v>
      </c>
      <c r="AQ118" s="2">
        <f t="shared" si="13"/>
        <v>13</v>
      </c>
      <c r="AR118">
        <f t="shared" si="10"/>
        <v>107</v>
      </c>
      <c r="AS118" t="str">
        <f t="shared" si="11"/>
        <v>High Claim Ratio</v>
      </c>
      <c r="AT118" t="str">
        <f t="shared" si="12"/>
        <v>High Profit</v>
      </c>
    </row>
    <row r="119" spans="1:46" x14ac:dyDescent="0.2">
      <c r="A119">
        <v>225</v>
      </c>
      <c r="B119">
        <v>41</v>
      </c>
      <c r="C119">
        <v>330591</v>
      </c>
      <c r="D119" s="1">
        <v>34186</v>
      </c>
      <c r="E119" t="s">
        <v>39</v>
      </c>
      <c r="F119" t="s">
        <v>91</v>
      </c>
      <c r="G119">
        <v>2000</v>
      </c>
      <c r="H119">
        <v>1103.58</v>
      </c>
      <c r="I119">
        <v>0</v>
      </c>
      <c r="J119">
        <v>475292</v>
      </c>
      <c r="K119" t="s">
        <v>41</v>
      </c>
      <c r="L119" t="s">
        <v>131</v>
      </c>
      <c r="M119" t="s">
        <v>125</v>
      </c>
      <c r="N119" t="s">
        <v>264</v>
      </c>
      <c r="O119" t="s">
        <v>85</v>
      </c>
      <c r="P119">
        <v>41200</v>
      </c>
      <c r="Q119">
        <v>-36200</v>
      </c>
      <c r="R119" s="1">
        <v>42023</v>
      </c>
      <c r="S119" t="s">
        <v>75</v>
      </c>
      <c r="T119" t="s">
        <v>47</v>
      </c>
      <c r="U119" t="s">
        <v>48</v>
      </c>
      <c r="V119" t="s">
        <v>49</v>
      </c>
      <c r="W119" t="s">
        <v>77</v>
      </c>
      <c r="X119" t="s">
        <v>127</v>
      </c>
      <c r="Y119" t="s">
        <v>295</v>
      </c>
      <c r="Z119">
        <v>20</v>
      </c>
      <c r="AA119">
        <v>3</v>
      </c>
      <c r="AB119" t="s">
        <v>62</v>
      </c>
      <c r="AC119">
        <v>2</v>
      </c>
      <c r="AD119">
        <v>2</v>
      </c>
      <c r="AE119" t="s">
        <v>79</v>
      </c>
      <c r="AF119">
        <v>70400</v>
      </c>
      <c r="AG119">
        <v>6400</v>
      </c>
      <c r="AH119">
        <v>12800</v>
      </c>
      <c r="AI119">
        <v>51200</v>
      </c>
      <c r="AJ119" t="s">
        <v>115</v>
      </c>
      <c r="AK119" t="s">
        <v>140</v>
      </c>
      <c r="AL119">
        <v>2011</v>
      </c>
      <c r="AM119" t="s">
        <v>56</v>
      </c>
      <c r="AN119" s="2">
        <f t="shared" si="7"/>
        <v>63.734632167882822</v>
      </c>
      <c r="AO119">
        <f t="shared" si="8"/>
        <v>-69296.42</v>
      </c>
      <c r="AP119" s="2">
        <f t="shared" si="9"/>
        <v>1.5675629607533981E-2</v>
      </c>
      <c r="AQ119" s="2">
        <f t="shared" si="13"/>
        <v>4</v>
      </c>
      <c r="AR119">
        <f t="shared" si="10"/>
        <v>225</v>
      </c>
      <c r="AS119" t="str">
        <f t="shared" si="11"/>
        <v>High Claim Ratio</v>
      </c>
      <c r="AT119" t="str">
        <f t="shared" si="12"/>
        <v>High Profit</v>
      </c>
    </row>
    <row r="120" spans="1:46" x14ac:dyDescent="0.2">
      <c r="A120">
        <v>164</v>
      </c>
      <c r="B120">
        <v>38</v>
      </c>
      <c r="C120">
        <v>319232</v>
      </c>
      <c r="D120" s="1">
        <v>35734</v>
      </c>
      <c r="E120" t="s">
        <v>83</v>
      </c>
      <c r="F120" t="s">
        <v>40</v>
      </c>
      <c r="G120">
        <v>2000</v>
      </c>
      <c r="H120">
        <v>1269.76</v>
      </c>
      <c r="I120">
        <v>0</v>
      </c>
      <c r="J120">
        <v>467743</v>
      </c>
      <c r="K120" t="s">
        <v>70</v>
      </c>
      <c r="L120" t="s">
        <v>71</v>
      </c>
      <c r="M120" t="s">
        <v>145</v>
      </c>
      <c r="N120" t="s">
        <v>155</v>
      </c>
      <c r="O120" t="s">
        <v>142</v>
      </c>
      <c r="P120">
        <v>44300</v>
      </c>
      <c r="Q120">
        <v>0</v>
      </c>
      <c r="R120" s="1">
        <v>42021</v>
      </c>
      <c r="S120" t="s">
        <v>46</v>
      </c>
      <c r="T120" t="s">
        <v>76</v>
      </c>
      <c r="U120" t="s">
        <v>63</v>
      </c>
      <c r="V120" t="s">
        <v>99</v>
      </c>
      <c r="W120" t="s">
        <v>77</v>
      </c>
      <c r="X120" t="s">
        <v>122</v>
      </c>
      <c r="Y120" t="s">
        <v>296</v>
      </c>
      <c r="Z120">
        <v>4</v>
      </c>
      <c r="AA120">
        <v>1</v>
      </c>
      <c r="AB120" t="s">
        <v>79</v>
      </c>
      <c r="AC120">
        <v>1</v>
      </c>
      <c r="AD120">
        <v>3</v>
      </c>
      <c r="AE120" t="s">
        <v>53</v>
      </c>
      <c r="AF120">
        <v>90000</v>
      </c>
      <c r="AG120">
        <v>18000</v>
      </c>
      <c r="AH120">
        <v>9000</v>
      </c>
      <c r="AI120">
        <v>63000</v>
      </c>
      <c r="AJ120" t="s">
        <v>129</v>
      </c>
      <c r="AK120" t="s">
        <v>249</v>
      </c>
      <c r="AL120">
        <v>2015</v>
      </c>
      <c r="AM120" t="s">
        <v>82</v>
      </c>
      <c r="AN120" s="2">
        <f t="shared" si="7"/>
        <v>70.823759010356014</v>
      </c>
      <c r="AO120">
        <f t="shared" si="8"/>
        <v>-88730.240000000005</v>
      </c>
      <c r="AP120" s="2">
        <f t="shared" si="9"/>
        <v>1.4108287685692382E-2</v>
      </c>
      <c r="AQ120" s="2">
        <f t="shared" si="13"/>
        <v>0</v>
      </c>
      <c r="AR120">
        <f t="shared" si="10"/>
        <v>164</v>
      </c>
      <c r="AS120" t="str">
        <f t="shared" si="11"/>
        <v>High Claim Ratio</v>
      </c>
      <c r="AT120" t="str">
        <f t="shared" si="12"/>
        <v>High Profit</v>
      </c>
    </row>
    <row r="121" spans="1:46" x14ac:dyDescent="0.2">
      <c r="A121">
        <v>245</v>
      </c>
      <c r="B121">
        <v>39</v>
      </c>
      <c r="C121">
        <v>531640</v>
      </c>
      <c r="D121" s="1">
        <v>37002</v>
      </c>
      <c r="E121" t="s">
        <v>39</v>
      </c>
      <c r="F121" t="s">
        <v>40</v>
      </c>
      <c r="G121">
        <v>500</v>
      </c>
      <c r="H121">
        <v>964.79</v>
      </c>
      <c r="I121">
        <v>8000000</v>
      </c>
      <c r="J121">
        <v>460675</v>
      </c>
      <c r="K121" t="s">
        <v>70</v>
      </c>
      <c r="L121" t="s">
        <v>92</v>
      </c>
      <c r="M121" t="s">
        <v>185</v>
      </c>
      <c r="N121" t="s">
        <v>118</v>
      </c>
      <c r="O121" t="s">
        <v>45</v>
      </c>
      <c r="P121">
        <v>58000</v>
      </c>
      <c r="Q121">
        <v>0</v>
      </c>
      <c r="R121" s="1">
        <v>42055</v>
      </c>
      <c r="S121" t="s">
        <v>75</v>
      </c>
      <c r="T121" t="s">
        <v>76</v>
      </c>
      <c r="U121" t="s">
        <v>63</v>
      </c>
      <c r="V121" t="s">
        <v>49</v>
      </c>
      <c r="W121" t="s">
        <v>77</v>
      </c>
      <c r="X121" t="s">
        <v>87</v>
      </c>
      <c r="Y121" t="s">
        <v>297</v>
      </c>
      <c r="Z121">
        <v>7</v>
      </c>
      <c r="AA121">
        <v>3</v>
      </c>
      <c r="AB121" t="s">
        <v>62</v>
      </c>
      <c r="AC121">
        <v>0</v>
      </c>
      <c r="AD121">
        <v>1</v>
      </c>
      <c r="AE121" t="s">
        <v>62</v>
      </c>
      <c r="AF121">
        <v>72820</v>
      </c>
      <c r="AG121">
        <v>13240</v>
      </c>
      <c r="AH121">
        <v>6620</v>
      </c>
      <c r="AI121">
        <v>52960</v>
      </c>
      <c r="AJ121" t="s">
        <v>187</v>
      </c>
      <c r="AK121" t="s">
        <v>188</v>
      </c>
      <c r="AL121">
        <v>2010</v>
      </c>
      <c r="AM121" t="s">
        <v>82</v>
      </c>
      <c r="AN121" s="2">
        <f t="shared" si="7"/>
        <v>75.399413951273047</v>
      </c>
      <c r="AO121">
        <f t="shared" si="8"/>
        <v>-71855.210000000006</v>
      </c>
      <c r="AP121" s="2">
        <f t="shared" si="9"/>
        <v>1.3248788124304802E-2</v>
      </c>
      <c r="AQ121" s="2">
        <f t="shared" si="13"/>
        <v>5</v>
      </c>
      <c r="AR121">
        <f t="shared" si="10"/>
        <v>245</v>
      </c>
      <c r="AS121" t="str">
        <f t="shared" si="11"/>
        <v>High Claim Ratio</v>
      </c>
      <c r="AT121" t="str">
        <f t="shared" si="12"/>
        <v>High Profit</v>
      </c>
    </row>
    <row r="122" spans="1:46" x14ac:dyDescent="0.2">
      <c r="A122">
        <v>255</v>
      </c>
      <c r="B122">
        <v>41</v>
      </c>
      <c r="C122">
        <v>368050</v>
      </c>
      <c r="D122" s="1">
        <v>41282</v>
      </c>
      <c r="E122" t="s">
        <v>83</v>
      </c>
      <c r="F122" t="s">
        <v>91</v>
      </c>
      <c r="G122">
        <v>2000</v>
      </c>
      <c r="H122">
        <v>1167.3</v>
      </c>
      <c r="I122">
        <v>4000000</v>
      </c>
      <c r="J122">
        <v>618123</v>
      </c>
      <c r="K122" t="s">
        <v>41</v>
      </c>
      <c r="L122" t="s">
        <v>131</v>
      </c>
      <c r="M122" t="s">
        <v>117</v>
      </c>
      <c r="N122" t="s">
        <v>73</v>
      </c>
      <c r="O122" t="s">
        <v>60</v>
      </c>
      <c r="P122">
        <v>0</v>
      </c>
      <c r="Q122">
        <v>0</v>
      </c>
      <c r="R122" s="1">
        <v>42057</v>
      </c>
      <c r="S122" t="s">
        <v>46</v>
      </c>
      <c r="T122" t="s">
        <v>47</v>
      </c>
      <c r="U122" t="s">
        <v>63</v>
      </c>
      <c r="V122" t="s">
        <v>99</v>
      </c>
      <c r="W122" t="s">
        <v>50</v>
      </c>
      <c r="X122" t="s">
        <v>122</v>
      </c>
      <c r="Y122" t="s">
        <v>298</v>
      </c>
      <c r="Z122">
        <v>22</v>
      </c>
      <c r="AA122">
        <v>1</v>
      </c>
      <c r="AB122" t="s">
        <v>79</v>
      </c>
      <c r="AC122">
        <v>2</v>
      </c>
      <c r="AD122">
        <v>0</v>
      </c>
      <c r="AE122" t="s">
        <v>62</v>
      </c>
      <c r="AF122">
        <v>69300</v>
      </c>
      <c r="AG122">
        <v>13860</v>
      </c>
      <c r="AH122">
        <v>13860</v>
      </c>
      <c r="AI122">
        <v>41580</v>
      </c>
      <c r="AJ122" t="s">
        <v>214</v>
      </c>
      <c r="AK122" t="s">
        <v>215</v>
      </c>
      <c r="AL122">
        <v>2000</v>
      </c>
      <c r="AM122" t="s">
        <v>82</v>
      </c>
      <c r="AN122" s="2">
        <f t="shared" si="7"/>
        <v>59.316956261234274</v>
      </c>
      <c r="AO122">
        <f t="shared" si="8"/>
        <v>-68132.7</v>
      </c>
      <c r="AP122" s="2">
        <f t="shared" si="9"/>
        <v>1.6843912786251278E-2</v>
      </c>
      <c r="AQ122" s="2">
        <f t="shared" si="13"/>
        <v>15</v>
      </c>
      <c r="AR122">
        <f t="shared" si="10"/>
        <v>255</v>
      </c>
      <c r="AS122" t="str">
        <f t="shared" si="11"/>
        <v>High Claim Ratio</v>
      </c>
      <c r="AT122" t="str">
        <f t="shared" si="12"/>
        <v>High Profit</v>
      </c>
    </row>
    <row r="123" spans="1:46" x14ac:dyDescent="0.2">
      <c r="A123">
        <v>206</v>
      </c>
      <c r="B123">
        <v>36</v>
      </c>
      <c r="C123">
        <v>253791</v>
      </c>
      <c r="D123" s="1">
        <v>40017</v>
      </c>
      <c r="E123" t="s">
        <v>83</v>
      </c>
      <c r="F123" t="s">
        <v>91</v>
      </c>
      <c r="G123">
        <v>500</v>
      </c>
      <c r="H123">
        <v>1625.45</v>
      </c>
      <c r="I123">
        <v>4000000</v>
      </c>
      <c r="J123">
        <v>607452</v>
      </c>
      <c r="K123" t="s">
        <v>70</v>
      </c>
      <c r="L123" t="s">
        <v>42</v>
      </c>
      <c r="M123" t="s">
        <v>111</v>
      </c>
      <c r="N123" t="s">
        <v>181</v>
      </c>
      <c r="O123" t="s">
        <v>60</v>
      </c>
      <c r="P123">
        <v>0</v>
      </c>
      <c r="Q123">
        <v>-53700</v>
      </c>
      <c r="R123" s="1">
        <v>42027</v>
      </c>
      <c r="S123" t="s">
        <v>46</v>
      </c>
      <c r="T123" t="s">
        <v>86</v>
      </c>
      <c r="U123" t="s">
        <v>48</v>
      </c>
      <c r="V123" t="s">
        <v>136</v>
      </c>
      <c r="W123" t="s">
        <v>77</v>
      </c>
      <c r="X123" t="s">
        <v>156</v>
      </c>
      <c r="Y123" t="s">
        <v>299</v>
      </c>
      <c r="Z123">
        <v>11</v>
      </c>
      <c r="AA123">
        <v>1</v>
      </c>
      <c r="AB123" t="s">
        <v>79</v>
      </c>
      <c r="AC123">
        <v>2</v>
      </c>
      <c r="AD123">
        <v>1</v>
      </c>
      <c r="AE123" t="s">
        <v>79</v>
      </c>
      <c r="AF123">
        <v>76560</v>
      </c>
      <c r="AG123">
        <v>12760</v>
      </c>
      <c r="AH123">
        <v>12760</v>
      </c>
      <c r="AI123">
        <v>51040</v>
      </c>
      <c r="AJ123" t="s">
        <v>129</v>
      </c>
      <c r="AK123" t="s">
        <v>249</v>
      </c>
      <c r="AL123">
        <v>2008</v>
      </c>
      <c r="AM123" t="s">
        <v>56</v>
      </c>
      <c r="AN123" s="2">
        <f t="shared" si="7"/>
        <v>47.071843585723506</v>
      </c>
      <c r="AO123">
        <f t="shared" si="8"/>
        <v>-74934.55</v>
      </c>
      <c r="AP123" s="2">
        <f t="shared" si="9"/>
        <v>2.1230783296978879E-2</v>
      </c>
      <c r="AQ123" s="2">
        <f t="shared" si="13"/>
        <v>7</v>
      </c>
      <c r="AR123">
        <f t="shared" si="10"/>
        <v>206</v>
      </c>
      <c r="AS123" t="str">
        <f t="shared" si="11"/>
        <v>High Claim Ratio</v>
      </c>
      <c r="AT123" t="str">
        <f t="shared" si="12"/>
        <v>High Profit</v>
      </c>
    </row>
    <row r="124" spans="1:46" x14ac:dyDescent="0.2">
      <c r="A124">
        <v>203</v>
      </c>
      <c r="B124">
        <v>38</v>
      </c>
      <c r="C124">
        <v>155724</v>
      </c>
      <c r="D124" s="1">
        <v>35846</v>
      </c>
      <c r="E124" t="s">
        <v>83</v>
      </c>
      <c r="F124" t="s">
        <v>40</v>
      </c>
      <c r="G124">
        <v>500</v>
      </c>
      <c r="H124">
        <v>1394.43</v>
      </c>
      <c r="I124">
        <v>0</v>
      </c>
      <c r="J124">
        <v>606352</v>
      </c>
      <c r="K124" t="s">
        <v>70</v>
      </c>
      <c r="L124" t="s">
        <v>124</v>
      </c>
      <c r="M124" t="s">
        <v>111</v>
      </c>
      <c r="N124" t="s">
        <v>132</v>
      </c>
      <c r="O124" t="s">
        <v>142</v>
      </c>
      <c r="P124">
        <v>0</v>
      </c>
      <c r="Q124">
        <v>0</v>
      </c>
      <c r="R124" s="1">
        <v>42035</v>
      </c>
      <c r="S124" t="s">
        <v>46</v>
      </c>
      <c r="T124" t="s">
        <v>86</v>
      </c>
      <c r="U124" t="s">
        <v>48</v>
      </c>
      <c r="V124" t="s">
        <v>136</v>
      </c>
      <c r="W124" t="s">
        <v>64</v>
      </c>
      <c r="X124" t="s">
        <v>51</v>
      </c>
      <c r="Y124" t="s">
        <v>300</v>
      </c>
      <c r="Z124">
        <v>7</v>
      </c>
      <c r="AA124">
        <v>1</v>
      </c>
      <c r="AB124" t="s">
        <v>62</v>
      </c>
      <c r="AC124">
        <v>0</v>
      </c>
      <c r="AD124">
        <v>1</v>
      </c>
      <c r="AE124" t="s">
        <v>53</v>
      </c>
      <c r="AF124">
        <v>55440</v>
      </c>
      <c r="AG124">
        <v>0</v>
      </c>
      <c r="AH124">
        <v>6160</v>
      </c>
      <c r="AI124">
        <v>49280</v>
      </c>
      <c r="AJ124" t="s">
        <v>104</v>
      </c>
      <c r="AK124" t="s">
        <v>151</v>
      </c>
      <c r="AL124">
        <v>1999</v>
      </c>
      <c r="AM124" t="s">
        <v>56</v>
      </c>
      <c r="AN124" s="2">
        <f t="shared" si="7"/>
        <v>39.729689056419886</v>
      </c>
      <c r="AO124">
        <f t="shared" si="8"/>
        <v>-54045.57</v>
      </c>
      <c r="AP124" s="2">
        <f t="shared" si="9"/>
        <v>2.5151602604570625E-2</v>
      </c>
      <c r="AQ124" s="2">
        <f t="shared" si="13"/>
        <v>16</v>
      </c>
      <c r="AR124">
        <f t="shared" si="10"/>
        <v>203</v>
      </c>
      <c r="AS124" t="str">
        <f t="shared" si="11"/>
        <v>High Claim Ratio</v>
      </c>
      <c r="AT124" t="str">
        <f t="shared" si="12"/>
        <v>High Profit</v>
      </c>
    </row>
    <row r="125" spans="1:46" x14ac:dyDescent="0.2">
      <c r="A125">
        <v>22</v>
      </c>
      <c r="B125">
        <v>25</v>
      </c>
      <c r="C125">
        <v>824540</v>
      </c>
      <c r="D125" s="1">
        <v>39520</v>
      </c>
      <c r="E125" t="s">
        <v>39</v>
      </c>
      <c r="F125" t="s">
        <v>40</v>
      </c>
      <c r="G125">
        <v>2000</v>
      </c>
      <c r="H125">
        <v>1053.24</v>
      </c>
      <c r="I125">
        <v>0</v>
      </c>
      <c r="J125">
        <v>603527</v>
      </c>
      <c r="K125" t="s">
        <v>70</v>
      </c>
      <c r="L125" t="s">
        <v>141</v>
      </c>
      <c r="M125" t="s">
        <v>101</v>
      </c>
      <c r="N125" t="s">
        <v>146</v>
      </c>
      <c r="O125" t="s">
        <v>60</v>
      </c>
      <c r="P125">
        <v>51100</v>
      </c>
      <c r="Q125">
        <v>0</v>
      </c>
      <c r="R125" s="1">
        <v>42009</v>
      </c>
      <c r="S125" t="s">
        <v>75</v>
      </c>
      <c r="T125" t="s">
        <v>86</v>
      </c>
      <c r="U125" t="s">
        <v>107</v>
      </c>
      <c r="V125" t="s">
        <v>120</v>
      </c>
      <c r="W125" t="s">
        <v>121</v>
      </c>
      <c r="X125" t="s">
        <v>87</v>
      </c>
      <c r="Y125" t="s">
        <v>301</v>
      </c>
      <c r="Z125">
        <v>0</v>
      </c>
      <c r="AA125">
        <v>4</v>
      </c>
      <c r="AB125" t="s">
        <v>53</v>
      </c>
      <c r="AC125">
        <v>1</v>
      </c>
      <c r="AD125">
        <v>0</v>
      </c>
      <c r="AE125" t="s">
        <v>79</v>
      </c>
      <c r="AF125">
        <v>77130</v>
      </c>
      <c r="AG125">
        <v>8570</v>
      </c>
      <c r="AH125">
        <v>17140</v>
      </c>
      <c r="AI125">
        <v>51420</v>
      </c>
      <c r="AJ125" t="s">
        <v>95</v>
      </c>
      <c r="AK125" t="s">
        <v>148</v>
      </c>
      <c r="AL125">
        <v>1995</v>
      </c>
      <c r="AM125" t="s">
        <v>82</v>
      </c>
      <c r="AN125" s="2">
        <f t="shared" si="7"/>
        <v>73.161708908787375</v>
      </c>
      <c r="AO125">
        <f t="shared" si="8"/>
        <v>-76076.759999999995</v>
      </c>
      <c r="AP125" s="2">
        <f t="shared" si="9"/>
        <v>1.3655209967457961E-2</v>
      </c>
      <c r="AQ125" s="2">
        <f t="shared" si="13"/>
        <v>20</v>
      </c>
      <c r="AR125">
        <f t="shared" si="10"/>
        <v>22</v>
      </c>
      <c r="AS125" t="str">
        <f t="shared" si="11"/>
        <v>High Claim Ratio</v>
      </c>
      <c r="AT125" t="str">
        <f t="shared" si="12"/>
        <v>High Profit</v>
      </c>
    </row>
    <row r="126" spans="1:46" x14ac:dyDescent="0.2">
      <c r="A126">
        <v>211</v>
      </c>
      <c r="B126">
        <v>35</v>
      </c>
      <c r="C126">
        <v>717392</v>
      </c>
      <c r="D126" s="1">
        <v>35297</v>
      </c>
      <c r="E126" t="s">
        <v>83</v>
      </c>
      <c r="F126" t="s">
        <v>69</v>
      </c>
      <c r="G126">
        <v>500</v>
      </c>
      <c r="H126">
        <v>1040.75</v>
      </c>
      <c r="I126">
        <v>0</v>
      </c>
      <c r="J126">
        <v>445601</v>
      </c>
      <c r="K126" t="s">
        <v>70</v>
      </c>
      <c r="L126" t="s">
        <v>161</v>
      </c>
      <c r="M126" t="s">
        <v>101</v>
      </c>
      <c r="N126" t="s">
        <v>165</v>
      </c>
      <c r="O126" t="s">
        <v>142</v>
      </c>
      <c r="P126">
        <v>0</v>
      </c>
      <c r="Q126">
        <v>0</v>
      </c>
      <c r="R126" s="1">
        <v>42038</v>
      </c>
      <c r="S126" t="s">
        <v>46</v>
      </c>
      <c r="T126" t="s">
        <v>76</v>
      </c>
      <c r="U126" t="s">
        <v>107</v>
      </c>
      <c r="V126" t="s">
        <v>136</v>
      </c>
      <c r="W126" t="s">
        <v>113</v>
      </c>
      <c r="X126" t="s">
        <v>127</v>
      </c>
      <c r="Y126" t="s">
        <v>302</v>
      </c>
      <c r="Z126">
        <v>1</v>
      </c>
      <c r="AA126">
        <v>1</v>
      </c>
      <c r="AB126" t="s">
        <v>53</v>
      </c>
      <c r="AC126">
        <v>1</v>
      </c>
      <c r="AD126">
        <v>1</v>
      </c>
      <c r="AE126" t="s">
        <v>62</v>
      </c>
      <c r="AF126">
        <v>42000</v>
      </c>
      <c r="AG126">
        <v>7000</v>
      </c>
      <c r="AH126">
        <v>7000</v>
      </c>
      <c r="AI126">
        <v>28000</v>
      </c>
      <c r="AJ126" t="s">
        <v>187</v>
      </c>
      <c r="AK126" t="s">
        <v>203</v>
      </c>
      <c r="AL126">
        <v>2011</v>
      </c>
      <c r="AM126" t="s">
        <v>82</v>
      </c>
      <c r="AN126" s="2">
        <f t="shared" si="7"/>
        <v>40.316774658027356</v>
      </c>
      <c r="AO126">
        <f t="shared" si="8"/>
        <v>-40959.25</v>
      </c>
      <c r="AP126" s="2">
        <f t="shared" si="9"/>
        <v>2.477917192447799E-2</v>
      </c>
      <c r="AQ126" s="2">
        <f t="shared" si="13"/>
        <v>4</v>
      </c>
      <c r="AR126">
        <f t="shared" si="10"/>
        <v>211</v>
      </c>
      <c r="AS126" t="str">
        <f t="shared" si="11"/>
        <v>High Claim Ratio</v>
      </c>
      <c r="AT126" t="str">
        <f t="shared" si="12"/>
        <v>High Profit</v>
      </c>
    </row>
    <row r="127" spans="1:46" x14ac:dyDescent="0.2">
      <c r="A127">
        <v>206</v>
      </c>
      <c r="B127">
        <v>39</v>
      </c>
      <c r="C127">
        <v>965768</v>
      </c>
      <c r="D127" s="1">
        <v>41847</v>
      </c>
      <c r="E127" t="s">
        <v>57</v>
      </c>
      <c r="F127" t="s">
        <v>40</v>
      </c>
      <c r="G127">
        <v>1000</v>
      </c>
      <c r="H127">
        <v>1302.4000000000001</v>
      </c>
      <c r="I127">
        <v>6000000</v>
      </c>
      <c r="J127">
        <v>603948</v>
      </c>
      <c r="K127" t="s">
        <v>41</v>
      </c>
      <c r="L127" t="s">
        <v>161</v>
      </c>
      <c r="M127" t="s">
        <v>43</v>
      </c>
      <c r="N127" t="s">
        <v>126</v>
      </c>
      <c r="O127" t="s">
        <v>85</v>
      </c>
      <c r="P127">
        <v>47200</v>
      </c>
      <c r="Q127">
        <v>-69700</v>
      </c>
      <c r="R127" s="1">
        <v>42052</v>
      </c>
      <c r="S127" t="s">
        <v>75</v>
      </c>
      <c r="T127" t="s">
        <v>76</v>
      </c>
      <c r="U127" t="s">
        <v>107</v>
      </c>
      <c r="V127" t="s">
        <v>136</v>
      </c>
      <c r="W127" t="s">
        <v>77</v>
      </c>
      <c r="X127" t="s">
        <v>122</v>
      </c>
      <c r="Y127" t="s">
        <v>303</v>
      </c>
      <c r="Z127">
        <v>12</v>
      </c>
      <c r="AA127">
        <v>3</v>
      </c>
      <c r="AB127" t="s">
        <v>79</v>
      </c>
      <c r="AC127">
        <v>2</v>
      </c>
      <c r="AD127">
        <v>3</v>
      </c>
      <c r="AE127" t="s">
        <v>53</v>
      </c>
      <c r="AF127">
        <v>36300</v>
      </c>
      <c r="AG127">
        <v>3300</v>
      </c>
      <c r="AH127">
        <v>9900</v>
      </c>
      <c r="AI127">
        <v>23100</v>
      </c>
      <c r="AJ127" t="s">
        <v>129</v>
      </c>
      <c r="AK127" t="s">
        <v>172</v>
      </c>
      <c r="AL127">
        <v>2013</v>
      </c>
      <c r="AM127" t="s">
        <v>82</v>
      </c>
      <c r="AN127" s="2">
        <f t="shared" si="7"/>
        <v>27.8502378394967</v>
      </c>
      <c r="AO127">
        <f t="shared" si="8"/>
        <v>-34997.599999999999</v>
      </c>
      <c r="AP127" s="2">
        <f t="shared" si="9"/>
        <v>3.5877799509655382E-2</v>
      </c>
      <c r="AQ127" s="2">
        <f t="shared" si="13"/>
        <v>2</v>
      </c>
      <c r="AR127">
        <f t="shared" si="10"/>
        <v>206</v>
      </c>
      <c r="AS127" t="str">
        <f t="shared" si="11"/>
        <v>High Claim Ratio</v>
      </c>
      <c r="AT127" t="str">
        <f t="shared" si="12"/>
        <v>High Profit</v>
      </c>
    </row>
    <row r="128" spans="1:46" x14ac:dyDescent="0.2">
      <c r="A128">
        <v>166</v>
      </c>
      <c r="B128">
        <v>38</v>
      </c>
      <c r="C128">
        <v>414779</v>
      </c>
      <c r="D128" s="1">
        <v>33917</v>
      </c>
      <c r="E128" t="s">
        <v>83</v>
      </c>
      <c r="F128" t="s">
        <v>69</v>
      </c>
      <c r="G128">
        <v>2000</v>
      </c>
      <c r="H128">
        <v>1588.55</v>
      </c>
      <c r="I128">
        <v>0</v>
      </c>
      <c r="J128">
        <v>435758</v>
      </c>
      <c r="K128" t="s">
        <v>41</v>
      </c>
      <c r="L128" t="s">
        <v>42</v>
      </c>
      <c r="M128" t="s">
        <v>135</v>
      </c>
      <c r="N128" t="s">
        <v>181</v>
      </c>
      <c r="O128" t="s">
        <v>85</v>
      </c>
      <c r="P128">
        <v>59600</v>
      </c>
      <c r="Q128">
        <v>-32100</v>
      </c>
      <c r="R128" s="1">
        <v>42013</v>
      </c>
      <c r="S128" t="s">
        <v>46</v>
      </c>
      <c r="T128" t="s">
        <v>47</v>
      </c>
      <c r="U128" t="s">
        <v>107</v>
      </c>
      <c r="V128" t="s">
        <v>120</v>
      </c>
      <c r="W128" t="s">
        <v>113</v>
      </c>
      <c r="X128" t="s">
        <v>51</v>
      </c>
      <c r="Y128" t="s">
        <v>304</v>
      </c>
      <c r="Z128">
        <v>8</v>
      </c>
      <c r="AA128">
        <v>1</v>
      </c>
      <c r="AB128" t="s">
        <v>79</v>
      </c>
      <c r="AC128">
        <v>0</v>
      </c>
      <c r="AD128">
        <v>0</v>
      </c>
      <c r="AE128" t="s">
        <v>62</v>
      </c>
      <c r="AF128">
        <v>40320</v>
      </c>
      <c r="AG128">
        <v>5760</v>
      </c>
      <c r="AH128">
        <v>5760</v>
      </c>
      <c r="AI128">
        <v>28800</v>
      </c>
      <c r="AJ128" t="s">
        <v>153</v>
      </c>
      <c r="AK128" t="s">
        <v>163</v>
      </c>
      <c r="AL128">
        <v>2001</v>
      </c>
      <c r="AM128" t="s">
        <v>82</v>
      </c>
      <c r="AN128" s="2">
        <f t="shared" si="7"/>
        <v>25.365669529112015</v>
      </c>
      <c r="AO128">
        <f t="shared" si="8"/>
        <v>-38731.449999999997</v>
      </c>
      <c r="AP128" s="2">
        <f t="shared" si="9"/>
        <v>3.9397584385307903E-2</v>
      </c>
      <c r="AQ128" s="2">
        <f t="shared" si="13"/>
        <v>14</v>
      </c>
      <c r="AR128">
        <f t="shared" si="10"/>
        <v>166</v>
      </c>
      <c r="AS128" t="str">
        <f t="shared" si="11"/>
        <v>High Claim Ratio</v>
      </c>
      <c r="AT128" t="str">
        <f t="shared" si="12"/>
        <v>High Profit</v>
      </c>
    </row>
    <row r="129" spans="1:46" x14ac:dyDescent="0.2">
      <c r="A129">
        <v>165</v>
      </c>
      <c r="B129">
        <v>32</v>
      </c>
      <c r="C129">
        <v>428230</v>
      </c>
      <c r="D129" s="1">
        <v>41064</v>
      </c>
      <c r="E129" t="s">
        <v>57</v>
      </c>
      <c r="F129" t="s">
        <v>91</v>
      </c>
      <c r="G129">
        <v>500</v>
      </c>
      <c r="H129">
        <v>1399.26</v>
      </c>
      <c r="I129">
        <v>0</v>
      </c>
      <c r="J129">
        <v>611586</v>
      </c>
      <c r="K129" t="s">
        <v>70</v>
      </c>
      <c r="L129" t="s">
        <v>131</v>
      </c>
      <c r="M129" t="s">
        <v>97</v>
      </c>
      <c r="N129" t="s">
        <v>264</v>
      </c>
      <c r="O129" t="s">
        <v>74</v>
      </c>
      <c r="P129">
        <v>70500</v>
      </c>
      <c r="Q129">
        <v>0</v>
      </c>
      <c r="R129" s="1">
        <v>42043</v>
      </c>
      <c r="S129" t="s">
        <v>138</v>
      </c>
      <c r="T129" t="s">
        <v>62</v>
      </c>
      <c r="U129" t="s">
        <v>63</v>
      </c>
      <c r="V129" t="s">
        <v>49</v>
      </c>
      <c r="W129" t="s">
        <v>175</v>
      </c>
      <c r="X129" t="s">
        <v>156</v>
      </c>
      <c r="Y129" t="s">
        <v>305</v>
      </c>
      <c r="Z129">
        <v>9</v>
      </c>
      <c r="AA129">
        <v>1</v>
      </c>
      <c r="AB129" t="s">
        <v>62</v>
      </c>
      <c r="AC129">
        <v>2</v>
      </c>
      <c r="AD129">
        <v>0</v>
      </c>
      <c r="AE129" t="s">
        <v>62</v>
      </c>
      <c r="AF129">
        <v>3960</v>
      </c>
      <c r="AG129">
        <v>330</v>
      </c>
      <c r="AH129">
        <v>660</v>
      </c>
      <c r="AI129">
        <v>2970</v>
      </c>
      <c r="AJ129" t="s">
        <v>187</v>
      </c>
      <c r="AK129" t="s">
        <v>201</v>
      </c>
      <c r="AL129">
        <v>1998</v>
      </c>
      <c r="AM129" t="s">
        <v>82</v>
      </c>
      <c r="AN129" s="2">
        <f t="shared" si="7"/>
        <v>2.8280462199877165</v>
      </c>
      <c r="AO129">
        <f t="shared" si="8"/>
        <v>-2560.7399999999998</v>
      </c>
      <c r="AP129" s="2">
        <f t="shared" si="9"/>
        <v>0.35325927796011108</v>
      </c>
      <c r="AQ129" s="2">
        <f t="shared" si="13"/>
        <v>17</v>
      </c>
      <c r="AR129">
        <f t="shared" si="10"/>
        <v>165</v>
      </c>
      <c r="AS129" t="str">
        <f t="shared" si="11"/>
        <v>Low Claim Ratio</v>
      </c>
      <c r="AT129" t="str">
        <f t="shared" si="12"/>
        <v>Low Profit</v>
      </c>
    </row>
    <row r="130" spans="1:46" x14ac:dyDescent="0.2">
      <c r="A130">
        <v>274</v>
      </c>
      <c r="B130">
        <v>43</v>
      </c>
      <c r="C130">
        <v>517240</v>
      </c>
      <c r="D130" s="1">
        <v>37024</v>
      </c>
      <c r="E130" t="s">
        <v>39</v>
      </c>
      <c r="F130" t="s">
        <v>69</v>
      </c>
      <c r="G130">
        <v>2000</v>
      </c>
      <c r="H130">
        <v>1352.31</v>
      </c>
      <c r="I130">
        <v>0</v>
      </c>
      <c r="J130">
        <v>465263</v>
      </c>
      <c r="K130" t="s">
        <v>41</v>
      </c>
      <c r="L130" t="s">
        <v>141</v>
      </c>
      <c r="M130" t="s">
        <v>189</v>
      </c>
      <c r="N130" t="s">
        <v>179</v>
      </c>
      <c r="O130" t="s">
        <v>119</v>
      </c>
      <c r="P130">
        <v>40700</v>
      </c>
      <c r="Q130">
        <v>-47300</v>
      </c>
      <c r="R130" s="1">
        <v>42041</v>
      </c>
      <c r="S130" t="s">
        <v>46</v>
      </c>
      <c r="T130" t="s">
        <v>86</v>
      </c>
      <c r="U130" t="s">
        <v>48</v>
      </c>
      <c r="V130" t="s">
        <v>99</v>
      </c>
      <c r="W130" t="s">
        <v>77</v>
      </c>
      <c r="X130" t="s">
        <v>127</v>
      </c>
      <c r="Y130" t="s">
        <v>306</v>
      </c>
      <c r="Z130">
        <v>22</v>
      </c>
      <c r="AA130">
        <v>1</v>
      </c>
      <c r="AB130" t="s">
        <v>53</v>
      </c>
      <c r="AC130">
        <v>0</v>
      </c>
      <c r="AD130">
        <v>3</v>
      </c>
      <c r="AE130" t="s">
        <v>53</v>
      </c>
      <c r="AF130">
        <v>63840</v>
      </c>
      <c r="AG130">
        <v>10640</v>
      </c>
      <c r="AH130">
        <v>10640</v>
      </c>
      <c r="AI130">
        <v>42560</v>
      </c>
      <c r="AJ130" t="s">
        <v>187</v>
      </c>
      <c r="AK130" t="s">
        <v>203</v>
      </c>
      <c r="AL130">
        <v>2006</v>
      </c>
      <c r="AM130" t="s">
        <v>56</v>
      </c>
      <c r="AN130" s="2">
        <f t="shared" si="7"/>
        <v>47.173227124605596</v>
      </c>
      <c r="AO130">
        <f t="shared" si="8"/>
        <v>-62487.69</v>
      </c>
      <c r="AP130" s="2">
        <f t="shared" si="9"/>
        <v>2.1182468946288436E-2</v>
      </c>
      <c r="AQ130" s="2">
        <f t="shared" si="13"/>
        <v>9</v>
      </c>
      <c r="AR130">
        <f t="shared" si="10"/>
        <v>274</v>
      </c>
      <c r="AS130" t="str">
        <f t="shared" si="11"/>
        <v>High Claim Ratio</v>
      </c>
      <c r="AT130" t="str">
        <f t="shared" si="12"/>
        <v>High Profit</v>
      </c>
    </row>
    <row r="131" spans="1:46" x14ac:dyDescent="0.2">
      <c r="A131">
        <v>81</v>
      </c>
      <c r="B131">
        <v>28</v>
      </c>
      <c r="C131">
        <v>469874</v>
      </c>
      <c r="D131" s="1">
        <v>40803</v>
      </c>
      <c r="E131" t="s">
        <v>83</v>
      </c>
      <c r="F131" t="s">
        <v>40</v>
      </c>
      <c r="G131">
        <v>1000</v>
      </c>
      <c r="H131">
        <v>1139</v>
      </c>
      <c r="I131">
        <v>6000000</v>
      </c>
      <c r="J131">
        <v>617858</v>
      </c>
      <c r="K131" t="s">
        <v>70</v>
      </c>
      <c r="L131" t="s">
        <v>124</v>
      </c>
      <c r="M131" t="s">
        <v>72</v>
      </c>
      <c r="N131" t="s">
        <v>44</v>
      </c>
      <c r="O131" t="s">
        <v>45</v>
      </c>
      <c r="P131">
        <v>42400</v>
      </c>
      <c r="Q131">
        <v>0</v>
      </c>
      <c r="R131" s="1">
        <v>42018</v>
      </c>
      <c r="S131" t="s">
        <v>75</v>
      </c>
      <c r="T131" t="s">
        <v>86</v>
      </c>
      <c r="U131" t="s">
        <v>48</v>
      </c>
      <c r="V131" t="s">
        <v>99</v>
      </c>
      <c r="W131" t="s">
        <v>50</v>
      </c>
      <c r="X131" t="s">
        <v>127</v>
      </c>
      <c r="Y131" t="s">
        <v>307</v>
      </c>
      <c r="Z131">
        <v>0</v>
      </c>
      <c r="AA131">
        <v>3</v>
      </c>
      <c r="AB131" t="s">
        <v>62</v>
      </c>
      <c r="AC131">
        <v>1</v>
      </c>
      <c r="AD131">
        <v>2</v>
      </c>
      <c r="AE131" t="s">
        <v>62</v>
      </c>
      <c r="AF131">
        <v>44730</v>
      </c>
      <c r="AG131">
        <v>4970</v>
      </c>
      <c r="AH131">
        <v>4970</v>
      </c>
      <c r="AI131">
        <v>34790</v>
      </c>
      <c r="AJ131" t="s">
        <v>54</v>
      </c>
      <c r="AK131" t="s">
        <v>55</v>
      </c>
      <c r="AL131">
        <v>2000</v>
      </c>
      <c r="AM131" t="s">
        <v>56</v>
      </c>
      <c r="AN131" s="2">
        <f t="shared" ref="AN131:AN194" si="14">AF131/(H131+1)</f>
        <v>39.236842105263158</v>
      </c>
      <c r="AO131">
        <f t="shared" ref="AO131:AO194" si="15">H131-AF131</f>
        <v>-43591</v>
      </c>
      <c r="AP131" s="2">
        <f t="shared" ref="AP131:AP194" si="16">H131/(AF131+1)</f>
        <v>2.5463325210703987E-2</v>
      </c>
      <c r="AQ131" s="2">
        <f t="shared" si="13"/>
        <v>15</v>
      </c>
      <c r="AR131">
        <f t="shared" ref="AR131:AR194" si="17">A131</f>
        <v>81</v>
      </c>
      <c r="AS131" t="str">
        <f t="shared" ref="AS131:AS194" si="18">IF(AN131&lt;5,"Low Claim Ratio",
 IF(AN131&lt;20,"Medium Claim Ratio",
 "High Claim Ratio"))</f>
        <v>High Claim Ratio</v>
      </c>
      <c r="AT131" t="str">
        <f t="shared" ref="AT131:AT194" si="19">IF(-AO131&lt;0,"Loss Making",
 IF(-AO131&lt;5000,"Low Profit",
 "High Profit"))</f>
        <v>High Profit</v>
      </c>
    </row>
    <row r="132" spans="1:46" x14ac:dyDescent="0.2">
      <c r="A132">
        <v>280</v>
      </c>
      <c r="B132">
        <v>45</v>
      </c>
      <c r="C132">
        <v>718428</v>
      </c>
      <c r="D132" s="1">
        <v>40739</v>
      </c>
      <c r="E132" t="s">
        <v>57</v>
      </c>
      <c r="F132" t="s">
        <v>40</v>
      </c>
      <c r="G132">
        <v>1000</v>
      </c>
      <c r="H132">
        <v>1397.67</v>
      </c>
      <c r="I132">
        <v>0</v>
      </c>
      <c r="J132">
        <v>607889</v>
      </c>
      <c r="K132" t="s">
        <v>41</v>
      </c>
      <c r="L132" t="s">
        <v>161</v>
      </c>
      <c r="M132" t="s">
        <v>58</v>
      </c>
      <c r="N132" t="s">
        <v>118</v>
      </c>
      <c r="O132" t="s">
        <v>119</v>
      </c>
      <c r="P132">
        <v>57900</v>
      </c>
      <c r="Q132">
        <v>0</v>
      </c>
      <c r="R132" s="1">
        <v>42026</v>
      </c>
      <c r="S132" t="s">
        <v>75</v>
      </c>
      <c r="T132" t="s">
        <v>86</v>
      </c>
      <c r="U132" t="s">
        <v>63</v>
      </c>
      <c r="V132" t="s">
        <v>120</v>
      </c>
      <c r="W132" t="s">
        <v>77</v>
      </c>
      <c r="X132" t="s">
        <v>87</v>
      </c>
      <c r="Y132" t="s">
        <v>308</v>
      </c>
      <c r="Z132">
        <v>0</v>
      </c>
      <c r="AA132">
        <v>3</v>
      </c>
      <c r="AB132" t="s">
        <v>53</v>
      </c>
      <c r="AC132">
        <v>1</v>
      </c>
      <c r="AD132">
        <v>2</v>
      </c>
      <c r="AE132" t="s">
        <v>79</v>
      </c>
      <c r="AF132">
        <v>84720</v>
      </c>
      <c r="AG132">
        <v>14120</v>
      </c>
      <c r="AH132">
        <v>14120</v>
      </c>
      <c r="AI132">
        <v>56480</v>
      </c>
      <c r="AJ132" t="s">
        <v>129</v>
      </c>
      <c r="AK132" t="s">
        <v>172</v>
      </c>
      <c r="AL132">
        <v>1999</v>
      </c>
      <c r="AM132" t="s">
        <v>82</v>
      </c>
      <c r="AN132" s="2">
        <f t="shared" si="14"/>
        <v>60.571828951789911</v>
      </c>
      <c r="AO132">
        <f t="shared" si="15"/>
        <v>-83322.33</v>
      </c>
      <c r="AP132" s="2">
        <f t="shared" si="16"/>
        <v>1.6497326518808798E-2</v>
      </c>
      <c r="AQ132" s="2">
        <f t="shared" ref="AQ132:AQ195" si="20">YEAR(R132)-(AL132)</f>
        <v>16</v>
      </c>
      <c r="AR132">
        <f t="shared" si="17"/>
        <v>280</v>
      </c>
      <c r="AS132" t="str">
        <f t="shared" si="18"/>
        <v>High Claim Ratio</v>
      </c>
      <c r="AT132" t="str">
        <f t="shared" si="19"/>
        <v>High Profit</v>
      </c>
    </row>
    <row r="133" spans="1:46" x14ac:dyDescent="0.2">
      <c r="A133">
        <v>194</v>
      </c>
      <c r="B133">
        <v>39</v>
      </c>
      <c r="C133">
        <v>620215</v>
      </c>
      <c r="D133" s="1">
        <v>38560</v>
      </c>
      <c r="E133" t="s">
        <v>57</v>
      </c>
      <c r="F133" t="s">
        <v>40</v>
      </c>
      <c r="G133">
        <v>500</v>
      </c>
      <c r="H133">
        <v>823.17</v>
      </c>
      <c r="I133">
        <v>0</v>
      </c>
      <c r="J133">
        <v>455689</v>
      </c>
      <c r="K133" t="s">
        <v>41</v>
      </c>
      <c r="L133" t="s">
        <v>124</v>
      </c>
      <c r="M133" t="s">
        <v>185</v>
      </c>
      <c r="N133" t="s">
        <v>165</v>
      </c>
      <c r="O133" t="s">
        <v>74</v>
      </c>
      <c r="P133">
        <v>0</v>
      </c>
      <c r="Q133">
        <v>0</v>
      </c>
      <c r="R133" s="1">
        <v>42058</v>
      </c>
      <c r="S133" t="s">
        <v>75</v>
      </c>
      <c r="T133" t="s">
        <v>86</v>
      </c>
      <c r="U133" t="s">
        <v>48</v>
      </c>
      <c r="V133" t="s">
        <v>120</v>
      </c>
      <c r="W133" t="s">
        <v>113</v>
      </c>
      <c r="X133" t="s">
        <v>51</v>
      </c>
      <c r="Y133" t="s">
        <v>309</v>
      </c>
      <c r="Z133">
        <v>3</v>
      </c>
      <c r="AA133">
        <v>3</v>
      </c>
      <c r="AB133" t="s">
        <v>62</v>
      </c>
      <c r="AC133">
        <v>2</v>
      </c>
      <c r="AD133">
        <v>2</v>
      </c>
      <c r="AE133" t="s">
        <v>79</v>
      </c>
      <c r="AF133">
        <v>61500</v>
      </c>
      <c r="AG133">
        <v>6150</v>
      </c>
      <c r="AH133">
        <v>12300</v>
      </c>
      <c r="AI133">
        <v>43050</v>
      </c>
      <c r="AJ133" t="s">
        <v>80</v>
      </c>
      <c r="AK133" t="s">
        <v>81</v>
      </c>
      <c r="AL133">
        <v>2012</v>
      </c>
      <c r="AM133" t="s">
        <v>82</v>
      </c>
      <c r="AN133" s="2">
        <f t="shared" si="14"/>
        <v>74.620527318393059</v>
      </c>
      <c r="AO133">
        <f t="shared" si="15"/>
        <v>-60676.83</v>
      </c>
      <c r="AP133" s="2">
        <f t="shared" si="16"/>
        <v>1.3384660412025819E-2</v>
      </c>
      <c r="AQ133" s="2">
        <f t="shared" si="20"/>
        <v>3</v>
      </c>
      <c r="AR133">
        <f t="shared" si="17"/>
        <v>194</v>
      </c>
      <c r="AS133" t="str">
        <f t="shared" si="18"/>
        <v>High Claim Ratio</v>
      </c>
      <c r="AT133" t="str">
        <f t="shared" si="19"/>
        <v>High Profit</v>
      </c>
    </row>
    <row r="134" spans="1:46" x14ac:dyDescent="0.2">
      <c r="A134">
        <v>112</v>
      </c>
      <c r="B134">
        <v>27</v>
      </c>
      <c r="C134">
        <v>618659</v>
      </c>
      <c r="D134" s="1">
        <v>38643</v>
      </c>
      <c r="E134" t="s">
        <v>39</v>
      </c>
      <c r="F134" t="s">
        <v>69</v>
      </c>
      <c r="G134">
        <v>500</v>
      </c>
      <c r="H134">
        <v>965.13</v>
      </c>
      <c r="I134">
        <v>0</v>
      </c>
      <c r="J134">
        <v>450341</v>
      </c>
      <c r="K134" t="s">
        <v>70</v>
      </c>
      <c r="L134" t="s">
        <v>124</v>
      </c>
      <c r="M134" t="s">
        <v>97</v>
      </c>
      <c r="N134" t="s">
        <v>264</v>
      </c>
      <c r="O134" t="s">
        <v>85</v>
      </c>
      <c r="P134">
        <v>60000</v>
      </c>
      <c r="Q134">
        <v>-54800</v>
      </c>
      <c r="R134" s="1">
        <v>42057</v>
      </c>
      <c r="S134" t="s">
        <v>75</v>
      </c>
      <c r="T134" t="s">
        <v>86</v>
      </c>
      <c r="U134" t="s">
        <v>48</v>
      </c>
      <c r="V134" t="s">
        <v>136</v>
      </c>
      <c r="W134" t="s">
        <v>121</v>
      </c>
      <c r="X134" t="s">
        <v>87</v>
      </c>
      <c r="Y134" t="s">
        <v>310</v>
      </c>
      <c r="Z134">
        <v>21</v>
      </c>
      <c r="AA134">
        <v>3</v>
      </c>
      <c r="AB134" t="s">
        <v>62</v>
      </c>
      <c r="AC134">
        <v>0</v>
      </c>
      <c r="AD134">
        <v>1</v>
      </c>
      <c r="AE134" t="s">
        <v>62</v>
      </c>
      <c r="AF134">
        <v>51000</v>
      </c>
      <c r="AG134">
        <v>8500</v>
      </c>
      <c r="AH134">
        <v>8500</v>
      </c>
      <c r="AI134">
        <v>34000</v>
      </c>
      <c r="AJ134" t="s">
        <v>104</v>
      </c>
      <c r="AK134" t="s">
        <v>105</v>
      </c>
      <c r="AL134">
        <v>2013</v>
      </c>
      <c r="AM134" t="s">
        <v>82</v>
      </c>
      <c r="AN134" s="2">
        <f t="shared" si="14"/>
        <v>52.787927090557169</v>
      </c>
      <c r="AO134">
        <f t="shared" si="15"/>
        <v>-50034.87</v>
      </c>
      <c r="AP134" s="2">
        <f t="shared" si="16"/>
        <v>1.8923746593204054E-2</v>
      </c>
      <c r="AQ134" s="2">
        <f t="shared" si="20"/>
        <v>2</v>
      </c>
      <c r="AR134">
        <f t="shared" si="17"/>
        <v>112</v>
      </c>
      <c r="AS134" t="str">
        <f t="shared" si="18"/>
        <v>High Claim Ratio</v>
      </c>
      <c r="AT134" t="str">
        <f t="shared" si="19"/>
        <v>High Profit</v>
      </c>
    </row>
    <row r="135" spans="1:46" x14ac:dyDescent="0.2">
      <c r="A135">
        <v>24</v>
      </c>
      <c r="B135">
        <v>33</v>
      </c>
      <c r="C135">
        <v>649082</v>
      </c>
      <c r="D135" s="1">
        <v>35083</v>
      </c>
      <c r="E135" t="s">
        <v>83</v>
      </c>
      <c r="F135" t="s">
        <v>91</v>
      </c>
      <c r="G135">
        <v>1000</v>
      </c>
      <c r="H135">
        <v>1922.84</v>
      </c>
      <c r="I135">
        <v>0</v>
      </c>
      <c r="J135">
        <v>431277</v>
      </c>
      <c r="K135" t="s">
        <v>70</v>
      </c>
      <c r="L135" t="s">
        <v>131</v>
      </c>
      <c r="M135" t="s">
        <v>58</v>
      </c>
      <c r="N135" t="s">
        <v>132</v>
      </c>
      <c r="O135" t="s">
        <v>119</v>
      </c>
      <c r="P135">
        <v>0</v>
      </c>
      <c r="Q135">
        <v>-45200</v>
      </c>
      <c r="R135" s="1">
        <v>42028</v>
      </c>
      <c r="S135" t="s">
        <v>46</v>
      </c>
      <c r="T135" t="s">
        <v>47</v>
      </c>
      <c r="U135" t="s">
        <v>107</v>
      </c>
      <c r="V135" t="s">
        <v>49</v>
      </c>
      <c r="W135" t="s">
        <v>113</v>
      </c>
      <c r="X135" t="s">
        <v>127</v>
      </c>
      <c r="Y135" t="s">
        <v>311</v>
      </c>
      <c r="Z135">
        <v>0</v>
      </c>
      <c r="AA135">
        <v>1</v>
      </c>
      <c r="AB135" t="s">
        <v>62</v>
      </c>
      <c r="AC135">
        <v>2</v>
      </c>
      <c r="AD135">
        <v>1</v>
      </c>
      <c r="AE135" t="s">
        <v>79</v>
      </c>
      <c r="AF135">
        <v>46800</v>
      </c>
      <c r="AG135">
        <v>4680</v>
      </c>
      <c r="AH135">
        <v>9360</v>
      </c>
      <c r="AI135">
        <v>32760</v>
      </c>
      <c r="AJ135" t="s">
        <v>197</v>
      </c>
      <c r="AK135" t="s">
        <v>198</v>
      </c>
      <c r="AL135">
        <v>2002</v>
      </c>
      <c r="AM135" t="s">
        <v>82</v>
      </c>
      <c r="AN135" s="2">
        <f t="shared" si="14"/>
        <v>24.326347305389223</v>
      </c>
      <c r="AO135">
        <f t="shared" si="15"/>
        <v>-44877.16</v>
      </c>
      <c r="AP135" s="2">
        <f t="shared" si="16"/>
        <v>4.108544689216042E-2</v>
      </c>
      <c r="AQ135" s="2">
        <f t="shared" si="20"/>
        <v>13</v>
      </c>
      <c r="AR135">
        <f t="shared" si="17"/>
        <v>24</v>
      </c>
      <c r="AS135" t="str">
        <f t="shared" si="18"/>
        <v>High Claim Ratio</v>
      </c>
      <c r="AT135" t="str">
        <f t="shared" si="19"/>
        <v>High Profit</v>
      </c>
    </row>
    <row r="136" spans="1:46" x14ac:dyDescent="0.2">
      <c r="A136">
        <v>93</v>
      </c>
      <c r="B136">
        <v>32</v>
      </c>
      <c r="C136">
        <v>437573</v>
      </c>
      <c r="D136" s="1">
        <v>38624</v>
      </c>
      <c r="E136" t="s">
        <v>39</v>
      </c>
      <c r="F136" t="s">
        <v>40</v>
      </c>
      <c r="G136">
        <v>2000</v>
      </c>
      <c r="H136">
        <v>1624.82</v>
      </c>
      <c r="I136">
        <v>0</v>
      </c>
      <c r="J136">
        <v>454656</v>
      </c>
      <c r="K136" t="s">
        <v>41</v>
      </c>
      <c r="L136" t="s">
        <v>71</v>
      </c>
      <c r="M136" t="s">
        <v>125</v>
      </c>
      <c r="N136" t="s">
        <v>179</v>
      </c>
      <c r="O136" t="s">
        <v>85</v>
      </c>
      <c r="P136">
        <v>65300</v>
      </c>
      <c r="Q136">
        <v>-65600</v>
      </c>
      <c r="R136" s="1">
        <v>42044</v>
      </c>
      <c r="S136" t="s">
        <v>46</v>
      </c>
      <c r="T136" t="s">
        <v>47</v>
      </c>
      <c r="U136" t="s">
        <v>63</v>
      </c>
      <c r="V136" t="s">
        <v>136</v>
      </c>
      <c r="W136" t="s">
        <v>113</v>
      </c>
      <c r="X136" t="s">
        <v>127</v>
      </c>
      <c r="Y136" t="s">
        <v>312</v>
      </c>
      <c r="Z136">
        <v>16</v>
      </c>
      <c r="AA136">
        <v>1</v>
      </c>
      <c r="AB136" t="s">
        <v>62</v>
      </c>
      <c r="AC136">
        <v>1</v>
      </c>
      <c r="AD136">
        <v>1</v>
      </c>
      <c r="AE136" t="s">
        <v>62</v>
      </c>
      <c r="AF136">
        <v>78120</v>
      </c>
      <c r="AG136">
        <v>17360</v>
      </c>
      <c r="AH136">
        <v>8680</v>
      </c>
      <c r="AI136">
        <v>52080</v>
      </c>
      <c r="AJ136" t="s">
        <v>187</v>
      </c>
      <c r="AK136" t="s">
        <v>188</v>
      </c>
      <c r="AL136">
        <v>2006</v>
      </c>
      <c r="AM136" t="s">
        <v>82</v>
      </c>
      <c r="AN136" s="2">
        <f t="shared" si="14"/>
        <v>48.049599586670112</v>
      </c>
      <c r="AO136">
        <f t="shared" si="15"/>
        <v>-76495.179999999993</v>
      </c>
      <c r="AP136" s="2">
        <f t="shared" si="16"/>
        <v>2.0798760896557904E-2</v>
      </c>
      <c r="AQ136" s="2">
        <f t="shared" si="20"/>
        <v>9</v>
      </c>
      <c r="AR136">
        <f t="shared" si="17"/>
        <v>93</v>
      </c>
      <c r="AS136" t="str">
        <f t="shared" si="18"/>
        <v>High Claim Ratio</v>
      </c>
      <c r="AT136" t="str">
        <f t="shared" si="19"/>
        <v>High Profit</v>
      </c>
    </row>
    <row r="137" spans="1:46" x14ac:dyDescent="0.2">
      <c r="A137">
        <v>171</v>
      </c>
      <c r="B137">
        <v>34</v>
      </c>
      <c r="C137">
        <v>964657</v>
      </c>
      <c r="D137" s="1">
        <v>35479</v>
      </c>
      <c r="E137" t="s">
        <v>57</v>
      </c>
      <c r="F137" t="s">
        <v>40</v>
      </c>
      <c r="G137">
        <v>2000</v>
      </c>
      <c r="H137">
        <v>1277.25</v>
      </c>
      <c r="I137">
        <v>0</v>
      </c>
      <c r="J137">
        <v>605169</v>
      </c>
      <c r="K137" t="s">
        <v>70</v>
      </c>
      <c r="L137" t="s">
        <v>141</v>
      </c>
      <c r="M137" t="s">
        <v>125</v>
      </c>
      <c r="N137" t="s">
        <v>155</v>
      </c>
      <c r="O137" t="s">
        <v>60</v>
      </c>
      <c r="P137">
        <v>84900</v>
      </c>
      <c r="Q137">
        <v>0</v>
      </c>
      <c r="R137" s="1">
        <v>42023</v>
      </c>
      <c r="S137" t="s">
        <v>46</v>
      </c>
      <c r="T137" t="s">
        <v>76</v>
      </c>
      <c r="U137" t="s">
        <v>48</v>
      </c>
      <c r="V137" t="s">
        <v>49</v>
      </c>
      <c r="W137" t="s">
        <v>77</v>
      </c>
      <c r="X137" t="s">
        <v>102</v>
      </c>
      <c r="Y137" t="s">
        <v>313</v>
      </c>
      <c r="Z137">
        <v>14</v>
      </c>
      <c r="AA137">
        <v>1</v>
      </c>
      <c r="AB137" t="s">
        <v>79</v>
      </c>
      <c r="AC137">
        <v>1</v>
      </c>
      <c r="AD137">
        <v>2</v>
      </c>
      <c r="AE137" t="s">
        <v>62</v>
      </c>
      <c r="AF137">
        <v>69200</v>
      </c>
      <c r="AG137">
        <v>13840</v>
      </c>
      <c r="AH137">
        <v>6920</v>
      </c>
      <c r="AI137">
        <v>48440</v>
      </c>
      <c r="AJ137" t="s">
        <v>214</v>
      </c>
      <c r="AK137" t="s">
        <v>215</v>
      </c>
      <c r="AL137">
        <v>1996</v>
      </c>
      <c r="AM137" t="s">
        <v>56</v>
      </c>
      <c r="AN137" s="2">
        <f t="shared" si="14"/>
        <v>54.136514766282026</v>
      </c>
      <c r="AO137">
        <f t="shared" si="15"/>
        <v>-67922.75</v>
      </c>
      <c r="AP137" s="2">
        <f t="shared" si="16"/>
        <v>1.8457103221051718E-2</v>
      </c>
      <c r="AQ137" s="2">
        <f t="shared" si="20"/>
        <v>19</v>
      </c>
      <c r="AR137">
        <f t="shared" si="17"/>
        <v>171</v>
      </c>
      <c r="AS137" t="str">
        <f t="shared" si="18"/>
        <v>High Claim Ratio</v>
      </c>
      <c r="AT137" t="str">
        <f t="shared" si="19"/>
        <v>High Profit</v>
      </c>
    </row>
    <row r="138" spans="1:46" x14ac:dyDescent="0.2">
      <c r="A138">
        <v>200</v>
      </c>
      <c r="B138">
        <v>40</v>
      </c>
      <c r="C138">
        <v>932502</v>
      </c>
      <c r="D138" s="1">
        <v>40309</v>
      </c>
      <c r="E138" t="s">
        <v>83</v>
      </c>
      <c r="F138" t="s">
        <v>69</v>
      </c>
      <c r="G138">
        <v>1000</v>
      </c>
      <c r="H138">
        <v>1439.34</v>
      </c>
      <c r="I138">
        <v>0</v>
      </c>
      <c r="J138">
        <v>444822</v>
      </c>
      <c r="K138" t="s">
        <v>70</v>
      </c>
      <c r="L138" t="s">
        <v>131</v>
      </c>
      <c r="M138" t="s">
        <v>72</v>
      </c>
      <c r="N138" t="s">
        <v>264</v>
      </c>
      <c r="O138" t="s">
        <v>60</v>
      </c>
      <c r="P138">
        <v>45300</v>
      </c>
      <c r="Q138">
        <v>-20400</v>
      </c>
      <c r="R138" s="1">
        <v>42005</v>
      </c>
      <c r="S138" t="s">
        <v>61</v>
      </c>
      <c r="T138" t="s">
        <v>62</v>
      </c>
      <c r="U138" t="s">
        <v>63</v>
      </c>
      <c r="V138" t="s">
        <v>49</v>
      </c>
      <c r="W138" t="s">
        <v>64</v>
      </c>
      <c r="X138" t="s">
        <v>65</v>
      </c>
      <c r="Y138" t="s">
        <v>314</v>
      </c>
      <c r="Z138">
        <v>9</v>
      </c>
      <c r="AA138">
        <v>1</v>
      </c>
      <c r="AB138" t="s">
        <v>62</v>
      </c>
      <c r="AC138">
        <v>0</v>
      </c>
      <c r="AD138">
        <v>0</v>
      </c>
      <c r="AE138" t="s">
        <v>79</v>
      </c>
      <c r="AF138">
        <v>3690</v>
      </c>
      <c r="AG138">
        <v>410</v>
      </c>
      <c r="AH138">
        <v>410</v>
      </c>
      <c r="AI138">
        <v>2870</v>
      </c>
      <c r="AJ138" t="s">
        <v>129</v>
      </c>
      <c r="AK138" t="s">
        <v>172</v>
      </c>
      <c r="AL138">
        <v>2015</v>
      </c>
      <c r="AM138" t="s">
        <v>82</v>
      </c>
      <c r="AN138" s="2">
        <f t="shared" si="14"/>
        <v>2.5618951080994767</v>
      </c>
      <c r="AO138">
        <f t="shared" si="15"/>
        <v>-2250.66</v>
      </c>
      <c r="AP138" s="2">
        <f t="shared" si="16"/>
        <v>0.38995936060688158</v>
      </c>
      <c r="AQ138" s="2">
        <f t="shared" si="20"/>
        <v>0</v>
      </c>
      <c r="AR138">
        <f t="shared" si="17"/>
        <v>200</v>
      </c>
      <c r="AS138" t="str">
        <f t="shared" si="18"/>
        <v>Low Claim Ratio</v>
      </c>
      <c r="AT138" t="str">
        <f t="shared" si="19"/>
        <v>Low Profit</v>
      </c>
    </row>
    <row r="139" spans="1:46" x14ac:dyDescent="0.2">
      <c r="A139">
        <v>120</v>
      </c>
      <c r="B139">
        <v>28</v>
      </c>
      <c r="C139">
        <v>434507</v>
      </c>
      <c r="D139" s="1">
        <v>39850</v>
      </c>
      <c r="E139" t="s">
        <v>83</v>
      </c>
      <c r="F139" t="s">
        <v>40</v>
      </c>
      <c r="G139">
        <v>1000</v>
      </c>
      <c r="H139">
        <v>1281.27</v>
      </c>
      <c r="I139">
        <v>0</v>
      </c>
      <c r="J139">
        <v>447442</v>
      </c>
      <c r="K139" t="s">
        <v>70</v>
      </c>
      <c r="L139" t="s">
        <v>71</v>
      </c>
      <c r="M139" t="s">
        <v>97</v>
      </c>
      <c r="N139" t="s">
        <v>112</v>
      </c>
      <c r="O139" t="s">
        <v>142</v>
      </c>
      <c r="P139">
        <v>68900</v>
      </c>
      <c r="Q139">
        <v>0</v>
      </c>
      <c r="R139" s="1">
        <v>42011</v>
      </c>
      <c r="S139" t="s">
        <v>75</v>
      </c>
      <c r="T139" t="s">
        <v>76</v>
      </c>
      <c r="U139" t="s">
        <v>63</v>
      </c>
      <c r="V139" t="s">
        <v>99</v>
      </c>
      <c r="W139" t="s">
        <v>50</v>
      </c>
      <c r="X139" t="s">
        <v>102</v>
      </c>
      <c r="Y139" t="s">
        <v>315</v>
      </c>
      <c r="Z139">
        <v>9</v>
      </c>
      <c r="AA139">
        <v>3</v>
      </c>
      <c r="AB139" t="s">
        <v>79</v>
      </c>
      <c r="AC139">
        <v>0</v>
      </c>
      <c r="AD139">
        <v>3</v>
      </c>
      <c r="AE139" t="s">
        <v>62</v>
      </c>
      <c r="AF139">
        <v>65500</v>
      </c>
      <c r="AG139">
        <v>6550</v>
      </c>
      <c r="AH139">
        <v>6550</v>
      </c>
      <c r="AI139">
        <v>52400</v>
      </c>
      <c r="AJ139" t="s">
        <v>187</v>
      </c>
      <c r="AK139" t="s">
        <v>203</v>
      </c>
      <c r="AL139">
        <v>2010</v>
      </c>
      <c r="AM139" t="s">
        <v>82</v>
      </c>
      <c r="AN139" s="2">
        <f t="shared" si="14"/>
        <v>51.081285532688128</v>
      </c>
      <c r="AO139">
        <f t="shared" si="15"/>
        <v>-64218.73</v>
      </c>
      <c r="AP139" s="2">
        <f t="shared" si="16"/>
        <v>1.9561075403428954E-2</v>
      </c>
      <c r="AQ139" s="2">
        <f t="shared" si="20"/>
        <v>5</v>
      </c>
      <c r="AR139">
        <f t="shared" si="17"/>
        <v>120</v>
      </c>
      <c r="AS139" t="str">
        <f t="shared" si="18"/>
        <v>High Claim Ratio</v>
      </c>
      <c r="AT139" t="str">
        <f t="shared" si="19"/>
        <v>High Profit</v>
      </c>
    </row>
    <row r="140" spans="1:46" x14ac:dyDescent="0.2">
      <c r="A140">
        <v>325</v>
      </c>
      <c r="B140">
        <v>46</v>
      </c>
      <c r="C140">
        <v>935277</v>
      </c>
      <c r="D140" s="1">
        <v>41464</v>
      </c>
      <c r="E140" t="s">
        <v>83</v>
      </c>
      <c r="F140" t="s">
        <v>91</v>
      </c>
      <c r="G140">
        <v>500</v>
      </c>
      <c r="H140">
        <v>1348.83</v>
      </c>
      <c r="I140">
        <v>0</v>
      </c>
      <c r="J140">
        <v>474360</v>
      </c>
      <c r="K140" t="s">
        <v>70</v>
      </c>
      <c r="L140" t="s">
        <v>131</v>
      </c>
      <c r="M140" t="s">
        <v>101</v>
      </c>
      <c r="N140" t="s">
        <v>179</v>
      </c>
      <c r="O140" t="s">
        <v>119</v>
      </c>
      <c r="P140">
        <v>46300</v>
      </c>
      <c r="Q140">
        <v>-77500</v>
      </c>
      <c r="R140" s="1">
        <v>42036</v>
      </c>
      <c r="S140" t="s">
        <v>75</v>
      </c>
      <c r="T140" t="s">
        <v>76</v>
      </c>
      <c r="U140" t="s">
        <v>63</v>
      </c>
      <c r="V140" t="s">
        <v>99</v>
      </c>
      <c r="W140" t="s">
        <v>121</v>
      </c>
      <c r="X140" t="s">
        <v>102</v>
      </c>
      <c r="Y140" t="s">
        <v>316</v>
      </c>
      <c r="Z140">
        <v>21</v>
      </c>
      <c r="AA140">
        <v>3</v>
      </c>
      <c r="AB140" t="s">
        <v>62</v>
      </c>
      <c r="AC140">
        <v>1</v>
      </c>
      <c r="AD140">
        <v>2</v>
      </c>
      <c r="AE140" t="s">
        <v>53</v>
      </c>
      <c r="AF140">
        <v>76120</v>
      </c>
      <c r="AG140">
        <v>13840</v>
      </c>
      <c r="AH140">
        <v>6920</v>
      </c>
      <c r="AI140">
        <v>55360</v>
      </c>
      <c r="AJ140" t="s">
        <v>115</v>
      </c>
      <c r="AK140" t="s">
        <v>116</v>
      </c>
      <c r="AL140">
        <v>1999</v>
      </c>
      <c r="AM140" t="s">
        <v>82</v>
      </c>
      <c r="AN140" s="2">
        <f t="shared" si="14"/>
        <v>56.392286436069732</v>
      </c>
      <c r="AO140">
        <f t="shared" si="15"/>
        <v>-74771.17</v>
      </c>
      <c r="AP140" s="2">
        <f t="shared" si="16"/>
        <v>1.7719551766266863E-2</v>
      </c>
      <c r="AQ140" s="2">
        <f t="shared" si="20"/>
        <v>16</v>
      </c>
      <c r="AR140">
        <f t="shared" si="17"/>
        <v>325</v>
      </c>
      <c r="AS140" t="str">
        <f t="shared" si="18"/>
        <v>High Claim Ratio</v>
      </c>
      <c r="AT140" t="str">
        <f t="shared" si="19"/>
        <v>High Profit</v>
      </c>
    </row>
    <row r="141" spans="1:46" x14ac:dyDescent="0.2">
      <c r="A141">
        <v>124</v>
      </c>
      <c r="B141">
        <v>32</v>
      </c>
      <c r="C141">
        <v>756054</v>
      </c>
      <c r="D141" s="1">
        <v>33761</v>
      </c>
      <c r="E141" t="s">
        <v>83</v>
      </c>
      <c r="F141" t="s">
        <v>40</v>
      </c>
      <c r="G141">
        <v>1000</v>
      </c>
      <c r="H141">
        <v>1198.1500000000001</v>
      </c>
      <c r="I141">
        <v>0</v>
      </c>
      <c r="J141">
        <v>447925</v>
      </c>
      <c r="K141" t="s">
        <v>70</v>
      </c>
      <c r="L141" t="s">
        <v>42</v>
      </c>
      <c r="M141" t="s">
        <v>111</v>
      </c>
      <c r="N141" t="s">
        <v>149</v>
      </c>
      <c r="O141" t="s">
        <v>142</v>
      </c>
      <c r="P141">
        <v>0</v>
      </c>
      <c r="Q141">
        <v>-43200</v>
      </c>
      <c r="R141" s="1">
        <v>42056</v>
      </c>
      <c r="S141" t="s">
        <v>75</v>
      </c>
      <c r="T141" t="s">
        <v>86</v>
      </c>
      <c r="U141" t="s">
        <v>107</v>
      </c>
      <c r="V141" t="s">
        <v>120</v>
      </c>
      <c r="W141" t="s">
        <v>64</v>
      </c>
      <c r="X141" t="s">
        <v>102</v>
      </c>
      <c r="Y141" t="s">
        <v>317</v>
      </c>
      <c r="Z141">
        <v>19</v>
      </c>
      <c r="AA141">
        <v>3</v>
      </c>
      <c r="AB141" t="s">
        <v>79</v>
      </c>
      <c r="AC141">
        <v>0</v>
      </c>
      <c r="AD141">
        <v>2</v>
      </c>
      <c r="AE141" t="s">
        <v>53</v>
      </c>
      <c r="AF141">
        <v>73560</v>
      </c>
      <c r="AG141">
        <v>12260</v>
      </c>
      <c r="AH141">
        <v>12260</v>
      </c>
      <c r="AI141">
        <v>49040</v>
      </c>
      <c r="AJ141" t="s">
        <v>187</v>
      </c>
      <c r="AK141" t="s">
        <v>203</v>
      </c>
      <c r="AL141">
        <v>1995</v>
      </c>
      <c r="AM141" t="s">
        <v>82</v>
      </c>
      <c r="AN141" s="2">
        <f t="shared" si="14"/>
        <v>61.34345161155818</v>
      </c>
      <c r="AO141">
        <f t="shared" si="15"/>
        <v>-72361.850000000006</v>
      </c>
      <c r="AP141" s="2">
        <f t="shared" si="16"/>
        <v>1.6287842742757713E-2</v>
      </c>
      <c r="AQ141" s="2">
        <f t="shared" si="20"/>
        <v>20</v>
      </c>
      <c r="AR141">
        <f t="shared" si="17"/>
        <v>124</v>
      </c>
      <c r="AS141" t="str">
        <f t="shared" si="18"/>
        <v>High Claim Ratio</v>
      </c>
      <c r="AT141" t="str">
        <f t="shared" si="19"/>
        <v>High Profit</v>
      </c>
    </row>
    <row r="142" spans="1:46" x14ac:dyDescent="0.2">
      <c r="A142">
        <v>211</v>
      </c>
      <c r="B142">
        <v>35</v>
      </c>
      <c r="C142">
        <v>682387</v>
      </c>
      <c r="D142" s="1">
        <v>35862</v>
      </c>
      <c r="E142" t="s">
        <v>39</v>
      </c>
      <c r="F142" t="s">
        <v>69</v>
      </c>
      <c r="G142">
        <v>2000</v>
      </c>
      <c r="H142">
        <v>1221.22</v>
      </c>
      <c r="I142">
        <v>0</v>
      </c>
      <c r="J142">
        <v>451586</v>
      </c>
      <c r="K142" t="s">
        <v>41</v>
      </c>
      <c r="L142" t="s">
        <v>124</v>
      </c>
      <c r="M142" t="s">
        <v>58</v>
      </c>
      <c r="N142" t="s">
        <v>118</v>
      </c>
      <c r="O142" t="s">
        <v>60</v>
      </c>
      <c r="P142">
        <v>76000</v>
      </c>
      <c r="Q142">
        <v>0</v>
      </c>
      <c r="R142" s="1">
        <v>42025</v>
      </c>
      <c r="S142" t="s">
        <v>46</v>
      </c>
      <c r="T142" t="s">
        <v>76</v>
      </c>
      <c r="U142" t="s">
        <v>107</v>
      </c>
      <c r="V142" t="s">
        <v>49</v>
      </c>
      <c r="W142" t="s">
        <v>77</v>
      </c>
      <c r="X142" t="s">
        <v>127</v>
      </c>
      <c r="Y142" t="s">
        <v>318</v>
      </c>
      <c r="Z142">
        <v>2</v>
      </c>
      <c r="AA142">
        <v>1</v>
      </c>
      <c r="AB142" t="s">
        <v>53</v>
      </c>
      <c r="AC142">
        <v>0</v>
      </c>
      <c r="AD142">
        <v>1</v>
      </c>
      <c r="AE142" t="s">
        <v>62</v>
      </c>
      <c r="AF142">
        <v>52030</v>
      </c>
      <c r="AG142">
        <v>9460</v>
      </c>
      <c r="AH142">
        <v>4730</v>
      </c>
      <c r="AI142">
        <v>37840</v>
      </c>
      <c r="AJ142" t="s">
        <v>67</v>
      </c>
      <c r="AK142" t="s">
        <v>68</v>
      </c>
      <c r="AL142">
        <v>2008</v>
      </c>
      <c r="AM142" t="s">
        <v>82</v>
      </c>
      <c r="AN142" s="2">
        <f t="shared" si="14"/>
        <v>42.570077400140725</v>
      </c>
      <c r="AO142">
        <f t="shared" si="15"/>
        <v>-50808.78</v>
      </c>
      <c r="AP142" s="2">
        <f t="shared" si="16"/>
        <v>2.3471007668505316E-2</v>
      </c>
      <c r="AQ142" s="2">
        <f t="shared" si="20"/>
        <v>7</v>
      </c>
      <c r="AR142">
        <f t="shared" si="17"/>
        <v>211</v>
      </c>
      <c r="AS142" t="str">
        <f t="shared" si="18"/>
        <v>High Claim Ratio</v>
      </c>
      <c r="AT142" t="str">
        <f t="shared" si="19"/>
        <v>High Profit</v>
      </c>
    </row>
    <row r="143" spans="1:46" x14ac:dyDescent="0.2">
      <c r="A143">
        <v>287</v>
      </c>
      <c r="B143">
        <v>41</v>
      </c>
      <c r="C143">
        <v>456604</v>
      </c>
      <c r="D143" s="1">
        <v>38075</v>
      </c>
      <c r="E143" t="s">
        <v>83</v>
      </c>
      <c r="F143" t="s">
        <v>91</v>
      </c>
      <c r="G143">
        <v>2000</v>
      </c>
      <c r="H143">
        <v>968.74</v>
      </c>
      <c r="I143">
        <v>0</v>
      </c>
      <c r="J143">
        <v>477519</v>
      </c>
      <c r="K143" t="s">
        <v>41</v>
      </c>
      <c r="L143" t="s">
        <v>124</v>
      </c>
      <c r="M143" t="s">
        <v>145</v>
      </c>
      <c r="N143" t="s">
        <v>181</v>
      </c>
      <c r="O143" t="s">
        <v>119</v>
      </c>
      <c r="P143">
        <v>0</v>
      </c>
      <c r="Q143">
        <v>-49000</v>
      </c>
      <c r="R143" s="1">
        <v>42023</v>
      </c>
      <c r="S143" t="s">
        <v>61</v>
      </c>
      <c r="T143" t="s">
        <v>62</v>
      </c>
      <c r="U143" t="s">
        <v>212</v>
      </c>
      <c r="V143" t="s">
        <v>93</v>
      </c>
      <c r="W143" t="s">
        <v>50</v>
      </c>
      <c r="X143" t="s">
        <v>156</v>
      </c>
      <c r="Y143" t="s">
        <v>319</v>
      </c>
      <c r="Z143">
        <v>9</v>
      </c>
      <c r="AA143">
        <v>1</v>
      </c>
      <c r="AB143" t="s">
        <v>62</v>
      </c>
      <c r="AC143">
        <v>2</v>
      </c>
      <c r="AD143">
        <v>3</v>
      </c>
      <c r="AE143" t="s">
        <v>62</v>
      </c>
      <c r="AF143">
        <v>5170</v>
      </c>
      <c r="AG143">
        <v>470</v>
      </c>
      <c r="AH143">
        <v>940</v>
      </c>
      <c r="AI143">
        <v>3760</v>
      </c>
      <c r="AJ143" t="s">
        <v>153</v>
      </c>
      <c r="AK143" t="s">
        <v>167</v>
      </c>
      <c r="AL143">
        <v>2001</v>
      </c>
      <c r="AM143" t="s">
        <v>82</v>
      </c>
      <c r="AN143" s="2">
        <f t="shared" si="14"/>
        <v>5.3313259224121925</v>
      </c>
      <c r="AO143">
        <f t="shared" si="15"/>
        <v>-4201.26</v>
      </c>
      <c r="AP143" s="2">
        <f t="shared" si="16"/>
        <v>0.18734093985689421</v>
      </c>
      <c r="AQ143" s="2">
        <f t="shared" si="20"/>
        <v>14</v>
      </c>
      <c r="AR143">
        <f t="shared" si="17"/>
        <v>287</v>
      </c>
      <c r="AS143" t="str">
        <f t="shared" si="18"/>
        <v>Medium Claim Ratio</v>
      </c>
      <c r="AT143" t="str">
        <f t="shared" si="19"/>
        <v>Low Profit</v>
      </c>
    </row>
    <row r="144" spans="1:46" x14ac:dyDescent="0.2">
      <c r="A144">
        <v>122</v>
      </c>
      <c r="B144">
        <v>34</v>
      </c>
      <c r="C144">
        <v>139872</v>
      </c>
      <c r="D144" s="1">
        <v>38869</v>
      </c>
      <c r="E144" t="s">
        <v>57</v>
      </c>
      <c r="F144" t="s">
        <v>40</v>
      </c>
      <c r="G144">
        <v>1000</v>
      </c>
      <c r="H144">
        <v>1220.71</v>
      </c>
      <c r="I144">
        <v>0</v>
      </c>
      <c r="J144">
        <v>603639</v>
      </c>
      <c r="K144" t="s">
        <v>41</v>
      </c>
      <c r="L144" t="s">
        <v>71</v>
      </c>
      <c r="M144" t="s">
        <v>58</v>
      </c>
      <c r="N144" t="s">
        <v>181</v>
      </c>
      <c r="O144" t="s">
        <v>74</v>
      </c>
      <c r="P144">
        <v>58600</v>
      </c>
      <c r="Q144">
        <v>-28700</v>
      </c>
      <c r="R144" s="1">
        <v>42062</v>
      </c>
      <c r="S144" t="s">
        <v>138</v>
      </c>
      <c r="T144" t="s">
        <v>62</v>
      </c>
      <c r="U144" t="s">
        <v>63</v>
      </c>
      <c r="V144" t="s">
        <v>93</v>
      </c>
      <c r="W144" t="s">
        <v>50</v>
      </c>
      <c r="X144" t="s">
        <v>127</v>
      </c>
      <c r="Y144" t="s">
        <v>320</v>
      </c>
      <c r="Z144">
        <v>5</v>
      </c>
      <c r="AA144">
        <v>1</v>
      </c>
      <c r="AB144" t="s">
        <v>62</v>
      </c>
      <c r="AC144">
        <v>2</v>
      </c>
      <c r="AD144">
        <v>1</v>
      </c>
      <c r="AE144" t="s">
        <v>53</v>
      </c>
      <c r="AF144">
        <v>8190</v>
      </c>
      <c r="AG144">
        <v>1890</v>
      </c>
      <c r="AH144">
        <v>1260</v>
      </c>
      <c r="AI144">
        <v>5040</v>
      </c>
      <c r="AJ144" t="s">
        <v>89</v>
      </c>
      <c r="AK144" t="s">
        <v>223</v>
      </c>
      <c r="AL144">
        <v>2013</v>
      </c>
      <c r="AM144" t="s">
        <v>82</v>
      </c>
      <c r="AN144" s="2">
        <f t="shared" si="14"/>
        <v>6.7037185584140264</v>
      </c>
      <c r="AO144">
        <f t="shared" si="15"/>
        <v>-6969.29</v>
      </c>
      <c r="AP144" s="2">
        <f t="shared" si="16"/>
        <v>0.14903064338908559</v>
      </c>
      <c r="AQ144" s="2">
        <f t="shared" si="20"/>
        <v>2</v>
      </c>
      <c r="AR144">
        <f t="shared" si="17"/>
        <v>122</v>
      </c>
      <c r="AS144" t="str">
        <f t="shared" si="18"/>
        <v>Medium Claim Ratio</v>
      </c>
      <c r="AT144" t="str">
        <f t="shared" si="19"/>
        <v>High Profit</v>
      </c>
    </row>
    <row r="145" spans="1:46" x14ac:dyDescent="0.2">
      <c r="A145">
        <v>22</v>
      </c>
      <c r="B145">
        <v>29</v>
      </c>
      <c r="C145">
        <v>354105</v>
      </c>
      <c r="D145" s="1">
        <v>34493</v>
      </c>
      <c r="E145" t="s">
        <v>57</v>
      </c>
      <c r="F145" t="s">
        <v>40</v>
      </c>
      <c r="G145">
        <v>2000</v>
      </c>
      <c r="H145">
        <v>1238.6199999999999</v>
      </c>
      <c r="I145">
        <v>6000000</v>
      </c>
      <c r="J145">
        <v>463993</v>
      </c>
      <c r="K145" t="s">
        <v>41</v>
      </c>
      <c r="L145" t="s">
        <v>42</v>
      </c>
      <c r="M145" t="s">
        <v>125</v>
      </c>
      <c r="N145" t="s">
        <v>155</v>
      </c>
      <c r="O145" t="s">
        <v>60</v>
      </c>
      <c r="P145">
        <v>0</v>
      </c>
      <c r="Q145">
        <v>-56200</v>
      </c>
      <c r="R145" s="1">
        <v>42049</v>
      </c>
      <c r="S145" t="s">
        <v>46</v>
      </c>
      <c r="T145" t="s">
        <v>76</v>
      </c>
      <c r="U145" t="s">
        <v>48</v>
      </c>
      <c r="V145" t="s">
        <v>136</v>
      </c>
      <c r="W145" t="s">
        <v>50</v>
      </c>
      <c r="X145" t="s">
        <v>102</v>
      </c>
      <c r="Y145" t="s">
        <v>321</v>
      </c>
      <c r="Z145">
        <v>14</v>
      </c>
      <c r="AA145">
        <v>1</v>
      </c>
      <c r="AB145" t="s">
        <v>62</v>
      </c>
      <c r="AC145">
        <v>2</v>
      </c>
      <c r="AD145">
        <v>3</v>
      </c>
      <c r="AE145" t="s">
        <v>62</v>
      </c>
      <c r="AF145">
        <v>70800</v>
      </c>
      <c r="AG145">
        <v>7080</v>
      </c>
      <c r="AH145">
        <v>14160</v>
      </c>
      <c r="AI145">
        <v>49560</v>
      </c>
      <c r="AJ145" t="s">
        <v>95</v>
      </c>
      <c r="AK145" t="s">
        <v>148</v>
      </c>
      <c r="AL145">
        <v>2012</v>
      </c>
      <c r="AM145" t="s">
        <v>56</v>
      </c>
      <c r="AN145" s="2">
        <f t="shared" si="14"/>
        <v>57.114276955841312</v>
      </c>
      <c r="AO145">
        <f t="shared" si="15"/>
        <v>-69561.38</v>
      </c>
      <c r="AP145" s="2">
        <f t="shared" si="16"/>
        <v>1.7494385672518747E-2</v>
      </c>
      <c r="AQ145" s="2">
        <f t="shared" si="20"/>
        <v>3</v>
      </c>
      <c r="AR145">
        <f t="shared" si="17"/>
        <v>22</v>
      </c>
      <c r="AS145" t="str">
        <f t="shared" si="18"/>
        <v>High Claim Ratio</v>
      </c>
      <c r="AT145" t="str">
        <f t="shared" si="19"/>
        <v>High Profit</v>
      </c>
    </row>
    <row r="146" spans="1:46" x14ac:dyDescent="0.2">
      <c r="A146">
        <v>106</v>
      </c>
      <c r="B146">
        <v>31</v>
      </c>
      <c r="C146">
        <v>165485</v>
      </c>
      <c r="D146" s="1">
        <v>35838</v>
      </c>
      <c r="E146" t="s">
        <v>83</v>
      </c>
      <c r="F146" t="s">
        <v>91</v>
      </c>
      <c r="G146">
        <v>2000</v>
      </c>
      <c r="H146">
        <v>1320.75</v>
      </c>
      <c r="I146">
        <v>0</v>
      </c>
      <c r="J146">
        <v>441491</v>
      </c>
      <c r="K146" t="s">
        <v>70</v>
      </c>
      <c r="L146" t="s">
        <v>161</v>
      </c>
      <c r="M146" t="s">
        <v>189</v>
      </c>
      <c r="N146" t="s">
        <v>181</v>
      </c>
      <c r="O146" t="s">
        <v>119</v>
      </c>
      <c r="P146">
        <v>54100</v>
      </c>
      <c r="Q146">
        <v>0</v>
      </c>
      <c r="R146" s="1">
        <v>42036</v>
      </c>
      <c r="S146" t="s">
        <v>75</v>
      </c>
      <c r="T146" t="s">
        <v>76</v>
      </c>
      <c r="U146" t="s">
        <v>107</v>
      </c>
      <c r="V146" t="s">
        <v>49</v>
      </c>
      <c r="W146" t="s">
        <v>113</v>
      </c>
      <c r="X146" t="s">
        <v>102</v>
      </c>
      <c r="Y146" t="s">
        <v>322</v>
      </c>
      <c r="Z146">
        <v>20</v>
      </c>
      <c r="AA146">
        <v>3</v>
      </c>
      <c r="AB146" t="s">
        <v>62</v>
      </c>
      <c r="AC146">
        <v>0</v>
      </c>
      <c r="AD146">
        <v>3</v>
      </c>
      <c r="AE146" t="s">
        <v>53</v>
      </c>
      <c r="AF146">
        <v>45630</v>
      </c>
      <c r="AG146">
        <v>5070</v>
      </c>
      <c r="AH146">
        <v>5070</v>
      </c>
      <c r="AI146">
        <v>35490</v>
      </c>
      <c r="AJ146" t="s">
        <v>95</v>
      </c>
      <c r="AK146" t="s">
        <v>148</v>
      </c>
      <c r="AL146">
        <v>2011</v>
      </c>
      <c r="AM146" t="s">
        <v>82</v>
      </c>
      <c r="AN146" s="2">
        <f t="shared" si="14"/>
        <v>34.522413466994514</v>
      </c>
      <c r="AO146">
        <f t="shared" si="15"/>
        <v>-44309.25</v>
      </c>
      <c r="AP146" s="2">
        <f t="shared" si="16"/>
        <v>2.894413885297276E-2</v>
      </c>
      <c r="AQ146" s="2">
        <f t="shared" si="20"/>
        <v>4</v>
      </c>
      <c r="AR146">
        <f t="shared" si="17"/>
        <v>106</v>
      </c>
      <c r="AS146" t="str">
        <f t="shared" si="18"/>
        <v>High Claim Ratio</v>
      </c>
      <c r="AT146" t="str">
        <f t="shared" si="19"/>
        <v>High Profit</v>
      </c>
    </row>
    <row r="147" spans="1:46" x14ac:dyDescent="0.2">
      <c r="A147">
        <v>398</v>
      </c>
      <c r="B147">
        <v>58</v>
      </c>
      <c r="C147">
        <v>515050</v>
      </c>
      <c r="D147" s="1">
        <v>36846</v>
      </c>
      <c r="E147" t="s">
        <v>39</v>
      </c>
      <c r="F147" t="s">
        <v>69</v>
      </c>
      <c r="G147">
        <v>500</v>
      </c>
      <c r="H147">
        <v>990.98</v>
      </c>
      <c r="I147">
        <v>0</v>
      </c>
      <c r="J147">
        <v>469429</v>
      </c>
      <c r="K147" t="s">
        <v>70</v>
      </c>
      <c r="L147" t="s">
        <v>92</v>
      </c>
      <c r="M147" t="s">
        <v>125</v>
      </c>
      <c r="N147" t="s">
        <v>242</v>
      </c>
      <c r="O147" t="s">
        <v>119</v>
      </c>
      <c r="P147">
        <v>0</v>
      </c>
      <c r="Q147">
        <v>-57900</v>
      </c>
      <c r="R147" s="1">
        <v>42037</v>
      </c>
      <c r="S147" t="s">
        <v>46</v>
      </c>
      <c r="T147" t="s">
        <v>86</v>
      </c>
      <c r="U147" t="s">
        <v>48</v>
      </c>
      <c r="V147" t="s">
        <v>49</v>
      </c>
      <c r="W147" t="s">
        <v>121</v>
      </c>
      <c r="X147" t="s">
        <v>156</v>
      </c>
      <c r="Y147" t="s">
        <v>323</v>
      </c>
      <c r="Z147">
        <v>18</v>
      </c>
      <c r="AA147">
        <v>1</v>
      </c>
      <c r="AB147" t="s">
        <v>53</v>
      </c>
      <c r="AC147">
        <v>2</v>
      </c>
      <c r="AD147">
        <v>1</v>
      </c>
      <c r="AE147" t="s">
        <v>62</v>
      </c>
      <c r="AF147">
        <v>99320</v>
      </c>
      <c r="AG147">
        <v>7640</v>
      </c>
      <c r="AH147">
        <v>15280</v>
      </c>
      <c r="AI147">
        <v>76400</v>
      </c>
      <c r="AJ147" t="s">
        <v>95</v>
      </c>
      <c r="AK147" t="s">
        <v>158</v>
      </c>
      <c r="AL147">
        <v>2002</v>
      </c>
      <c r="AM147" t="s">
        <v>56</v>
      </c>
      <c r="AN147" s="2">
        <f t="shared" si="14"/>
        <v>100.12298635053126</v>
      </c>
      <c r="AO147">
        <f t="shared" si="15"/>
        <v>-98329.02</v>
      </c>
      <c r="AP147" s="2">
        <f t="shared" si="16"/>
        <v>9.9775475478499007E-3</v>
      </c>
      <c r="AQ147" s="2">
        <f t="shared" si="20"/>
        <v>13</v>
      </c>
      <c r="AR147">
        <f t="shared" si="17"/>
        <v>398</v>
      </c>
      <c r="AS147" t="str">
        <f t="shared" si="18"/>
        <v>High Claim Ratio</v>
      </c>
      <c r="AT147" t="str">
        <f t="shared" si="19"/>
        <v>High Profit</v>
      </c>
    </row>
    <row r="148" spans="1:46" x14ac:dyDescent="0.2">
      <c r="A148">
        <v>214</v>
      </c>
      <c r="B148">
        <v>41</v>
      </c>
      <c r="C148">
        <v>795686</v>
      </c>
      <c r="D148" s="1">
        <v>38284</v>
      </c>
      <c r="E148" t="s">
        <v>83</v>
      </c>
      <c r="F148" t="s">
        <v>91</v>
      </c>
      <c r="G148">
        <v>500</v>
      </c>
      <c r="H148">
        <v>1398.51</v>
      </c>
      <c r="I148">
        <v>4000000</v>
      </c>
      <c r="J148">
        <v>472214</v>
      </c>
      <c r="K148" t="s">
        <v>41</v>
      </c>
      <c r="L148" t="s">
        <v>124</v>
      </c>
      <c r="M148" t="s">
        <v>97</v>
      </c>
      <c r="N148" t="s">
        <v>173</v>
      </c>
      <c r="O148" t="s">
        <v>142</v>
      </c>
      <c r="P148">
        <v>0</v>
      </c>
      <c r="Q148">
        <v>-57100</v>
      </c>
      <c r="R148" s="1">
        <v>42036</v>
      </c>
      <c r="S148" t="s">
        <v>75</v>
      </c>
      <c r="T148" t="s">
        <v>47</v>
      </c>
      <c r="U148" t="s">
        <v>48</v>
      </c>
      <c r="V148" t="s">
        <v>99</v>
      </c>
      <c r="W148" t="s">
        <v>121</v>
      </c>
      <c r="X148" t="s">
        <v>127</v>
      </c>
      <c r="Y148" t="s">
        <v>324</v>
      </c>
      <c r="Z148">
        <v>13</v>
      </c>
      <c r="AA148">
        <v>3</v>
      </c>
      <c r="AB148" t="s">
        <v>62</v>
      </c>
      <c r="AC148">
        <v>2</v>
      </c>
      <c r="AD148">
        <v>0</v>
      </c>
      <c r="AE148" t="s">
        <v>79</v>
      </c>
      <c r="AF148">
        <v>64000</v>
      </c>
      <c r="AG148">
        <v>12800</v>
      </c>
      <c r="AH148">
        <v>6400</v>
      </c>
      <c r="AI148">
        <v>44800</v>
      </c>
      <c r="AJ148" t="s">
        <v>187</v>
      </c>
      <c r="AK148" t="s">
        <v>238</v>
      </c>
      <c r="AL148">
        <v>1996</v>
      </c>
      <c r="AM148" t="s">
        <v>56</v>
      </c>
      <c r="AN148" s="2">
        <f t="shared" si="14"/>
        <v>45.730291316246401</v>
      </c>
      <c r="AO148">
        <f t="shared" si="15"/>
        <v>-62601.49</v>
      </c>
      <c r="AP148" s="2">
        <f t="shared" si="16"/>
        <v>2.1851377322229339E-2</v>
      </c>
      <c r="AQ148" s="2">
        <f t="shared" si="20"/>
        <v>19</v>
      </c>
      <c r="AR148">
        <f t="shared" si="17"/>
        <v>214</v>
      </c>
      <c r="AS148" t="str">
        <f t="shared" si="18"/>
        <v>High Claim Ratio</v>
      </c>
      <c r="AT148" t="str">
        <f t="shared" si="19"/>
        <v>High Profit</v>
      </c>
    </row>
    <row r="149" spans="1:46" x14ac:dyDescent="0.2">
      <c r="A149">
        <v>209</v>
      </c>
      <c r="B149">
        <v>38</v>
      </c>
      <c r="C149">
        <v>395983</v>
      </c>
      <c r="D149" s="1">
        <v>40125</v>
      </c>
      <c r="E149" t="s">
        <v>39</v>
      </c>
      <c r="F149" t="s">
        <v>69</v>
      </c>
      <c r="G149">
        <v>500</v>
      </c>
      <c r="H149">
        <v>1355.08</v>
      </c>
      <c r="I149">
        <v>0</v>
      </c>
      <c r="J149">
        <v>614945</v>
      </c>
      <c r="K149" t="s">
        <v>70</v>
      </c>
      <c r="L149" t="s">
        <v>42</v>
      </c>
      <c r="M149" t="s">
        <v>111</v>
      </c>
      <c r="N149" t="s">
        <v>112</v>
      </c>
      <c r="O149" t="s">
        <v>60</v>
      </c>
      <c r="P149">
        <v>58100</v>
      </c>
      <c r="Q149">
        <v>0</v>
      </c>
      <c r="R149" s="1">
        <v>42023</v>
      </c>
      <c r="S149" t="s">
        <v>46</v>
      </c>
      <c r="T149" t="s">
        <v>86</v>
      </c>
      <c r="U149" t="s">
        <v>63</v>
      </c>
      <c r="V149" t="s">
        <v>99</v>
      </c>
      <c r="W149" t="s">
        <v>113</v>
      </c>
      <c r="X149" t="s">
        <v>156</v>
      </c>
      <c r="Y149" t="s">
        <v>325</v>
      </c>
      <c r="Z149">
        <v>21</v>
      </c>
      <c r="AA149">
        <v>1</v>
      </c>
      <c r="AB149" t="s">
        <v>62</v>
      </c>
      <c r="AC149">
        <v>1</v>
      </c>
      <c r="AD149">
        <v>1</v>
      </c>
      <c r="AE149" t="s">
        <v>62</v>
      </c>
      <c r="AF149">
        <v>47300</v>
      </c>
      <c r="AG149">
        <v>4730</v>
      </c>
      <c r="AH149">
        <v>4730</v>
      </c>
      <c r="AI149">
        <v>37840</v>
      </c>
      <c r="AJ149" t="s">
        <v>104</v>
      </c>
      <c r="AK149" t="s">
        <v>105</v>
      </c>
      <c r="AL149">
        <v>2014</v>
      </c>
      <c r="AM149" t="s">
        <v>82</v>
      </c>
      <c r="AN149" s="2">
        <f t="shared" si="14"/>
        <v>34.879948085658668</v>
      </c>
      <c r="AO149">
        <f t="shared" si="15"/>
        <v>-45944.92</v>
      </c>
      <c r="AP149" s="2">
        <f t="shared" si="16"/>
        <v>2.8648020126424388E-2</v>
      </c>
      <c r="AQ149" s="2">
        <f t="shared" si="20"/>
        <v>1</v>
      </c>
      <c r="AR149">
        <f t="shared" si="17"/>
        <v>209</v>
      </c>
      <c r="AS149" t="str">
        <f t="shared" si="18"/>
        <v>High Claim Ratio</v>
      </c>
      <c r="AT149" t="str">
        <f t="shared" si="19"/>
        <v>High Profit</v>
      </c>
    </row>
    <row r="150" spans="1:46" x14ac:dyDescent="0.2">
      <c r="A150">
        <v>82</v>
      </c>
      <c r="B150">
        <v>27</v>
      </c>
      <c r="C150">
        <v>119513</v>
      </c>
      <c r="D150" s="1">
        <v>35329</v>
      </c>
      <c r="E150" t="s">
        <v>83</v>
      </c>
      <c r="F150" t="s">
        <v>69</v>
      </c>
      <c r="G150">
        <v>1000</v>
      </c>
      <c r="H150">
        <v>1384.51</v>
      </c>
      <c r="I150">
        <v>0</v>
      </c>
      <c r="J150">
        <v>476727</v>
      </c>
      <c r="K150" t="s">
        <v>41</v>
      </c>
      <c r="L150" t="s">
        <v>71</v>
      </c>
      <c r="M150" t="s">
        <v>185</v>
      </c>
      <c r="N150" t="s">
        <v>59</v>
      </c>
      <c r="O150" t="s">
        <v>142</v>
      </c>
      <c r="P150">
        <v>13100</v>
      </c>
      <c r="Q150">
        <v>-38200</v>
      </c>
      <c r="R150" s="1">
        <v>42053</v>
      </c>
      <c r="S150" t="s">
        <v>46</v>
      </c>
      <c r="T150" t="s">
        <v>76</v>
      </c>
      <c r="U150" t="s">
        <v>48</v>
      </c>
      <c r="V150" t="s">
        <v>120</v>
      </c>
      <c r="W150" t="s">
        <v>50</v>
      </c>
      <c r="X150" t="s">
        <v>102</v>
      </c>
      <c r="Y150" t="s">
        <v>326</v>
      </c>
      <c r="Z150">
        <v>14</v>
      </c>
      <c r="AA150">
        <v>1</v>
      </c>
      <c r="AB150" t="s">
        <v>79</v>
      </c>
      <c r="AC150">
        <v>2</v>
      </c>
      <c r="AD150">
        <v>3</v>
      </c>
      <c r="AE150" t="s">
        <v>62</v>
      </c>
      <c r="AF150">
        <v>71680</v>
      </c>
      <c r="AG150">
        <v>8960</v>
      </c>
      <c r="AH150">
        <v>8960</v>
      </c>
      <c r="AI150">
        <v>53760</v>
      </c>
      <c r="AJ150" t="s">
        <v>214</v>
      </c>
      <c r="AK150" t="s">
        <v>258</v>
      </c>
      <c r="AL150">
        <v>2007</v>
      </c>
      <c r="AM150" t="s">
        <v>56</v>
      </c>
      <c r="AN150" s="2">
        <f t="shared" si="14"/>
        <v>51.735462032031528</v>
      </c>
      <c r="AO150">
        <f t="shared" si="15"/>
        <v>-70295.490000000005</v>
      </c>
      <c r="AP150" s="2">
        <f t="shared" si="16"/>
        <v>1.9314881209804551E-2</v>
      </c>
      <c r="AQ150" s="2">
        <f t="shared" si="20"/>
        <v>8</v>
      </c>
      <c r="AR150">
        <f t="shared" si="17"/>
        <v>82</v>
      </c>
      <c r="AS150" t="str">
        <f t="shared" si="18"/>
        <v>High Claim Ratio</v>
      </c>
      <c r="AT150" t="str">
        <f t="shared" si="19"/>
        <v>High Profit</v>
      </c>
    </row>
    <row r="151" spans="1:46" x14ac:dyDescent="0.2">
      <c r="A151">
        <v>193</v>
      </c>
      <c r="B151">
        <v>41</v>
      </c>
      <c r="C151">
        <v>217938</v>
      </c>
      <c r="D151" s="1">
        <v>34896</v>
      </c>
      <c r="E151" t="s">
        <v>39</v>
      </c>
      <c r="F151" t="s">
        <v>40</v>
      </c>
      <c r="G151">
        <v>500</v>
      </c>
      <c r="H151">
        <v>847.03</v>
      </c>
      <c r="I151">
        <v>0</v>
      </c>
      <c r="J151">
        <v>438555</v>
      </c>
      <c r="K151" t="s">
        <v>70</v>
      </c>
      <c r="L151" t="s">
        <v>161</v>
      </c>
      <c r="M151" t="s">
        <v>43</v>
      </c>
      <c r="N151" t="s">
        <v>132</v>
      </c>
      <c r="O151" t="s">
        <v>142</v>
      </c>
      <c r="P151">
        <v>0</v>
      </c>
      <c r="Q151">
        <v>0</v>
      </c>
      <c r="R151" s="1">
        <v>42043</v>
      </c>
      <c r="S151" t="s">
        <v>46</v>
      </c>
      <c r="T151" t="s">
        <v>47</v>
      </c>
      <c r="U151" t="s">
        <v>48</v>
      </c>
      <c r="V151" t="s">
        <v>120</v>
      </c>
      <c r="W151" t="s">
        <v>50</v>
      </c>
      <c r="X151" t="s">
        <v>102</v>
      </c>
      <c r="Y151" t="s">
        <v>327</v>
      </c>
      <c r="Z151">
        <v>1</v>
      </c>
      <c r="AA151">
        <v>1</v>
      </c>
      <c r="AB151" t="s">
        <v>62</v>
      </c>
      <c r="AC151">
        <v>1</v>
      </c>
      <c r="AD151">
        <v>0</v>
      </c>
      <c r="AE151" t="s">
        <v>53</v>
      </c>
      <c r="AF151">
        <v>112320</v>
      </c>
      <c r="AG151">
        <v>17280</v>
      </c>
      <c r="AH151">
        <v>17280</v>
      </c>
      <c r="AI151">
        <v>77760</v>
      </c>
      <c r="AJ151" t="s">
        <v>153</v>
      </c>
      <c r="AK151" t="s">
        <v>163</v>
      </c>
      <c r="AL151">
        <v>2011</v>
      </c>
      <c r="AM151" t="s">
        <v>56</v>
      </c>
      <c r="AN151" s="2">
        <f t="shared" si="14"/>
        <v>132.44814452318903</v>
      </c>
      <c r="AO151">
        <f t="shared" si="15"/>
        <v>-111472.97</v>
      </c>
      <c r="AP151" s="2">
        <f t="shared" si="16"/>
        <v>7.5411543700643685E-3</v>
      </c>
      <c r="AQ151" s="2">
        <f t="shared" si="20"/>
        <v>4</v>
      </c>
      <c r="AR151">
        <f t="shared" si="17"/>
        <v>193</v>
      </c>
      <c r="AS151" t="str">
        <f t="shared" si="18"/>
        <v>High Claim Ratio</v>
      </c>
      <c r="AT151" t="str">
        <f t="shared" si="19"/>
        <v>High Profit</v>
      </c>
    </row>
    <row r="152" spans="1:46" x14ac:dyDescent="0.2">
      <c r="A152">
        <v>134</v>
      </c>
      <c r="B152">
        <v>32</v>
      </c>
      <c r="C152">
        <v>203914</v>
      </c>
      <c r="D152" s="1">
        <v>37051</v>
      </c>
      <c r="E152" t="s">
        <v>39</v>
      </c>
      <c r="F152" t="s">
        <v>69</v>
      </c>
      <c r="G152">
        <v>1000</v>
      </c>
      <c r="H152">
        <v>1000.06</v>
      </c>
      <c r="I152">
        <v>0</v>
      </c>
      <c r="J152">
        <v>440961</v>
      </c>
      <c r="K152" t="s">
        <v>70</v>
      </c>
      <c r="L152" t="s">
        <v>71</v>
      </c>
      <c r="M152" t="s">
        <v>189</v>
      </c>
      <c r="N152" t="s">
        <v>106</v>
      </c>
      <c r="O152" t="s">
        <v>119</v>
      </c>
      <c r="P152">
        <v>0</v>
      </c>
      <c r="Q152">
        <v>0</v>
      </c>
      <c r="R152" s="1">
        <v>42013</v>
      </c>
      <c r="S152" t="s">
        <v>46</v>
      </c>
      <c r="T152" t="s">
        <v>47</v>
      </c>
      <c r="U152" t="s">
        <v>107</v>
      </c>
      <c r="V152" t="s">
        <v>120</v>
      </c>
      <c r="W152" t="s">
        <v>77</v>
      </c>
      <c r="X152" t="s">
        <v>51</v>
      </c>
      <c r="Y152" t="s">
        <v>328</v>
      </c>
      <c r="Z152">
        <v>17</v>
      </c>
      <c r="AA152">
        <v>1</v>
      </c>
      <c r="AB152" t="s">
        <v>62</v>
      </c>
      <c r="AC152">
        <v>1</v>
      </c>
      <c r="AD152">
        <v>0</v>
      </c>
      <c r="AE152" t="s">
        <v>62</v>
      </c>
      <c r="AF152">
        <v>82720</v>
      </c>
      <c r="AG152">
        <v>7520</v>
      </c>
      <c r="AH152">
        <v>15040</v>
      </c>
      <c r="AI152">
        <v>60160</v>
      </c>
      <c r="AJ152" t="s">
        <v>109</v>
      </c>
      <c r="AK152" t="s">
        <v>134</v>
      </c>
      <c r="AL152">
        <v>2014</v>
      </c>
      <c r="AM152" t="s">
        <v>82</v>
      </c>
      <c r="AN152" s="2">
        <f t="shared" si="14"/>
        <v>82.632409645775482</v>
      </c>
      <c r="AO152">
        <f t="shared" si="15"/>
        <v>-81719.94</v>
      </c>
      <c r="AP152" s="2">
        <f t="shared" si="16"/>
        <v>1.2089554043108762E-2</v>
      </c>
      <c r="AQ152" s="2">
        <f t="shared" si="20"/>
        <v>1</v>
      </c>
      <c r="AR152">
        <f t="shared" si="17"/>
        <v>134</v>
      </c>
      <c r="AS152" t="str">
        <f t="shared" si="18"/>
        <v>High Claim Ratio</v>
      </c>
      <c r="AT152" t="str">
        <f t="shared" si="19"/>
        <v>High Profit</v>
      </c>
    </row>
    <row r="153" spans="1:46" x14ac:dyDescent="0.2">
      <c r="A153">
        <v>288</v>
      </c>
      <c r="B153">
        <v>45</v>
      </c>
      <c r="C153">
        <v>565157</v>
      </c>
      <c r="D153" s="1">
        <v>37535</v>
      </c>
      <c r="E153" t="s">
        <v>83</v>
      </c>
      <c r="F153" t="s">
        <v>69</v>
      </c>
      <c r="G153">
        <v>1000</v>
      </c>
      <c r="H153">
        <v>1046.71</v>
      </c>
      <c r="I153">
        <v>0</v>
      </c>
      <c r="J153">
        <v>616714</v>
      </c>
      <c r="K153" t="s">
        <v>41</v>
      </c>
      <c r="L153" t="s">
        <v>124</v>
      </c>
      <c r="M153" t="s">
        <v>117</v>
      </c>
      <c r="N153" t="s">
        <v>173</v>
      </c>
      <c r="O153" t="s">
        <v>45</v>
      </c>
      <c r="P153">
        <v>0</v>
      </c>
      <c r="Q153">
        <v>0</v>
      </c>
      <c r="R153" s="1">
        <v>42062</v>
      </c>
      <c r="S153" t="s">
        <v>75</v>
      </c>
      <c r="T153" t="s">
        <v>76</v>
      </c>
      <c r="U153" t="s">
        <v>48</v>
      </c>
      <c r="V153" t="s">
        <v>99</v>
      </c>
      <c r="W153" t="s">
        <v>121</v>
      </c>
      <c r="X153" t="s">
        <v>122</v>
      </c>
      <c r="Y153" t="s">
        <v>329</v>
      </c>
      <c r="Z153">
        <v>4</v>
      </c>
      <c r="AA153">
        <v>3</v>
      </c>
      <c r="AB153" t="s">
        <v>62</v>
      </c>
      <c r="AC153">
        <v>2</v>
      </c>
      <c r="AD153">
        <v>1</v>
      </c>
      <c r="AE153" t="s">
        <v>62</v>
      </c>
      <c r="AF153">
        <v>48060</v>
      </c>
      <c r="AG153">
        <v>10680</v>
      </c>
      <c r="AH153">
        <v>5340</v>
      </c>
      <c r="AI153">
        <v>32040</v>
      </c>
      <c r="AJ153" t="s">
        <v>67</v>
      </c>
      <c r="AK153" t="s">
        <v>193</v>
      </c>
      <c r="AL153">
        <v>2009</v>
      </c>
      <c r="AM153" t="s">
        <v>82</v>
      </c>
      <c r="AN153" s="2">
        <f t="shared" si="14"/>
        <v>45.871472067652306</v>
      </c>
      <c r="AO153">
        <f t="shared" si="15"/>
        <v>-47013.29</v>
      </c>
      <c r="AP153" s="2">
        <f t="shared" si="16"/>
        <v>2.1778781132311024E-2</v>
      </c>
      <c r="AQ153" s="2">
        <f t="shared" si="20"/>
        <v>6</v>
      </c>
      <c r="AR153">
        <f t="shared" si="17"/>
        <v>288</v>
      </c>
      <c r="AS153" t="str">
        <f t="shared" si="18"/>
        <v>High Claim Ratio</v>
      </c>
      <c r="AT153" t="str">
        <f t="shared" si="19"/>
        <v>High Profit</v>
      </c>
    </row>
    <row r="154" spans="1:46" x14ac:dyDescent="0.2">
      <c r="A154">
        <v>104</v>
      </c>
      <c r="B154">
        <v>32</v>
      </c>
      <c r="C154">
        <v>904191</v>
      </c>
      <c r="D154" s="1">
        <v>35625</v>
      </c>
      <c r="E154" t="s">
        <v>57</v>
      </c>
      <c r="F154" t="s">
        <v>40</v>
      </c>
      <c r="G154">
        <v>500</v>
      </c>
      <c r="H154">
        <v>1158.03</v>
      </c>
      <c r="I154">
        <v>0</v>
      </c>
      <c r="J154">
        <v>434247</v>
      </c>
      <c r="K154" t="s">
        <v>41</v>
      </c>
      <c r="L154" t="s">
        <v>131</v>
      </c>
      <c r="M154" t="s">
        <v>125</v>
      </c>
      <c r="N154" t="s">
        <v>170</v>
      </c>
      <c r="O154" t="s">
        <v>74</v>
      </c>
      <c r="P154">
        <v>31900</v>
      </c>
      <c r="Q154">
        <v>-44600</v>
      </c>
      <c r="R154" s="1">
        <v>42012</v>
      </c>
      <c r="S154" t="s">
        <v>75</v>
      </c>
      <c r="T154" t="s">
        <v>76</v>
      </c>
      <c r="U154" t="s">
        <v>107</v>
      </c>
      <c r="V154" t="s">
        <v>49</v>
      </c>
      <c r="W154" t="s">
        <v>77</v>
      </c>
      <c r="X154" t="s">
        <v>65</v>
      </c>
      <c r="Y154" t="s">
        <v>330</v>
      </c>
      <c r="Z154">
        <v>23</v>
      </c>
      <c r="AA154">
        <v>3</v>
      </c>
      <c r="AB154" t="s">
        <v>53</v>
      </c>
      <c r="AC154">
        <v>1</v>
      </c>
      <c r="AD154">
        <v>3</v>
      </c>
      <c r="AE154" t="s">
        <v>53</v>
      </c>
      <c r="AF154">
        <v>63570</v>
      </c>
      <c r="AG154">
        <v>9780</v>
      </c>
      <c r="AH154">
        <v>9780</v>
      </c>
      <c r="AI154">
        <v>44010</v>
      </c>
      <c r="AJ154" t="s">
        <v>214</v>
      </c>
      <c r="AK154" t="s">
        <v>258</v>
      </c>
      <c r="AL154">
        <v>2006</v>
      </c>
      <c r="AM154" t="s">
        <v>56</v>
      </c>
      <c r="AN154" s="2">
        <f t="shared" si="14"/>
        <v>54.847588069333838</v>
      </c>
      <c r="AO154">
        <f t="shared" si="15"/>
        <v>-62411.97</v>
      </c>
      <c r="AP154" s="2">
        <f t="shared" si="16"/>
        <v>1.8216325053876766E-2</v>
      </c>
      <c r="AQ154" s="2">
        <f t="shared" si="20"/>
        <v>9</v>
      </c>
      <c r="AR154">
        <f t="shared" si="17"/>
        <v>104</v>
      </c>
      <c r="AS154" t="str">
        <f t="shared" si="18"/>
        <v>High Claim Ratio</v>
      </c>
      <c r="AT154" t="str">
        <f t="shared" si="19"/>
        <v>High Profit</v>
      </c>
    </row>
    <row r="155" spans="1:46" x14ac:dyDescent="0.2">
      <c r="A155">
        <v>431</v>
      </c>
      <c r="B155">
        <v>54</v>
      </c>
      <c r="C155">
        <v>419510</v>
      </c>
      <c r="D155" s="1">
        <v>34649</v>
      </c>
      <c r="E155" t="s">
        <v>39</v>
      </c>
      <c r="F155" t="s">
        <v>69</v>
      </c>
      <c r="G155">
        <v>1000</v>
      </c>
      <c r="H155">
        <v>1372.27</v>
      </c>
      <c r="I155">
        <v>0</v>
      </c>
      <c r="J155">
        <v>436547</v>
      </c>
      <c r="K155" t="s">
        <v>70</v>
      </c>
      <c r="L155" t="s">
        <v>124</v>
      </c>
      <c r="M155" t="s">
        <v>43</v>
      </c>
      <c r="N155" t="s">
        <v>165</v>
      </c>
      <c r="O155" t="s">
        <v>74</v>
      </c>
      <c r="P155">
        <v>17600</v>
      </c>
      <c r="Q155">
        <v>0</v>
      </c>
      <c r="R155" s="1">
        <v>42012</v>
      </c>
      <c r="S155" t="s">
        <v>75</v>
      </c>
      <c r="T155" t="s">
        <v>76</v>
      </c>
      <c r="U155" t="s">
        <v>107</v>
      </c>
      <c r="V155" t="s">
        <v>99</v>
      </c>
      <c r="W155" t="s">
        <v>113</v>
      </c>
      <c r="X155" t="s">
        <v>51</v>
      </c>
      <c r="Y155" t="s">
        <v>331</v>
      </c>
      <c r="Z155">
        <v>13</v>
      </c>
      <c r="AA155">
        <v>3</v>
      </c>
      <c r="AB155" t="s">
        <v>79</v>
      </c>
      <c r="AC155">
        <v>2</v>
      </c>
      <c r="AD155">
        <v>3</v>
      </c>
      <c r="AE155" t="s">
        <v>62</v>
      </c>
      <c r="AF155">
        <v>63240</v>
      </c>
      <c r="AG155">
        <v>10540</v>
      </c>
      <c r="AH155">
        <v>10540</v>
      </c>
      <c r="AI155">
        <v>42160</v>
      </c>
      <c r="AJ155" t="s">
        <v>153</v>
      </c>
      <c r="AK155" t="s">
        <v>167</v>
      </c>
      <c r="AL155">
        <v>1997</v>
      </c>
      <c r="AM155" t="s">
        <v>82</v>
      </c>
      <c r="AN155" s="2">
        <f t="shared" si="14"/>
        <v>46.050667385146404</v>
      </c>
      <c r="AO155">
        <f t="shared" si="15"/>
        <v>-61867.73</v>
      </c>
      <c r="AP155" s="2">
        <f t="shared" si="16"/>
        <v>2.1699055992156987E-2</v>
      </c>
      <c r="AQ155" s="2">
        <f t="shared" si="20"/>
        <v>18</v>
      </c>
      <c r="AR155">
        <f t="shared" si="17"/>
        <v>431</v>
      </c>
      <c r="AS155" t="str">
        <f t="shared" si="18"/>
        <v>High Claim Ratio</v>
      </c>
      <c r="AT155" t="str">
        <f t="shared" si="19"/>
        <v>High Profit</v>
      </c>
    </row>
    <row r="156" spans="1:46" x14ac:dyDescent="0.2">
      <c r="A156">
        <v>101</v>
      </c>
      <c r="B156">
        <v>33</v>
      </c>
      <c r="C156">
        <v>575000</v>
      </c>
      <c r="D156" s="1">
        <v>41083</v>
      </c>
      <c r="E156" t="s">
        <v>39</v>
      </c>
      <c r="F156" t="s">
        <v>69</v>
      </c>
      <c r="G156">
        <v>1000</v>
      </c>
      <c r="H156">
        <v>1053.04</v>
      </c>
      <c r="I156">
        <v>7000000</v>
      </c>
      <c r="J156">
        <v>619540</v>
      </c>
      <c r="K156" t="s">
        <v>70</v>
      </c>
      <c r="L156" t="s">
        <v>124</v>
      </c>
      <c r="M156" t="s">
        <v>111</v>
      </c>
      <c r="N156" t="s">
        <v>59</v>
      </c>
      <c r="O156" t="s">
        <v>74</v>
      </c>
      <c r="P156">
        <v>52000</v>
      </c>
      <c r="Q156">
        <v>-44500</v>
      </c>
      <c r="R156" s="1">
        <v>42059</v>
      </c>
      <c r="S156" t="s">
        <v>75</v>
      </c>
      <c r="T156" t="s">
        <v>76</v>
      </c>
      <c r="U156" t="s">
        <v>63</v>
      </c>
      <c r="V156" t="s">
        <v>136</v>
      </c>
      <c r="W156" t="s">
        <v>121</v>
      </c>
      <c r="X156" t="s">
        <v>156</v>
      </c>
      <c r="Y156" t="s">
        <v>332</v>
      </c>
      <c r="Z156">
        <v>20</v>
      </c>
      <c r="AA156">
        <v>3</v>
      </c>
      <c r="AB156" t="s">
        <v>79</v>
      </c>
      <c r="AC156">
        <v>1</v>
      </c>
      <c r="AD156">
        <v>3</v>
      </c>
      <c r="AE156" t="s">
        <v>62</v>
      </c>
      <c r="AF156">
        <v>54240</v>
      </c>
      <c r="AG156">
        <v>9040</v>
      </c>
      <c r="AH156">
        <v>9040</v>
      </c>
      <c r="AI156">
        <v>36160</v>
      </c>
      <c r="AJ156" t="s">
        <v>54</v>
      </c>
      <c r="AK156">
        <v>93</v>
      </c>
      <c r="AL156">
        <v>2013</v>
      </c>
      <c r="AM156" t="s">
        <v>56</v>
      </c>
      <c r="AN156" s="2">
        <f t="shared" si="14"/>
        <v>51.459147660430347</v>
      </c>
      <c r="AO156">
        <f t="shared" si="15"/>
        <v>-53186.96</v>
      </c>
      <c r="AP156" s="2">
        <f t="shared" si="16"/>
        <v>1.9414096347781198E-2</v>
      </c>
      <c r="AQ156" s="2">
        <f t="shared" si="20"/>
        <v>2</v>
      </c>
      <c r="AR156">
        <f t="shared" si="17"/>
        <v>101</v>
      </c>
      <c r="AS156" t="str">
        <f t="shared" si="18"/>
        <v>High Claim Ratio</v>
      </c>
      <c r="AT156" t="str">
        <f t="shared" si="19"/>
        <v>High Profit</v>
      </c>
    </row>
    <row r="157" spans="1:46" x14ac:dyDescent="0.2">
      <c r="A157">
        <v>375</v>
      </c>
      <c r="B157">
        <v>50</v>
      </c>
      <c r="C157">
        <v>120485</v>
      </c>
      <c r="D157" s="1">
        <v>39131</v>
      </c>
      <c r="E157" t="s">
        <v>39</v>
      </c>
      <c r="F157" t="s">
        <v>69</v>
      </c>
      <c r="G157">
        <v>1000</v>
      </c>
      <c r="H157">
        <v>1275.3900000000001</v>
      </c>
      <c r="I157">
        <v>0</v>
      </c>
      <c r="J157">
        <v>466283</v>
      </c>
      <c r="K157" t="s">
        <v>41</v>
      </c>
      <c r="L157" t="s">
        <v>92</v>
      </c>
      <c r="M157" t="s">
        <v>72</v>
      </c>
      <c r="N157" t="s">
        <v>98</v>
      </c>
      <c r="O157" t="s">
        <v>60</v>
      </c>
      <c r="P157">
        <v>0</v>
      </c>
      <c r="Q157">
        <v>0</v>
      </c>
      <c r="R157" s="1">
        <v>42047</v>
      </c>
      <c r="S157" t="s">
        <v>46</v>
      </c>
      <c r="T157" t="s">
        <v>86</v>
      </c>
      <c r="U157" t="s">
        <v>48</v>
      </c>
      <c r="V157" t="s">
        <v>49</v>
      </c>
      <c r="W157" t="s">
        <v>77</v>
      </c>
      <c r="X157" t="s">
        <v>65</v>
      </c>
      <c r="Y157" t="s">
        <v>333</v>
      </c>
      <c r="Z157">
        <v>16</v>
      </c>
      <c r="AA157">
        <v>1</v>
      </c>
      <c r="AB157" t="s">
        <v>53</v>
      </c>
      <c r="AC157">
        <v>2</v>
      </c>
      <c r="AD157">
        <v>3</v>
      </c>
      <c r="AE157" t="s">
        <v>79</v>
      </c>
      <c r="AF157">
        <v>37280</v>
      </c>
      <c r="AG157">
        <v>0</v>
      </c>
      <c r="AH157">
        <v>0</v>
      </c>
      <c r="AI157">
        <v>37280</v>
      </c>
      <c r="AJ157" t="s">
        <v>109</v>
      </c>
      <c r="AK157" t="s">
        <v>110</v>
      </c>
      <c r="AL157">
        <v>1996</v>
      </c>
      <c r="AM157" t="s">
        <v>56</v>
      </c>
      <c r="AN157" s="2">
        <f t="shared" si="14"/>
        <v>29.207373921763722</v>
      </c>
      <c r="AO157">
        <f t="shared" si="15"/>
        <v>-36004.61</v>
      </c>
      <c r="AP157" s="2">
        <f t="shared" si="16"/>
        <v>3.421018749497063E-2</v>
      </c>
      <c r="AQ157" s="2">
        <f t="shared" si="20"/>
        <v>19</v>
      </c>
      <c r="AR157">
        <f t="shared" si="17"/>
        <v>375</v>
      </c>
      <c r="AS157" t="str">
        <f t="shared" si="18"/>
        <v>High Claim Ratio</v>
      </c>
      <c r="AT157" t="str">
        <f t="shared" si="19"/>
        <v>High Profit</v>
      </c>
    </row>
    <row r="158" spans="1:46" x14ac:dyDescent="0.2">
      <c r="A158">
        <v>461</v>
      </c>
      <c r="B158">
        <v>61</v>
      </c>
      <c r="C158">
        <v>781181</v>
      </c>
      <c r="D158" s="1">
        <v>38530</v>
      </c>
      <c r="E158" t="s">
        <v>39</v>
      </c>
      <c r="F158" t="s">
        <v>69</v>
      </c>
      <c r="G158">
        <v>2000</v>
      </c>
      <c r="H158">
        <v>1402.75</v>
      </c>
      <c r="I158">
        <v>0</v>
      </c>
      <c r="J158">
        <v>449557</v>
      </c>
      <c r="K158" t="s">
        <v>41</v>
      </c>
      <c r="L158" t="s">
        <v>161</v>
      </c>
      <c r="M158" t="s">
        <v>125</v>
      </c>
      <c r="N158" t="s">
        <v>264</v>
      </c>
      <c r="O158" t="s">
        <v>45</v>
      </c>
      <c r="P158">
        <v>0</v>
      </c>
      <c r="Q158">
        <v>0</v>
      </c>
      <c r="R158" s="1">
        <v>42053</v>
      </c>
      <c r="S158" t="s">
        <v>75</v>
      </c>
      <c r="T158" t="s">
        <v>76</v>
      </c>
      <c r="U158" t="s">
        <v>63</v>
      </c>
      <c r="V158" t="s">
        <v>49</v>
      </c>
      <c r="W158" t="s">
        <v>77</v>
      </c>
      <c r="X158" t="s">
        <v>51</v>
      </c>
      <c r="Y158" t="s">
        <v>334</v>
      </c>
      <c r="Z158">
        <v>10</v>
      </c>
      <c r="AA158">
        <v>3</v>
      </c>
      <c r="AB158" t="s">
        <v>62</v>
      </c>
      <c r="AC158">
        <v>2</v>
      </c>
      <c r="AD158">
        <v>1</v>
      </c>
      <c r="AE158" t="s">
        <v>53</v>
      </c>
      <c r="AF158">
        <v>72100</v>
      </c>
      <c r="AG158">
        <v>7210</v>
      </c>
      <c r="AH158">
        <v>14420</v>
      </c>
      <c r="AI158">
        <v>50470</v>
      </c>
      <c r="AJ158" t="s">
        <v>197</v>
      </c>
      <c r="AK158" t="s">
        <v>198</v>
      </c>
      <c r="AL158">
        <v>2006</v>
      </c>
      <c r="AM158" t="s">
        <v>82</v>
      </c>
      <c r="AN158" s="2">
        <f t="shared" si="14"/>
        <v>51.362422083704367</v>
      </c>
      <c r="AO158">
        <f t="shared" si="15"/>
        <v>-70697.25</v>
      </c>
      <c r="AP158" s="2">
        <f t="shared" si="16"/>
        <v>1.9455347359953398E-2</v>
      </c>
      <c r="AQ158" s="2">
        <f t="shared" si="20"/>
        <v>9</v>
      </c>
      <c r="AR158">
        <f t="shared" si="17"/>
        <v>461</v>
      </c>
      <c r="AS158" t="str">
        <f t="shared" si="18"/>
        <v>High Claim Ratio</v>
      </c>
      <c r="AT158" t="str">
        <f t="shared" si="19"/>
        <v>High Profit</v>
      </c>
    </row>
    <row r="159" spans="1:46" x14ac:dyDescent="0.2">
      <c r="A159">
        <v>428</v>
      </c>
      <c r="B159">
        <v>59</v>
      </c>
      <c r="C159">
        <v>299796</v>
      </c>
      <c r="D159" s="1">
        <v>36432</v>
      </c>
      <c r="E159" t="s">
        <v>57</v>
      </c>
      <c r="F159" t="s">
        <v>40</v>
      </c>
      <c r="G159">
        <v>500</v>
      </c>
      <c r="H159">
        <v>1344.36</v>
      </c>
      <c r="I159">
        <v>7000000</v>
      </c>
      <c r="J159">
        <v>473329</v>
      </c>
      <c r="K159" t="s">
        <v>70</v>
      </c>
      <c r="L159" t="s">
        <v>161</v>
      </c>
      <c r="M159" t="s">
        <v>101</v>
      </c>
      <c r="N159" t="s">
        <v>149</v>
      </c>
      <c r="O159" t="s">
        <v>60</v>
      </c>
      <c r="P159">
        <v>0</v>
      </c>
      <c r="Q159">
        <v>0</v>
      </c>
      <c r="R159" s="1">
        <v>42041</v>
      </c>
      <c r="S159" t="s">
        <v>138</v>
      </c>
      <c r="T159" t="s">
        <v>62</v>
      </c>
      <c r="U159" t="s">
        <v>63</v>
      </c>
      <c r="V159" t="s">
        <v>93</v>
      </c>
      <c r="W159" t="s">
        <v>113</v>
      </c>
      <c r="X159" t="s">
        <v>127</v>
      </c>
      <c r="Y159" t="s">
        <v>335</v>
      </c>
      <c r="Z159">
        <v>8</v>
      </c>
      <c r="AA159">
        <v>1</v>
      </c>
      <c r="AB159" t="s">
        <v>62</v>
      </c>
      <c r="AC159">
        <v>2</v>
      </c>
      <c r="AD159">
        <v>3</v>
      </c>
      <c r="AE159" t="s">
        <v>79</v>
      </c>
      <c r="AF159">
        <v>6500</v>
      </c>
      <c r="AG159">
        <v>1300</v>
      </c>
      <c r="AH159">
        <v>650</v>
      </c>
      <c r="AI159">
        <v>4550</v>
      </c>
      <c r="AJ159" t="s">
        <v>54</v>
      </c>
      <c r="AK159" t="s">
        <v>55</v>
      </c>
      <c r="AL159">
        <v>2013</v>
      </c>
      <c r="AM159" t="s">
        <v>82</v>
      </c>
      <c r="AN159" s="2">
        <f t="shared" si="14"/>
        <v>4.831420586311471</v>
      </c>
      <c r="AO159">
        <f t="shared" si="15"/>
        <v>-5155.6400000000003</v>
      </c>
      <c r="AP159" s="2">
        <f t="shared" si="16"/>
        <v>0.20679280110752191</v>
      </c>
      <c r="AQ159" s="2">
        <f t="shared" si="20"/>
        <v>2</v>
      </c>
      <c r="AR159">
        <f t="shared" si="17"/>
        <v>428</v>
      </c>
      <c r="AS159" t="str">
        <f t="shared" si="18"/>
        <v>Low Claim Ratio</v>
      </c>
      <c r="AT159" t="str">
        <f t="shared" si="19"/>
        <v>High Profit</v>
      </c>
    </row>
    <row r="160" spans="1:46" x14ac:dyDescent="0.2">
      <c r="A160">
        <v>45</v>
      </c>
      <c r="B160">
        <v>38</v>
      </c>
      <c r="C160">
        <v>589749</v>
      </c>
      <c r="D160" s="1">
        <v>38851</v>
      </c>
      <c r="E160" t="s">
        <v>57</v>
      </c>
      <c r="F160" t="s">
        <v>69</v>
      </c>
      <c r="G160">
        <v>1000</v>
      </c>
      <c r="H160">
        <v>1197.71</v>
      </c>
      <c r="I160">
        <v>0</v>
      </c>
      <c r="J160">
        <v>470117</v>
      </c>
      <c r="K160" t="s">
        <v>41</v>
      </c>
      <c r="L160" t="s">
        <v>124</v>
      </c>
      <c r="M160" t="s">
        <v>58</v>
      </c>
      <c r="N160" t="s">
        <v>146</v>
      </c>
      <c r="O160" t="s">
        <v>142</v>
      </c>
      <c r="P160">
        <v>29000</v>
      </c>
      <c r="Q160">
        <v>0</v>
      </c>
      <c r="R160" s="1">
        <v>42049</v>
      </c>
      <c r="S160" t="s">
        <v>75</v>
      </c>
      <c r="T160" t="s">
        <v>86</v>
      </c>
      <c r="U160" t="s">
        <v>107</v>
      </c>
      <c r="V160" t="s">
        <v>136</v>
      </c>
      <c r="W160" t="s">
        <v>113</v>
      </c>
      <c r="X160" t="s">
        <v>102</v>
      </c>
      <c r="Y160" t="s">
        <v>336</v>
      </c>
      <c r="Z160">
        <v>17</v>
      </c>
      <c r="AA160">
        <v>3</v>
      </c>
      <c r="AB160" t="s">
        <v>62</v>
      </c>
      <c r="AC160">
        <v>2</v>
      </c>
      <c r="AD160">
        <v>0</v>
      </c>
      <c r="AE160" t="s">
        <v>62</v>
      </c>
      <c r="AF160">
        <v>78240</v>
      </c>
      <c r="AG160">
        <v>13040</v>
      </c>
      <c r="AH160">
        <v>13040</v>
      </c>
      <c r="AI160">
        <v>52160</v>
      </c>
      <c r="AJ160" t="s">
        <v>153</v>
      </c>
      <c r="AK160" t="s">
        <v>154</v>
      </c>
      <c r="AL160">
        <v>2013</v>
      </c>
      <c r="AM160" t="s">
        <v>82</v>
      </c>
      <c r="AN160" s="2">
        <f t="shared" si="14"/>
        <v>65.270165427834925</v>
      </c>
      <c r="AO160">
        <f t="shared" si="15"/>
        <v>-77042.289999999994</v>
      </c>
      <c r="AP160" s="2">
        <f t="shared" si="16"/>
        <v>1.5307958742858604E-2</v>
      </c>
      <c r="AQ160" s="2">
        <f t="shared" si="20"/>
        <v>2</v>
      </c>
      <c r="AR160">
        <f t="shared" si="17"/>
        <v>45</v>
      </c>
      <c r="AS160" t="str">
        <f t="shared" si="18"/>
        <v>High Claim Ratio</v>
      </c>
      <c r="AT160" t="str">
        <f t="shared" si="19"/>
        <v>High Profit</v>
      </c>
    </row>
    <row r="161" spans="1:46" x14ac:dyDescent="0.2">
      <c r="A161">
        <v>136</v>
      </c>
      <c r="B161">
        <v>29</v>
      </c>
      <c r="C161">
        <v>854021</v>
      </c>
      <c r="D161" s="1">
        <v>40297</v>
      </c>
      <c r="E161" t="s">
        <v>39</v>
      </c>
      <c r="F161" t="s">
        <v>69</v>
      </c>
      <c r="G161">
        <v>500</v>
      </c>
      <c r="H161">
        <v>1203.24</v>
      </c>
      <c r="I161">
        <v>0</v>
      </c>
      <c r="J161">
        <v>600702</v>
      </c>
      <c r="K161" t="s">
        <v>70</v>
      </c>
      <c r="L161" t="s">
        <v>161</v>
      </c>
      <c r="M161" t="s">
        <v>145</v>
      </c>
      <c r="N161" t="s">
        <v>181</v>
      </c>
      <c r="O161" t="s">
        <v>60</v>
      </c>
      <c r="P161">
        <v>62500</v>
      </c>
      <c r="Q161">
        <v>-66900</v>
      </c>
      <c r="R161" s="1">
        <v>42040</v>
      </c>
      <c r="S161" t="s">
        <v>61</v>
      </c>
      <c r="T161" t="s">
        <v>62</v>
      </c>
      <c r="U161" t="s">
        <v>63</v>
      </c>
      <c r="V161" t="s">
        <v>49</v>
      </c>
      <c r="W161" t="s">
        <v>77</v>
      </c>
      <c r="X161" t="s">
        <v>51</v>
      </c>
      <c r="Y161" t="s">
        <v>337</v>
      </c>
      <c r="Z161">
        <v>9</v>
      </c>
      <c r="AA161">
        <v>1</v>
      </c>
      <c r="AB161" t="s">
        <v>62</v>
      </c>
      <c r="AC161">
        <v>2</v>
      </c>
      <c r="AD161">
        <v>0</v>
      </c>
      <c r="AE161" t="s">
        <v>62</v>
      </c>
      <c r="AF161">
        <v>6200</v>
      </c>
      <c r="AG161">
        <v>1240</v>
      </c>
      <c r="AH161">
        <v>620</v>
      </c>
      <c r="AI161">
        <v>4340</v>
      </c>
      <c r="AJ161" t="s">
        <v>209</v>
      </c>
      <c r="AK161" t="s">
        <v>231</v>
      </c>
      <c r="AL161">
        <v>1999</v>
      </c>
      <c r="AM161" t="s">
        <v>82</v>
      </c>
      <c r="AN161" s="2">
        <f t="shared" si="14"/>
        <v>5.1484753869660533</v>
      </c>
      <c r="AO161">
        <f t="shared" si="15"/>
        <v>-4996.76</v>
      </c>
      <c r="AP161" s="2">
        <f t="shared" si="16"/>
        <v>0.19403967102080311</v>
      </c>
      <c r="AQ161" s="2">
        <f t="shared" si="20"/>
        <v>16</v>
      </c>
      <c r="AR161">
        <f t="shared" si="17"/>
        <v>136</v>
      </c>
      <c r="AS161" t="str">
        <f t="shared" si="18"/>
        <v>Medium Claim Ratio</v>
      </c>
      <c r="AT161" t="str">
        <f t="shared" si="19"/>
        <v>Low Profit</v>
      </c>
    </row>
    <row r="162" spans="1:46" x14ac:dyDescent="0.2">
      <c r="A162">
        <v>216</v>
      </c>
      <c r="B162">
        <v>36</v>
      </c>
      <c r="C162">
        <v>454086</v>
      </c>
      <c r="D162" s="1">
        <v>33918</v>
      </c>
      <c r="E162" t="s">
        <v>57</v>
      </c>
      <c r="F162" t="s">
        <v>91</v>
      </c>
      <c r="G162">
        <v>1000</v>
      </c>
      <c r="H162">
        <v>1152.4000000000001</v>
      </c>
      <c r="I162">
        <v>0</v>
      </c>
      <c r="J162">
        <v>615921</v>
      </c>
      <c r="K162" t="s">
        <v>70</v>
      </c>
      <c r="L162" t="s">
        <v>92</v>
      </c>
      <c r="M162" t="s">
        <v>117</v>
      </c>
      <c r="N162" t="s">
        <v>59</v>
      </c>
      <c r="O162" t="s">
        <v>85</v>
      </c>
      <c r="P162">
        <v>39600</v>
      </c>
      <c r="Q162">
        <v>-82400</v>
      </c>
      <c r="R162" s="1">
        <v>42029</v>
      </c>
      <c r="S162" t="s">
        <v>138</v>
      </c>
      <c r="T162" t="s">
        <v>62</v>
      </c>
      <c r="U162" t="s">
        <v>63</v>
      </c>
      <c r="V162" t="s">
        <v>49</v>
      </c>
      <c r="W162" t="s">
        <v>64</v>
      </c>
      <c r="X162" t="s">
        <v>102</v>
      </c>
      <c r="Y162" t="s">
        <v>338</v>
      </c>
      <c r="Z162">
        <v>0</v>
      </c>
      <c r="AA162">
        <v>1</v>
      </c>
      <c r="AB162" t="s">
        <v>53</v>
      </c>
      <c r="AC162">
        <v>2</v>
      </c>
      <c r="AD162">
        <v>3</v>
      </c>
      <c r="AE162" t="s">
        <v>62</v>
      </c>
      <c r="AF162">
        <v>6160</v>
      </c>
      <c r="AG162">
        <v>560</v>
      </c>
      <c r="AH162">
        <v>1680</v>
      </c>
      <c r="AI162">
        <v>3920</v>
      </c>
      <c r="AJ162" t="s">
        <v>67</v>
      </c>
      <c r="AK162" t="s">
        <v>68</v>
      </c>
      <c r="AL162">
        <v>2014</v>
      </c>
      <c r="AM162" t="s">
        <v>82</v>
      </c>
      <c r="AN162" s="2">
        <f t="shared" si="14"/>
        <v>5.3407317496098488</v>
      </c>
      <c r="AO162">
        <f t="shared" si="15"/>
        <v>-5007.6000000000004</v>
      </c>
      <c r="AP162" s="2">
        <f t="shared" si="16"/>
        <v>0.18704755721473787</v>
      </c>
      <c r="AQ162" s="2">
        <f t="shared" si="20"/>
        <v>1</v>
      </c>
      <c r="AR162">
        <f t="shared" si="17"/>
        <v>216</v>
      </c>
      <c r="AS162" t="str">
        <f t="shared" si="18"/>
        <v>Medium Claim Ratio</v>
      </c>
      <c r="AT162" t="str">
        <f t="shared" si="19"/>
        <v>High Profit</v>
      </c>
    </row>
    <row r="163" spans="1:46" x14ac:dyDescent="0.2">
      <c r="A163">
        <v>278</v>
      </c>
      <c r="B163">
        <v>48</v>
      </c>
      <c r="C163">
        <v>139484</v>
      </c>
      <c r="D163" s="1">
        <v>36365</v>
      </c>
      <c r="E163" t="s">
        <v>57</v>
      </c>
      <c r="F163" t="s">
        <v>91</v>
      </c>
      <c r="G163">
        <v>2000</v>
      </c>
      <c r="H163">
        <v>1142.6199999999999</v>
      </c>
      <c r="I163">
        <v>7000000</v>
      </c>
      <c r="J163">
        <v>475588</v>
      </c>
      <c r="K163" t="s">
        <v>70</v>
      </c>
      <c r="L163" t="s">
        <v>42</v>
      </c>
      <c r="M163" t="s">
        <v>189</v>
      </c>
      <c r="N163" t="s">
        <v>126</v>
      </c>
      <c r="O163" t="s">
        <v>142</v>
      </c>
      <c r="P163">
        <v>0</v>
      </c>
      <c r="Q163">
        <v>-54000</v>
      </c>
      <c r="R163" s="1">
        <v>42020</v>
      </c>
      <c r="S163" t="s">
        <v>46</v>
      </c>
      <c r="T163" t="s">
        <v>86</v>
      </c>
      <c r="U163" t="s">
        <v>107</v>
      </c>
      <c r="V163" t="s">
        <v>136</v>
      </c>
      <c r="W163" t="s">
        <v>50</v>
      </c>
      <c r="X163" t="s">
        <v>156</v>
      </c>
      <c r="Y163" t="s">
        <v>339</v>
      </c>
      <c r="Z163">
        <v>12</v>
      </c>
      <c r="AA163">
        <v>1</v>
      </c>
      <c r="AB163" t="s">
        <v>62</v>
      </c>
      <c r="AC163">
        <v>2</v>
      </c>
      <c r="AD163">
        <v>0</v>
      </c>
      <c r="AE163" t="s">
        <v>62</v>
      </c>
      <c r="AF163">
        <v>76050</v>
      </c>
      <c r="AG163">
        <v>11700</v>
      </c>
      <c r="AH163">
        <v>11700</v>
      </c>
      <c r="AI163">
        <v>52650</v>
      </c>
      <c r="AJ163" t="s">
        <v>89</v>
      </c>
      <c r="AK163" t="s">
        <v>223</v>
      </c>
      <c r="AL163">
        <v>1997</v>
      </c>
      <c r="AM163" t="s">
        <v>82</v>
      </c>
      <c r="AN163" s="2">
        <f t="shared" si="14"/>
        <v>66.499361676081222</v>
      </c>
      <c r="AO163">
        <f t="shared" si="15"/>
        <v>-74907.38</v>
      </c>
      <c r="AP163" s="2">
        <f t="shared" si="16"/>
        <v>1.5024391526738635E-2</v>
      </c>
      <c r="AQ163" s="2">
        <f t="shared" si="20"/>
        <v>18</v>
      </c>
      <c r="AR163">
        <f t="shared" si="17"/>
        <v>278</v>
      </c>
      <c r="AS163" t="str">
        <f t="shared" si="18"/>
        <v>High Claim Ratio</v>
      </c>
      <c r="AT163" t="str">
        <f t="shared" si="19"/>
        <v>High Profit</v>
      </c>
    </row>
    <row r="164" spans="1:46" x14ac:dyDescent="0.2">
      <c r="A164">
        <v>295</v>
      </c>
      <c r="B164">
        <v>48</v>
      </c>
      <c r="C164">
        <v>678849</v>
      </c>
      <c r="D164" s="1">
        <v>33656</v>
      </c>
      <c r="E164" t="s">
        <v>39</v>
      </c>
      <c r="F164" t="s">
        <v>91</v>
      </c>
      <c r="G164">
        <v>1000</v>
      </c>
      <c r="H164">
        <v>1332.07</v>
      </c>
      <c r="I164">
        <v>0</v>
      </c>
      <c r="J164">
        <v>609409</v>
      </c>
      <c r="K164" t="s">
        <v>70</v>
      </c>
      <c r="L164" t="s">
        <v>42</v>
      </c>
      <c r="M164" t="s">
        <v>125</v>
      </c>
      <c r="N164" t="s">
        <v>173</v>
      </c>
      <c r="O164" t="s">
        <v>85</v>
      </c>
      <c r="P164">
        <v>49700</v>
      </c>
      <c r="Q164">
        <v>-59100</v>
      </c>
      <c r="R164" s="1">
        <v>42032</v>
      </c>
      <c r="S164" t="s">
        <v>75</v>
      </c>
      <c r="T164" t="s">
        <v>47</v>
      </c>
      <c r="U164" t="s">
        <v>107</v>
      </c>
      <c r="V164" t="s">
        <v>136</v>
      </c>
      <c r="W164" t="s">
        <v>77</v>
      </c>
      <c r="X164" t="s">
        <v>122</v>
      </c>
      <c r="Y164" t="s">
        <v>340</v>
      </c>
      <c r="Z164">
        <v>20</v>
      </c>
      <c r="AA164">
        <v>2</v>
      </c>
      <c r="AB164" t="s">
        <v>79</v>
      </c>
      <c r="AC164">
        <v>2</v>
      </c>
      <c r="AD164">
        <v>1</v>
      </c>
      <c r="AE164" t="s">
        <v>53</v>
      </c>
      <c r="AF164">
        <v>86060</v>
      </c>
      <c r="AG164">
        <v>13240</v>
      </c>
      <c r="AH164">
        <v>13240</v>
      </c>
      <c r="AI164">
        <v>59580</v>
      </c>
      <c r="AJ164" t="s">
        <v>214</v>
      </c>
      <c r="AK164" t="s">
        <v>215</v>
      </c>
      <c r="AL164">
        <v>2002</v>
      </c>
      <c r="AM164" t="s">
        <v>82</v>
      </c>
      <c r="AN164" s="2">
        <f t="shared" si="14"/>
        <v>64.557750155655739</v>
      </c>
      <c r="AO164">
        <f t="shared" si="15"/>
        <v>-84727.93</v>
      </c>
      <c r="AP164" s="2">
        <f t="shared" si="16"/>
        <v>1.5478207318065092E-2</v>
      </c>
      <c r="AQ164" s="2">
        <f t="shared" si="20"/>
        <v>13</v>
      </c>
      <c r="AR164">
        <f t="shared" si="17"/>
        <v>295</v>
      </c>
      <c r="AS164" t="str">
        <f t="shared" si="18"/>
        <v>High Claim Ratio</v>
      </c>
      <c r="AT164" t="str">
        <f t="shared" si="19"/>
        <v>High Profit</v>
      </c>
    </row>
    <row r="165" spans="1:46" x14ac:dyDescent="0.2">
      <c r="A165">
        <v>112</v>
      </c>
      <c r="B165">
        <v>30</v>
      </c>
      <c r="C165">
        <v>346940</v>
      </c>
      <c r="D165" s="1">
        <v>37512</v>
      </c>
      <c r="E165" t="s">
        <v>39</v>
      </c>
      <c r="F165" t="s">
        <v>91</v>
      </c>
      <c r="G165">
        <v>1000</v>
      </c>
      <c r="H165">
        <v>1166.54</v>
      </c>
      <c r="I165">
        <v>0</v>
      </c>
      <c r="J165">
        <v>479852</v>
      </c>
      <c r="K165" t="s">
        <v>70</v>
      </c>
      <c r="L165" t="s">
        <v>124</v>
      </c>
      <c r="M165" t="s">
        <v>101</v>
      </c>
      <c r="N165" t="s">
        <v>44</v>
      </c>
      <c r="O165" t="s">
        <v>142</v>
      </c>
      <c r="P165">
        <v>47700</v>
      </c>
      <c r="Q165">
        <v>-59300</v>
      </c>
      <c r="R165" s="1">
        <v>42025</v>
      </c>
      <c r="S165" t="s">
        <v>46</v>
      </c>
      <c r="T165" t="s">
        <v>86</v>
      </c>
      <c r="U165" t="s">
        <v>48</v>
      </c>
      <c r="V165" t="s">
        <v>99</v>
      </c>
      <c r="W165" t="s">
        <v>50</v>
      </c>
      <c r="X165" t="s">
        <v>87</v>
      </c>
      <c r="Y165" t="s">
        <v>341</v>
      </c>
      <c r="Z165">
        <v>3</v>
      </c>
      <c r="AA165">
        <v>1</v>
      </c>
      <c r="AB165" t="s">
        <v>53</v>
      </c>
      <c r="AC165">
        <v>2</v>
      </c>
      <c r="AD165">
        <v>0</v>
      </c>
      <c r="AE165" t="s">
        <v>79</v>
      </c>
      <c r="AF165">
        <v>107900</v>
      </c>
      <c r="AG165">
        <v>10790</v>
      </c>
      <c r="AH165">
        <v>21580</v>
      </c>
      <c r="AI165">
        <v>75530</v>
      </c>
      <c r="AJ165" t="s">
        <v>80</v>
      </c>
      <c r="AK165" t="s">
        <v>144</v>
      </c>
      <c r="AL165">
        <v>1997</v>
      </c>
      <c r="AM165" t="s">
        <v>56</v>
      </c>
      <c r="AN165" s="2">
        <f t="shared" si="14"/>
        <v>92.41653390890248</v>
      </c>
      <c r="AO165">
        <f t="shared" si="15"/>
        <v>-106733.46</v>
      </c>
      <c r="AP165" s="2">
        <f t="shared" si="16"/>
        <v>1.0811206568984532E-2</v>
      </c>
      <c r="AQ165" s="2">
        <f t="shared" si="20"/>
        <v>18</v>
      </c>
      <c r="AR165">
        <f t="shared" si="17"/>
        <v>112</v>
      </c>
      <c r="AS165" t="str">
        <f t="shared" si="18"/>
        <v>High Claim Ratio</v>
      </c>
      <c r="AT165" t="str">
        <f t="shared" si="19"/>
        <v>High Profit</v>
      </c>
    </row>
    <row r="166" spans="1:46" x14ac:dyDescent="0.2">
      <c r="A166">
        <v>122</v>
      </c>
      <c r="B166">
        <v>34</v>
      </c>
      <c r="C166">
        <v>985436</v>
      </c>
      <c r="D166" s="1">
        <v>37842</v>
      </c>
      <c r="E166" t="s">
        <v>83</v>
      </c>
      <c r="F166" t="s">
        <v>40</v>
      </c>
      <c r="G166">
        <v>500</v>
      </c>
      <c r="H166">
        <v>1495.06</v>
      </c>
      <c r="I166">
        <v>0</v>
      </c>
      <c r="J166">
        <v>452249</v>
      </c>
      <c r="K166" t="s">
        <v>70</v>
      </c>
      <c r="L166" t="s">
        <v>124</v>
      </c>
      <c r="M166" t="s">
        <v>101</v>
      </c>
      <c r="N166" t="s">
        <v>173</v>
      </c>
      <c r="O166" t="s">
        <v>85</v>
      </c>
      <c r="P166">
        <v>38100</v>
      </c>
      <c r="Q166">
        <v>-31400</v>
      </c>
      <c r="R166" s="1">
        <v>42011</v>
      </c>
      <c r="S166" t="s">
        <v>75</v>
      </c>
      <c r="T166" t="s">
        <v>76</v>
      </c>
      <c r="U166" t="s">
        <v>107</v>
      </c>
      <c r="V166" t="s">
        <v>99</v>
      </c>
      <c r="W166" t="s">
        <v>175</v>
      </c>
      <c r="X166" t="s">
        <v>51</v>
      </c>
      <c r="Y166" t="s">
        <v>342</v>
      </c>
      <c r="Z166">
        <v>18</v>
      </c>
      <c r="AA166">
        <v>3</v>
      </c>
      <c r="AB166" t="s">
        <v>79</v>
      </c>
      <c r="AC166">
        <v>2</v>
      </c>
      <c r="AD166">
        <v>0</v>
      </c>
      <c r="AE166" t="s">
        <v>53</v>
      </c>
      <c r="AF166">
        <v>99990</v>
      </c>
      <c r="AG166">
        <v>18180</v>
      </c>
      <c r="AH166">
        <v>18180</v>
      </c>
      <c r="AI166">
        <v>63630</v>
      </c>
      <c r="AJ166" t="s">
        <v>67</v>
      </c>
      <c r="AK166" t="s">
        <v>68</v>
      </c>
      <c r="AL166">
        <v>2011</v>
      </c>
      <c r="AM166" t="s">
        <v>82</v>
      </c>
      <c r="AN166" s="2">
        <f t="shared" si="14"/>
        <v>66.835554723741026</v>
      </c>
      <c r="AO166">
        <f t="shared" si="15"/>
        <v>-98494.94</v>
      </c>
      <c r="AP166" s="2">
        <f t="shared" si="16"/>
        <v>1.495194567511076E-2</v>
      </c>
      <c r="AQ166" s="2">
        <f t="shared" si="20"/>
        <v>4</v>
      </c>
      <c r="AR166">
        <f t="shared" si="17"/>
        <v>122</v>
      </c>
      <c r="AS166" t="str">
        <f t="shared" si="18"/>
        <v>High Claim Ratio</v>
      </c>
      <c r="AT166" t="str">
        <f t="shared" si="19"/>
        <v>High Profit</v>
      </c>
    </row>
    <row r="167" spans="1:46" x14ac:dyDescent="0.2">
      <c r="A167">
        <v>108</v>
      </c>
      <c r="B167">
        <v>29</v>
      </c>
      <c r="C167">
        <v>237418</v>
      </c>
      <c r="D167" s="1">
        <v>39420</v>
      </c>
      <c r="E167" t="s">
        <v>57</v>
      </c>
      <c r="F167" t="s">
        <v>91</v>
      </c>
      <c r="G167">
        <v>1000</v>
      </c>
      <c r="H167">
        <v>1337.92</v>
      </c>
      <c r="I167">
        <v>0</v>
      </c>
      <c r="J167">
        <v>441536</v>
      </c>
      <c r="K167" t="s">
        <v>70</v>
      </c>
      <c r="L167" t="s">
        <v>71</v>
      </c>
      <c r="M167" t="s">
        <v>84</v>
      </c>
      <c r="N167" t="s">
        <v>98</v>
      </c>
      <c r="O167" t="s">
        <v>142</v>
      </c>
      <c r="P167">
        <v>71400</v>
      </c>
      <c r="Q167">
        <v>0</v>
      </c>
      <c r="R167" s="1">
        <v>42058</v>
      </c>
      <c r="S167" t="s">
        <v>75</v>
      </c>
      <c r="T167" t="s">
        <v>47</v>
      </c>
      <c r="U167" t="s">
        <v>63</v>
      </c>
      <c r="V167" t="s">
        <v>136</v>
      </c>
      <c r="W167" t="s">
        <v>113</v>
      </c>
      <c r="X167" t="s">
        <v>51</v>
      </c>
      <c r="Y167" t="s">
        <v>343</v>
      </c>
      <c r="Z167">
        <v>4</v>
      </c>
      <c r="AA167">
        <v>3</v>
      </c>
      <c r="AB167" t="s">
        <v>79</v>
      </c>
      <c r="AC167">
        <v>2</v>
      </c>
      <c r="AD167">
        <v>2</v>
      </c>
      <c r="AE167" t="s">
        <v>53</v>
      </c>
      <c r="AF167">
        <v>61380</v>
      </c>
      <c r="AG167">
        <v>11160</v>
      </c>
      <c r="AH167">
        <v>5580</v>
      </c>
      <c r="AI167">
        <v>44640</v>
      </c>
      <c r="AJ167" t="s">
        <v>153</v>
      </c>
      <c r="AK167" t="s">
        <v>154</v>
      </c>
      <c r="AL167">
        <v>2012</v>
      </c>
      <c r="AM167" t="s">
        <v>82</v>
      </c>
      <c r="AN167" s="2">
        <f t="shared" si="14"/>
        <v>45.842918172855732</v>
      </c>
      <c r="AO167">
        <f t="shared" si="15"/>
        <v>-60042.080000000002</v>
      </c>
      <c r="AP167" s="2">
        <f t="shared" si="16"/>
        <v>2.1796973004675715E-2</v>
      </c>
      <c r="AQ167" s="2">
        <f t="shared" si="20"/>
        <v>3</v>
      </c>
      <c r="AR167">
        <f t="shared" si="17"/>
        <v>108</v>
      </c>
      <c r="AS167" t="str">
        <f t="shared" si="18"/>
        <v>High Claim Ratio</v>
      </c>
      <c r="AT167" t="str">
        <f t="shared" si="19"/>
        <v>High Profit</v>
      </c>
    </row>
    <row r="168" spans="1:46" x14ac:dyDescent="0.2">
      <c r="A168">
        <v>14</v>
      </c>
      <c r="B168">
        <v>28</v>
      </c>
      <c r="C168">
        <v>335780</v>
      </c>
      <c r="D168" s="1">
        <v>37459</v>
      </c>
      <c r="E168" t="s">
        <v>39</v>
      </c>
      <c r="F168" t="s">
        <v>40</v>
      </c>
      <c r="G168">
        <v>2000</v>
      </c>
      <c r="H168">
        <v>1587.96</v>
      </c>
      <c r="I168">
        <v>0</v>
      </c>
      <c r="J168">
        <v>601617</v>
      </c>
      <c r="K168" t="s">
        <v>70</v>
      </c>
      <c r="L168" t="s">
        <v>92</v>
      </c>
      <c r="M168" t="s">
        <v>43</v>
      </c>
      <c r="N168" t="s">
        <v>73</v>
      </c>
      <c r="O168" t="s">
        <v>85</v>
      </c>
      <c r="P168">
        <v>0</v>
      </c>
      <c r="Q168">
        <v>-26900</v>
      </c>
      <c r="R168" s="1">
        <v>42049</v>
      </c>
      <c r="S168" t="s">
        <v>46</v>
      </c>
      <c r="T168" t="s">
        <v>76</v>
      </c>
      <c r="U168" t="s">
        <v>48</v>
      </c>
      <c r="V168" t="s">
        <v>99</v>
      </c>
      <c r="W168" t="s">
        <v>113</v>
      </c>
      <c r="X168" t="s">
        <v>65</v>
      </c>
      <c r="Y168" t="s">
        <v>344</v>
      </c>
      <c r="Z168">
        <v>18</v>
      </c>
      <c r="AA168">
        <v>1</v>
      </c>
      <c r="AB168" t="s">
        <v>62</v>
      </c>
      <c r="AC168">
        <v>2</v>
      </c>
      <c r="AD168">
        <v>1</v>
      </c>
      <c r="AE168" t="s">
        <v>53</v>
      </c>
      <c r="AF168">
        <v>71280</v>
      </c>
      <c r="AG168">
        <v>12960</v>
      </c>
      <c r="AH168">
        <v>12960</v>
      </c>
      <c r="AI168">
        <v>45360</v>
      </c>
      <c r="AJ168" t="s">
        <v>109</v>
      </c>
      <c r="AK168" t="s">
        <v>110</v>
      </c>
      <c r="AL168">
        <v>2012</v>
      </c>
      <c r="AM168" t="s">
        <v>56</v>
      </c>
      <c r="AN168" s="2">
        <f t="shared" si="14"/>
        <v>44.859530762259588</v>
      </c>
      <c r="AO168">
        <f t="shared" si="15"/>
        <v>-69692.039999999994</v>
      </c>
      <c r="AP168" s="2">
        <f t="shared" si="16"/>
        <v>2.2277465243192435E-2</v>
      </c>
      <c r="AQ168" s="2">
        <f t="shared" si="20"/>
        <v>3</v>
      </c>
      <c r="AR168">
        <f t="shared" si="17"/>
        <v>14</v>
      </c>
      <c r="AS168" t="str">
        <f t="shared" si="18"/>
        <v>High Claim Ratio</v>
      </c>
      <c r="AT168" t="str">
        <f t="shared" si="19"/>
        <v>High Profit</v>
      </c>
    </row>
    <row r="169" spans="1:46" x14ac:dyDescent="0.2">
      <c r="A169">
        <v>298</v>
      </c>
      <c r="B169">
        <v>45</v>
      </c>
      <c r="C169">
        <v>491392</v>
      </c>
      <c r="D169" s="1">
        <v>33788</v>
      </c>
      <c r="E169" t="s">
        <v>83</v>
      </c>
      <c r="F169" t="s">
        <v>91</v>
      </c>
      <c r="G169">
        <v>1000</v>
      </c>
      <c r="H169">
        <v>1362.29</v>
      </c>
      <c r="I169">
        <v>0</v>
      </c>
      <c r="J169">
        <v>442598</v>
      </c>
      <c r="K169" t="s">
        <v>41</v>
      </c>
      <c r="L169" t="s">
        <v>131</v>
      </c>
      <c r="M169" t="s">
        <v>189</v>
      </c>
      <c r="N169" t="s">
        <v>155</v>
      </c>
      <c r="O169" t="s">
        <v>85</v>
      </c>
      <c r="P169">
        <v>0</v>
      </c>
      <c r="Q169">
        <v>-51100</v>
      </c>
      <c r="R169" s="1">
        <v>42062</v>
      </c>
      <c r="S169" t="s">
        <v>75</v>
      </c>
      <c r="T169" t="s">
        <v>86</v>
      </c>
      <c r="U169" t="s">
        <v>63</v>
      </c>
      <c r="V169" t="s">
        <v>136</v>
      </c>
      <c r="W169" t="s">
        <v>77</v>
      </c>
      <c r="X169" t="s">
        <v>127</v>
      </c>
      <c r="Y169" t="s">
        <v>345</v>
      </c>
      <c r="Z169">
        <v>18</v>
      </c>
      <c r="AA169">
        <v>3</v>
      </c>
      <c r="AB169" t="s">
        <v>79</v>
      </c>
      <c r="AC169">
        <v>0</v>
      </c>
      <c r="AD169">
        <v>0</v>
      </c>
      <c r="AE169" t="s">
        <v>79</v>
      </c>
      <c r="AF169">
        <v>64000</v>
      </c>
      <c r="AG169">
        <v>12800</v>
      </c>
      <c r="AH169">
        <v>6400</v>
      </c>
      <c r="AI169">
        <v>44800</v>
      </c>
      <c r="AJ169" t="s">
        <v>54</v>
      </c>
      <c r="AK169">
        <v>95</v>
      </c>
      <c r="AL169">
        <v>1999</v>
      </c>
      <c r="AM169" t="s">
        <v>82</v>
      </c>
      <c r="AN169" s="2">
        <f t="shared" si="14"/>
        <v>46.945257428720232</v>
      </c>
      <c r="AO169">
        <f t="shared" si="15"/>
        <v>-62637.71</v>
      </c>
      <c r="AP169" s="2">
        <f t="shared" si="16"/>
        <v>2.128544866486461E-2</v>
      </c>
      <c r="AQ169" s="2">
        <f t="shared" si="20"/>
        <v>16</v>
      </c>
      <c r="AR169">
        <f t="shared" si="17"/>
        <v>298</v>
      </c>
      <c r="AS169" t="str">
        <f t="shared" si="18"/>
        <v>High Claim Ratio</v>
      </c>
      <c r="AT169" t="str">
        <f t="shared" si="19"/>
        <v>High Profit</v>
      </c>
    </row>
    <row r="170" spans="1:46" x14ac:dyDescent="0.2">
      <c r="A170">
        <v>276</v>
      </c>
      <c r="B170">
        <v>46</v>
      </c>
      <c r="C170">
        <v>140880</v>
      </c>
      <c r="D170" s="1">
        <v>38440</v>
      </c>
      <c r="E170" t="s">
        <v>83</v>
      </c>
      <c r="F170" t="s">
        <v>40</v>
      </c>
      <c r="G170">
        <v>500</v>
      </c>
      <c r="H170">
        <v>1448.84</v>
      </c>
      <c r="I170">
        <v>0</v>
      </c>
      <c r="J170">
        <v>430987</v>
      </c>
      <c r="K170" t="s">
        <v>70</v>
      </c>
      <c r="L170" t="s">
        <v>124</v>
      </c>
      <c r="M170" t="s">
        <v>58</v>
      </c>
      <c r="N170" t="s">
        <v>98</v>
      </c>
      <c r="O170" t="s">
        <v>45</v>
      </c>
      <c r="P170">
        <v>0</v>
      </c>
      <c r="Q170">
        <v>-50000</v>
      </c>
      <c r="R170" s="1">
        <v>42056</v>
      </c>
      <c r="S170" t="s">
        <v>138</v>
      </c>
      <c r="T170" t="s">
        <v>62</v>
      </c>
      <c r="U170" t="s">
        <v>212</v>
      </c>
      <c r="V170" t="s">
        <v>49</v>
      </c>
      <c r="W170" t="s">
        <v>50</v>
      </c>
      <c r="X170" t="s">
        <v>122</v>
      </c>
      <c r="Y170" t="s">
        <v>346</v>
      </c>
      <c r="Z170">
        <v>7</v>
      </c>
      <c r="AA170">
        <v>1</v>
      </c>
      <c r="AB170" t="s">
        <v>62</v>
      </c>
      <c r="AC170">
        <v>0</v>
      </c>
      <c r="AD170">
        <v>1</v>
      </c>
      <c r="AE170" t="s">
        <v>79</v>
      </c>
      <c r="AF170">
        <v>5940</v>
      </c>
      <c r="AG170">
        <v>660</v>
      </c>
      <c r="AH170">
        <v>660</v>
      </c>
      <c r="AI170">
        <v>4620</v>
      </c>
      <c r="AJ170" t="s">
        <v>115</v>
      </c>
      <c r="AK170" t="s">
        <v>140</v>
      </c>
      <c r="AL170">
        <v>2015</v>
      </c>
      <c r="AM170" t="s">
        <v>82</v>
      </c>
      <c r="AN170" s="2">
        <f t="shared" si="14"/>
        <v>4.0970038073166695</v>
      </c>
      <c r="AO170">
        <f t="shared" si="15"/>
        <v>-4491.16</v>
      </c>
      <c r="AP170" s="2">
        <f t="shared" si="16"/>
        <v>0.24387140212085506</v>
      </c>
      <c r="AQ170" s="2">
        <f t="shared" si="20"/>
        <v>0</v>
      </c>
      <c r="AR170">
        <f t="shared" si="17"/>
        <v>276</v>
      </c>
      <c r="AS170" t="str">
        <f t="shared" si="18"/>
        <v>Low Claim Ratio</v>
      </c>
      <c r="AT170" t="str">
        <f t="shared" si="19"/>
        <v>Low Profit</v>
      </c>
    </row>
    <row r="171" spans="1:46" x14ac:dyDescent="0.2">
      <c r="A171">
        <v>47</v>
      </c>
      <c r="B171">
        <v>37</v>
      </c>
      <c r="C171">
        <v>962591</v>
      </c>
      <c r="D171" s="1">
        <v>39523</v>
      </c>
      <c r="E171" t="s">
        <v>57</v>
      </c>
      <c r="F171" t="s">
        <v>40</v>
      </c>
      <c r="G171">
        <v>2000</v>
      </c>
      <c r="H171">
        <v>1241.97</v>
      </c>
      <c r="I171">
        <v>0</v>
      </c>
      <c r="J171">
        <v>430104</v>
      </c>
      <c r="K171" t="s">
        <v>41</v>
      </c>
      <c r="L171" t="s">
        <v>131</v>
      </c>
      <c r="M171" t="s">
        <v>111</v>
      </c>
      <c r="N171" t="s">
        <v>146</v>
      </c>
      <c r="O171" t="s">
        <v>142</v>
      </c>
      <c r="P171">
        <v>75400</v>
      </c>
      <c r="Q171">
        <v>0</v>
      </c>
      <c r="R171" s="1">
        <v>42009</v>
      </c>
      <c r="S171" t="s">
        <v>138</v>
      </c>
      <c r="T171" t="s">
        <v>62</v>
      </c>
      <c r="U171" t="s">
        <v>63</v>
      </c>
      <c r="V171" t="s">
        <v>93</v>
      </c>
      <c r="W171" t="s">
        <v>77</v>
      </c>
      <c r="X171" t="s">
        <v>122</v>
      </c>
      <c r="Y171" t="s">
        <v>347</v>
      </c>
      <c r="Z171">
        <v>18</v>
      </c>
      <c r="AA171">
        <v>1</v>
      </c>
      <c r="AB171" t="s">
        <v>79</v>
      </c>
      <c r="AC171">
        <v>1</v>
      </c>
      <c r="AD171">
        <v>0</v>
      </c>
      <c r="AE171" t="s">
        <v>79</v>
      </c>
      <c r="AF171">
        <v>6700</v>
      </c>
      <c r="AG171">
        <v>670</v>
      </c>
      <c r="AH171">
        <v>670</v>
      </c>
      <c r="AI171">
        <v>5360</v>
      </c>
      <c r="AJ171" t="s">
        <v>197</v>
      </c>
      <c r="AK171" t="s">
        <v>198</v>
      </c>
      <c r="AL171">
        <v>2011</v>
      </c>
      <c r="AM171" t="s">
        <v>82</v>
      </c>
      <c r="AN171" s="2">
        <f t="shared" si="14"/>
        <v>5.3903151323040781</v>
      </c>
      <c r="AO171">
        <f t="shared" si="15"/>
        <v>-5458.03</v>
      </c>
      <c r="AP171" s="2">
        <f t="shared" si="16"/>
        <v>0.18534099388151024</v>
      </c>
      <c r="AQ171" s="2">
        <f t="shared" si="20"/>
        <v>4</v>
      </c>
      <c r="AR171">
        <f t="shared" si="17"/>
        <v>47</v>
      </c>
      <c r="AS171" t="str">
        <f t="shared" si="18"/>
        <v>Medium Claim Ratio</v>
      </c>
      <c r="AT171" t="str">
        <f t="shared" si="19"/>
        <v>High Profit</v>
      </c>
    </row>
    <row r="172" spans="1:46" x14ac:dyDescent="0.2">
      <c r="A172">
        <v>222</v>
      </c>
      <c r="B172">
        <v>42</v>
      </c>
      <c r="C172">
        <v>922565</v>
      </c>
      <c r="D172" s="1">
        <v>36303</v>
      </c>
      <c r="E172" t="s">
        <v>83</v>
      </c>
      <c r="F172" t="s">
        <v>40</v>
      </c>
      <c r="G172">
        <v>500</v>
      </c>
      <c r="H172">
        <v>1124.5999999999999</v>
      </c>
      <c r="I172">
        <v>0</v>
      </c>
      <c r="J172">
        <v>612904</v>
      </c>
      <c r="K172" t="s">
        <v>41</v>
      </c>
      <c r="L172" t="s">
        <v>92</v>
      </c>
      <c r="M172" t="s">
        <v>84</v>
      </c>
      <c r="N172" t="s">
        <v>149</v>
      </c>
      <c r="O172" t="s">
        <v>142</v>
      </c>
      <c r="P172">
        <v>0</v>
      </c>
      <c r="Q172">
        <v>0</v>
      </c>
      <c r="R172" s="1">
        <v>42034</v>
      </c>
      <c r="S172" t="s">
        <v>75</v>
      </c>
      <c r="T172" t="s">
        <v>76</v>
      </c>
      <c r="U172" t="s">
        <v>63</v>
      </c>
      <c r="V172" t="s">
        <v>49</v>
      </c>
      <c r="W172" t="s">
        <v>77</v>
      </c>
      <c r="X172" t="s">
        <v>87</v>
      </c>
      <c r="Y172" t="s">
        <v>348</v>
      </c>
      <c r="Z172">
        <v>23</v>
      </c>
      <c r="AA172">
        <v>3</v>
      </c>
      <c r="AB172" t="s">
        <v>53</v>
      </c>
      <c r="AC172">
        <v>0</v>
      </c>
      <c r="AD172">
        <v>0</v>
      </c>
      <c r="AE172" t="s">
        <v>62</v>
      </c>
      <c r="AF172">
        <v>51740</v>
      </c>
      <c r="AG172">
        <v>11940</v>
      </c>
      <c r="AH172">
        <v>7960</v>
      </c>
      <c r="AI172">
        <v>31840</v>
      </c>
      <c r="AJ172" t="s">
        <v>197</v>
      </c>
      <c r="AK172" t="s">
        <v>198</v>
      </c>
      <c r="AL172">
        <v>2006</v>
      </c>
      <c r="AM172" t="s">
        <v>82</v>
      </c>
      <c r="AN172" s="2">
        <f t="shared" si="14"/>
        <v>45.966595593461271</v>
      </c>
      <c r="AO172">
        <f t="shared" si="15"/>
        <v>-50615.4</v>
      </c>
      <c r="AP172" s="2">
        <f t="shared" si="16"/>
        <v>2.1735180997661429E-2</v>
      </c>
      <c r="AQ172" s="2">
        <f t="shared" si="20"/>
        <v>9</v>
      </c>
      <c r="AR172">
        <f t="shared" si="17"/>
        <v>222</v>
      </c>
      <c r="AS172" t="str">
        <f t="shared" si="18"/>
        <v>High Claim Ratio</v>
      </c>
      <c r="AT172" t="str">
        <f t="shared" si="19"/>
        <v>High Profit</v>
      </c>
    </row>
    <row r="173" spans="1:46" x14ac:dyDescent="0.2">
      <c r="A173">
        <v>119</v>
      </c>
      <c r="B173">
        <v>28</v>
      </c>
      <c r="C173">
        <v>288580</v>
      </c>
      <c r="D173" s="1">
        <v>41235</v>
      </c>
      <c r="E173" t="s">
        <v>39</v>
      </c>
      <c r="F173" t="s">
        <v>40</v>
      </c>
      <c r="G173">
        <v>2000</v>
      </c>
      <c r="H173">
        <v>1079.92</v>
      </c>
      <c r="I173">
        <v>0</v>
      </c>
      <c r="J173">
        <v>430886</v>
      </c>
      <c r="K173" t="s">
        <v>41</v>
      </c>
      <c r="L173" t="s">
        <v>131</v>
      </c>
      <c r="M173" t="s">
        <v>58</v>
      </c>
      <c r="N173" t="s">
        <v>149</v>
      </c>
      <c r="O173" t="s">
        <v>45</v>
      </c>
      <c r="P173">
        <v>88800</v>
      </c>
      <c r="Q173">
        <v>0</v>
      </c>
      <c r="R173" s="1">
        <v>42061</v>
      </c>
      <c r="S173" t="s">
        <v>46</v>
      </c>
      <c r="T173" t="s">
        <v>76</v>
      </c>
      <c r="U173" t="s">
        <v>107</v>
      </c>
      <c r="V173" t="s">
        <v>136</v>
      </c>
      <c r="W173" t="s">
        <v>175</v>
      </c>
      <c r="X173" t="s">
        <v>65</v>
      </c>
      <c r="Y173" t="s">
        <v>349</v>
      </c>
      <c r="Z173">
        <v>1</v>
      </c>
      <c r="AA173">
        <v>1</v>
      </c>
      <c r="AB173" t="s">
        <v>62</v>
      </c>
      <c r="AC173">
        <v>0</v>
      </c>
      <c r="AD173">
        <v>1</v>
      </c>
      <c r="AE173" t="s">
        <v>53</v>
      </c>
      <c r="AF173">
        <v>53600</v>
      </c>
      <c r="AG173">
        <v>6700</v>
      </c>
      <c r="AH173">
        <v>6700</v>
      </c>
      <c r="AI173">
        <v>40200</v>
      </c>
      <c r="AJ173" t="s">
        <v>214</v>
      </c>
      <c r="AK173" t="s">
        <v>258</v>
      </c>
      <c r="AL173">
        <v>2007</v>
      </c>
      <c r="AM173" t="s">
        <v>56</v>
      </c>
      <c r="AN173" s="2">
        <f t="shared" si="14"/>
        <v>49.587388520889611</v>
      </c>
      <c r="AO173">
        <f t="shared" si="15"/>
        <v>-52520.08</v>
      </c>
      <c r="AP173" s="2">
        <f t="shared" si="16"/>
        <v>2.0147385309975563E-2</v>
      </c>
      <c r="AQ173" s="2">
        <f t="shared" si="20"/>
        <v>8</v>
      </c>
      <c r="AR173">
        <f t="shared" si="17"/>
        <v>119</v>
      </c>
      <c r="AS173" t="str">
        <f t="shared" si="18"/>
        <v>High Claim Ratio</v>
      </c>
      <c r="AT173" t="str">
        <f t="shared" si="19"/>
        <v>High Profit</v>
      </c>
    </row>
    <row r="174" spans="1:46" x14ac:dyDescent="0.2">
      <c r="A174">
        <v>73</v>
      </c>
      <c r="B174">
        <v>29</v>
      </c>
      <c r="C174">
        <v>154280</v>
      </c>
      <c r="D174" s="1">
        <v>33998</v>
      </c>
      <c r="E174" t="s">
        <v>83</v>
      </c>
      <c r="F174" t="s">
        <v>40</v>
      </c>
      <c r="G174">
        <v>1000</v>
      </c>
      <c r="H174">
        <v>1447.78</v>
      </c>
      <c r="I174">
        <v>0</v>
      </c>
      <c r="J174">
        <v>467947</v>
      </c>
      <c r="K174" t="s">
        <v>41</v>
      </c>
      <c r="L174" t="s">
        <v>141</v>
      </c>
      <c r="M174" t="s">
        <v>135</v>
      </c>
      <c r="N174" t="s">
        <v>73</v>
      </c>
      <c r="O174" t="s">
        <v>119</v>
      </c>
      <c r="P174">
        <v>35100</v>
      </c>
      <c r="Q174">
        <v>-59900</v>
      </c>
      <c r="R174" s="1">
        <v>42014</v>
      </c>
      <c r="S174" t="s">
        <v>75</v>
      </c>
      <c r="T174" t="s">
        <v>76</v>
      </c>
      <c r="U174" t="s">
        <v>107</v>
      </c>
      <c r="V174" t="s">
        <v>120</v>
      </c>
      <c r="W174" t="s">
        <v>50</v>
      </c>
      <c r="X174" t="s">
        <v>87</v>
      </c>
      <c r="Y174" t="s">
        <v>350</v>
      </c>
      <c r="Z174">
        <v>15</v>
      </c>
      <c r="AA174">
        <v>3</v>
      </c>
      <c r="AB174" t="s">
        <v>53</v>
      </c>
      <c r="AC174">
        <v>1</v>
      </c>
      <c r="AD174">
        <v>0</v>
      </c>
      <c r="AE174" t="s">
        <v>62</v>
      </c>
      <c r="AF174">
        <v>44910</v>
      </c>
      <c r="AG174">
        <v>4990</v>
      </c>
      <c r="AH174">
        <v>4990</v>
      </c>
      <c r="AI174">
        <v>34930</v>
      </c>
      <c r="AJ174" t="s">
        <v>80</v>
      </c>
      <c r="AK174" t="s">
        <v>144</v>
      </c>
      <c r="AL174">
        <v>2001</v>
      </c>
      <c r="AM174" t="s">
        <v>82</v>
      </c>
      <c r="AN174" s="2">
        <f t="shared" si="14"/>
        <v>30.998495285688648</v>
      </c>
      <c r="AO174">
        <f t="shared" si="15"/>
        <v>-43462.22</v>
      </c>
      <c r="AP174" s="2">
        <f t="shared" si="16"/>
        <v>3.223664581060319E-2</v>
      </c>
      <c r="AQ174" s="2">
        <f t="shared" si="20"/>
        <v>14</v>
      </c>
      <c r="AR174">
        <f t="shared" si="17"/>
        <v>73</v>
      </c>
      <c r="AS174" t="str">
        <f t="shared" si="18"/>
        <v>High Claim Ratio</v>
      </c>
      <c r="AT174" t="str">
        <f t="shared" si="19"/>
        <v>High Profit</v>
      </c>
    </row>
    <row r="175" spans="1:46" x14ac:dyDescent="0.2">
      <c r="A175">
        <v>8</v>
      </c>
      <c r="B175">
        <v>31</v>
      </c>
      <c r="C175">
        <v>425973</v>
      </c>
      <c r="D175" s="1">
        <v>37663</v>
      </c>
      <c r="E175" t="s">
        <v>57</v>
      </c>
      <c r="F175" t="s">
        <v>40</v>
      </c>
      <c r="G175">
        <v>500</v>
      </c>
      <c r="H175">
        <v>1229.1600000000001</v>
      </c>
      <c r="I175">
        <v>4000000</v>
      </c>
      <c r="J175">
        <v>604804</v>
      </c>
      <c r="K175" t="s">
        <v>70</v>
      </c>
      <c r="L175" t="s">
        <v>42</v>
      </c>
      <c r="M175" t="s">
        <v>145</v>
      </c>
      <c r="N175" t="s">
        <v>170</v>
      </c>
      <c r="O175" t="s">
        <v>119</v>
      </c>
      <c r="P175">
        <v>0</v>
      </c>
      <c r="Q175">
        <v>-88300</v>
      </c>
      <c r="R175" s="1">
        <v>42058</v>
      </c>
      <c r="S175" t="s">
        <v>75</v>
      </c>
      <c r="T175" t="s">
        <v>86</v>
      </c>
      <c r="U175" t="s">
        <v>48</v>
      </c>
      <c r="V175" t="s">
        <v>99</v>
      </c>
      <c r="W175" t="s">
        <v>175</v>
      </c>
      <c r="X175" t="s">
        <v>122</v>
      </c>
      <c r="Y175" t="s">
        <v>351</v>
      </c>
      <c r="Z175">
        <v>2</v>
      </c>
      <c r="AA175">
        <v>3</v>
      </c>
      <c r="AB175" t="s">
        <v>62</v>
      </c>
      <c r="AC175">
        <v>0</v>
      </c>
      <c r="AD175">
        <v>2</v>
      </c>
      <c r="AE175" t="s">
        <v>53</v>
      </c>
      <c r="AF175">
        <v>48100</v>
      </c>
      <c r="AG175">
        <v>11100</v>
      </c>
      <c r="AH175">
        <v>7400</v>
      </c>
      <c r="AI175">
        <v>29600</v>
      </c>
      <c r="AJ175" t="s">
        <v>214</v>
      </c>
      <c r="AK175" t="s">
        <v>258</v>
      </c>
      <c r="AL175">
        <v>2014</v>
      </c>
      <c r="AM175" t="s">
        <v>82</v>
      </c>
      <c r="AN175" s="2">
        <f t="shared" si="14"/>
        <v>39.100604799375688</v>
      </c>
      <c r="AO175">
        <f t="shared" si="15"/>
        <v>-46870.84</v>
      </c>
      <c r="AP175" s="2">
        <f t="shared" si="16"/>
        <v>2.5553730691669614E-2</v>
      </c>
      <c r="AQ175" s="2">
        <f t="shared" si="20"/>
        <v>1</v>
      </c>
      <c r="AR175">
        <f t="shared" si="17"/>
        <v>8</v>
      </c>
      <c r="AS175" t="str">
        <f t="shared" si="18"/>
        <v>High Claim Ratio</v>
      </c>
      <c r="AT175" t="str">
        <f t="shared" si="19"/>
        <v>High Profit</v>
      </c>
    </row>
    <row r="176" spans="1:46" x14ac:dyDescent="0.2">
      <c r="A176">
        <v>294</v>
      </c>
      <c r="B176">
        <v>44</v>
      </c>
      <c r="C176">
        <v>477177</v>
      </c>
      <c r="D176" s="1">
        <v>33100</v>
      </c>
      <c r="E176" t="s">
        <v>83</v>
      </c>
      <c r="F176" t="s">
        <v>69</v>
      </c>
      <c r="G176">
        <v>1000</v>
      </c>
      <c r="H176">
        <v>1226.49</v>
      </c>
      <c r="I176">
        <v>0</v>
      </c>
      <c r="J176">
        <v>460308</v>
      </c>
      <c r="K176" t="s">
        <v>70</v>
      </c>
      <c r="L176" t="s">
        <v>71</v>
      </c>
      <c r="M176" t="s">
        <v>189</v>
      </c>
      <c r="N176" t="s">
        <v>170</v>
      </c>
      <c r="O176" t="s">
        <v>85</v>
      </c>
      <c r="P176">
        <v>53900</v>
      </c>
      <c r="Q176">
        <v>0</v>
      </c>
      <c r="R176" s="1">
        <v>42040</v>
      </c>
      <c r="S176" t="s">
        <v>61</v>
      </c>
      <c r="T176" t="s">
        <v>62</v>
      </c>
      <c r="U176" t="s">
        <v>212</v>
      </c>
      <c r="V176" t="s">
        <v>93</v>
      </c>
      <c r="W176" t="s">
        <v>113</v>
      </c>
      <c r="X176" t="s">
        <v>65</v>
      </c>
      <c r="Y176" t="s">
        <v>352</v>
      </c>
      <c r="Z176">
        <v>3</v>
      </c>
      <c r="AA176">
        <v>1</v>
      </c>
      <c r="AB176" t="s">
        <v>79</v>
      </c>
      <c r="AC176">
        <v>0</v>
      </c>
      <c r="AD176">
        <v>1</v>
      </c>
      <c r="AE176" t="s">
        <v>79</v>
      </c>
      <c r="AF176">
        <v>6100</v>
      </c>
      <c r="AG176">
        <v>610</v>
      </c>
      <c r="AH176">
        <v>1220</v>
      </c>
      <c r="AI176">
        <v>4270</v>
      </c>
      <c r="AJ176" t="s">
        <v>129</v>
      </c>
      <c r="AK176" t="s">
        <v>249</v>
      </c>
      <c r="AL176">
        <v>2002</v>
      </c>
      <c r="AM176" t="s">
        <v>82</v>
      </c>
      <c r="AN176" s="2">
        <f t="shared" si="14"/>
        <v>4.9694905864813563</v>
      </c>
      <c r="AO176">
        <f t="shared" si="15"/>
        <v>-4873.51</v>
      </c>
      <c r="AP176" s="2">
        <f t="shared" si="16"/>
        <v>0.20103097852811014</v>
      </c>
      <c r="AQ176" s="2">
        <f t="shared" si="20"/>
        <v>13</v>
      </c>
      <c r="AR176">
        <f t="shared" si="17"/>
        <v>294</v>
      </c>
      <c r="AS176" t="str">
        <f t="shared" si="18"/>
        <v>Low Claim Ratio</v>
      </c>
      <c r="AT176" t="str">
        <f t="shared" si="19"/>
        <v>Low Profit</v>
      </c>
    </row>
    <row r="177" spans="1:46" x14ac:dyDescent="0.2">
      <c r="A177">
        <v>324</v>
      </c>
      <c r="B177">
        <v>46</v>
      </c>
      <c r="C177">
        <v>648509</v>
      </c>
      <c r="D177" s="1">
        <v>40243</v>
      </c>
      <c r="E177" t="s">
        <v>57</v>
      </c>
      <c r="F177" t="s">
        <v>69</v>
      </c>
      <c r="G177">
        <v>2000</v>
      </c>
      <c r="H177">
        <v>897.89</v>
      </c>
      <c r="I177">
        <v>6000000</v>
      </c>
      <c r="J177">
        <v>618862</v>
      </c>
      <c r="K177" t="s">
        <v>41</v>
      </c>
      <c r="L177" t="s">
        <v>42</v>
      </c>
      <c r="M177" t="s">
        <v>97</v>
      </c>
      <c r="N177" t="s">
        <v>73</v>
      </c>
      <c r="O177" t="s">
        <v>119</v>
      </c>
      <c r="P177">
        <v>0</v>
      </c>
      <c r="Q177">
        <v>-41300</v>
      </c>
      <c r="R177" s="1">
        <v>42025</v>
      </c>
      <c r="S177" t="s">
        <v>46</v>
      </c>
      <c r="T177" t="s">
        <v>76</v>
      </c>
      <c r="U177" t="s">
        <v>63</v>
      </c>
      <c r="V177" t="s">
        <v>120</v>
      </c>
      <c r="W177" t="s">
        <v>175</v>
      </c>
      <c r="X177" t="s">
        <v>122</v>
      </c>
      <c r="Y177" t="s">
        <v>353</v>
      </c>
      <c r="Z177">
        <v>13</v>
      </c>
      <c r="AA177">
        <v>1</v>
      </c>
      <c r="AB177" t="s">
        <v>62</v>
      </c>
      <c r="AC177">
        <v>1</v>
      </c>
      <c r="AD177">
        <v>0</v>
      </c>
      <c r="AE177" t="s">
        <v>53</v>
      </c>
      <c r="AF177">
        <v>79600</v>
      </c>
      <c r="AG177">
        <v>15920</v>
      </c>
      <c r="AH177">
        <v>15920</v>
      </c>
      <c r="AI177">
        <v>47760</v>
      </c>
      <c r="AJ177" t="s">
        <v>197</v>
      </c>
      <c r="AK177" t="s">
        <v>198</v>
      </c>
      <c r="AL177">
        <v>2011</v>
      </c>
      <c r="AM177" t="s">
        <v>82</v>
      </c>
      <c r="AN177" s="2">
        <f t="shared" si="14"/>
        <v>88.55366062588304</v>
      </c>
      <c r="AO177">
        <f t="shared" si="15"/>
        <v>-78702.11</v>
      </c>
      <c r="AP177" s="2">
        <f t="shared" si="16"/>
        <v>1.1279883418550019E-2</v>
      </c>
      <c r="AQ177" s="2">
        <f t="shared" si="20"/>
        <v>4</v>
      </c>
      <c r="AR177">
        <f t="shared" si="17"/>
        <v>324</v>
      </c>
      <c r="AS177" t="str">
        <f t="shared" si="18"/>
        <v>High Claim Ratio</v>
      </c>
      <c r="AT177" t="str">
        <f t="shared" si="19"/>
        <v>High Profit</v>
      </c>
    </row>
    <row r="178" spans="1:46" x14ac:dyDescent="0.2">
      <c r="A178">
        <v>155</v>
      </c>
      <c r="B178">
        <v>34</v>
      </c>
      <c r="C178">
        <v>914815</v>
      </c>
      <c r="D178" s="1">
        <v>33143</v>
      </c>
      <c r="E178" t="s">
        <v>57</v>
      </c>
      <c r="F178" t="s">
        <v>69</v>
      </c>
      <c r="G178">
        <v>500</v>
      </c>
      <c r="H178">
        <v>1706.79</v>
      </c>
      <c r="I178">
        <v>0</v>
      </c>
      <c r="J178">
        <v>462479</v>
      </c>
      <c r="K178" t="s">
        <v>41</v>
      </c>
      <c r="L178" t="s">
        <v>124</v>
      </c>
      <c r="M178" t="s">
        <v>135</v>
      </c>
      <c r="N178" t="s">
        <v>126</v>
      </c>
      <c r="O178" t="s">
        <v>60</v>
      </c>
      <c r="P178">
        <v>0</v>
      </c>
      <c r="Q178">
        <v>0</v>
      </c>
      <c r="R178" s="1">
        <v>42011</v>
      </c>
      <c r="S178" t="s">
        <v>46</v>
      </c>
      <c r="T178" t="s">
        <v>86</v>
      </c>
      <c r="U178" t="s">
        <v>63</v>
      </c>
      <c r="V178" t="s">
        <v>136</v>
      </c>
      <c r="W178" t="s">
        <v>39</v>
      </c>
      <c r="X178" t="s">
        <v>122</v>
      </c>
      <c r="Y178" t="s">
        <v>354</v>
      </c>
      <c r="Z178">
        <v>1</v>
      </c>
      <c r="AA178">
        <v>1</v>
      </c>
      <c r="AB178" t="s">
        <v>79</v>
      </c>
      <c r="AC178">
        <v>1</v>
      </c>
      <c r="AD178">
        <v>1</v>
      </c>
      <c r="AE178" t="s">
        <v>53</v>
      </c>
      <c r="AF178">
        <v>77040</v>
      </c>
      <c r="AG178">
        <v>8560</v>
      </c>
      <c r="AH178">
        <v>8560</v>
      </c>
      <c r="AI178">
        <v>59920</v>
      </c>
      <c r="AJ178" t="s">
        <v>209</v>
      </c>
      <c r="AK178" t="s">
        <v>210</v>
      </c>
      <c r="AL178">
        <v>1998</v>
      </c>
      <c r="AM178" t="s">
        <v>82</v>
      </c>
      <c r="AN178" s="2">
        <f t="shared" si="14"/>
        <v>45.110932843031051</v>
      </c>
      <c r="AO178">
        <f t="shared" si="15"/>
        <v>-75333.210000000006</v>
      </c>
      <c r="AP178" s="2">
        <f t="shared" si="16"/>
        <v>2.2154307446684233E-2</v>
      </c>
      <c r="AQ178" s="2">
        <f t="shared" si="20"/>
        <v>17</v>
      </c>
      <c r="AR178">
        <f t="shared" si="17"/>
        <v>155</v>
      </c>
      <c r="AS178" t="str">
        <f t="shared" si="18"/>
        <v>High Claim Ratio</v>
      </c>
      <c r="AT178" t="str">
        <f t="shared" si="19"/>
        <v>High Profit</v>
      </c>
    </row>
    <row r="179" spans="1:46" x14ac:dyDescent="0.2">
      <c r="A179">
        <v>261</v>
      </c>
      <c r="B179">
        <v>45</v>
      </c>
      <c r="C179">
        <v>249048</v>
      </c>
      <c r="D179" s="1">
        <v>38520</v>
      </c>
      <c r="E179" t="s">
        <v>83</v>
      </c>
      <c r="F179" t="s">
        <v>40</v>
      </c>
      <c r="G179">
        <v>1000</v>
      </c>
      <c r="H179">
        <v>1254.18</v>
      </c>
      <c r="I179">
        <v>0</v>
      </c>
      <c r="J179">
        <v>457555</v>
      </c>
      <c r="K179" t="s">
        <v>70</v>
      </c>
      <c r="L179" t="s">
        <v>71</v>
      </c>
      <c r="M179" t="s">
        <v>101</v>
      </c>
      <c r="N179" t="s">
        <v>170</v>
      </c>
      <c r="O179" t="s">
        <v>60</v>
      </c>
      <c r="P179">
        <v>0</v>
      </c>
      <c r="Q179">
        <v>-45100</v>
      </c>
      <c r="R179" s="1">
        <v>42015</v>
      </c>
      <c r="S179" t="s">
        <v>46</v>
      </c>
      <c r="T179" t="s">
        <v>76</v>
      </c>
      <c r="U179" t="s">
        <v>63</v>
      </c>
      <c r="V179" t="s">
        <v>99</v>
      </c>
      <c r="W179" t="s">
        <v>50</v>
      </c>
      <c r="X179" t="s">
        <v>51</v>
      </c>
      <c r="Y179" t="s">
        <v>355</v>
      </c>
      <c r="Z179">
        <v>16</v>
      </c>
      <c r="AA179">
        <v>1</v>
      </c>
      <c r="AB179" t="s">
        <v>53</v>
      </c>
      <c r="AC179">
        <v>0</v>
      </c>
      <c r="AD179">
        <v>1</v>
      </c>
      <c r="AE179" t="s">
        <v>62</v>
      </c>
      <c r="AF179">
        <v>62590</v>
      </c>
      <c r="AG179">
        <v>11380</v>
      </c>
      <c r="AH179">
        <v>11380</v>
      </c>
      <c r="AI179">
        <v>39830</v>
      </c>
      <c r="AJ179" t="s">
        <v>214</v>
      </c>
      <c r="AK179" t="s">
        <v>258</v>
      </c>
      <c r="AL179">
        <v>2003</v>
      </c>
      <c r="AM179" t="s">
        <v>82</v>
      </c>
      <c r="AN179" s="2">
        <f t="shared" si="14"/>
        <v>49.865357956627733</v>
      </c>
      <c r="AO179">
        <f t="shared" si="15"/>
        <v>-61335.82</v>
      </c>
      <c r="AP179" s="2">
        <f t="shared" si="16"/>
        <v>2.0037705101372403E-2</v>
      </c>
      <c r="AQ179" s="2">
        <f t="shared" si="20"/>
        <v>12</v>
      </c>
      <c r="AR179">
        <f t="shared" si="17"/>
        <v>261</v>
      </c>
      <c r="AS179" t="str">
        <f t="shared" si="18"/>
        <v>High Claim Ratio</v>
      </c>
      <c r="AT179" t="str">
        <f t="shared" si="19"/>
        <v>High Profit</v>
      </c>
    </row>
    <row r="180" spans="1:46" x14ac:dyDescent="0.2">
      <c r="A180">
        <v>245</v>
      </c>
      <c r="B180">
        <v>40</v>
      </c>
      <c r="C180">
        <v>144323</v>
      </c>
      <c r="D180" s="1">
        <v>37148</v>
      </c>
      <c r="E180" t="s">
        <v>57</v>
      </c>
      <c r="F180" t="s">
        <v>91</v>
      </c>
      <c r="G180">
        <v>500</v>
      </c>
      <c r="H180">
        <v>885.08</v>
      </c>
      <c r="I180">
        <v>0</v>
      </c>
      <c r="J180">
        <v>459984</v>
      </c>
      <c r="K180" t="s">
        <v>70</v>
      </c>
      <c r="L180" t="s">
        <v>124</v>
      </c>
      <c r="M180" t="s">
        <v>84</v>
      </c>
      <c r="N180" t="s">
        <v>132</v>
      </c>
      <c r="O180" t="s">
        <v>60</v>
      </c>
      <c r="P180">
        <v>27000</v>
      </c>
      <c r="Q180">
        <v>-58900</v>
      </c>
      <c r="R180" s="1">
        <v>42041</v>
      </c>
      <c r="S180" t="s">
        <v>46</v>
      </c>
      <c r="T180" t="s">
        <v>86</v>
      </c>
      <c r="U180" t="s">
        <v>107</v>
      </c>
      <c r="V180" t="s">
        <v>120</v>
      </c>
      <c r="W180" t="s">
        <v>113</v>
      </c>
      <c r="X180" t="s">
        <v>127</v>
      </c>
      <c r="Y180" t="s">
        <v>356</v>
      </c>
      <c r="Z180">
        <v>0</v>
      </c>
      <c r="AA180">
        <v>1</v>
      </c>
      <c r="AB180" t="s">
        <v>53</v>
      </c>
      <c r="AC180">
        <v>0</v>
      </c>
      <c r="AD180">
        <v>1</v>
      </c>
      <c r="AE180" t="s">
        <v>79</v>
      </c>
      <c r="AF180">
        <v>85150</v>
      </c>
      <c r="AG180">
        <v>13100</v>
      </c>
      <c r="AH180">
        <v>13100</v>
      </c>
      <c r="AI180">
        <v>58950</v>
      </c>
      <c r="AJ180" t="s">
        <v>89</v>
      </c>
      <c r="AK180" t="s">
        <v>245</v>
      </c>
      <c r="AL180">
        <v>1998</v>
      </c>
      <c r="AM180" t="s">
        <v>82</v>
      </c>
      <c r="AN180" s="2">
        <f t="shared" si="14"/>
        <v>96.097417840375584</v>
      </c>
      <c r="AO180">
        <f t="shared" si="15"/>
        <v>-84264.92</v>
      </c>
      <c r="AP180" s="2">
        <f t="shared" si="16"/>
        <v>1.0394240819250508E-2</v>
      </c>
      <c r="AQ180" s="2">
        <f t="shared" si="20"/>
        <v>17</v>
      </c>
      <c r="AR180">
        <f t="shared" si="17"/>
        <v>245</v>
      </c>
      <c r="AS180" t="str">
        <f t="shared" si="18"/>
        <v>High Claim Ratio</v>
      </c>
      <c r="AT180" t="str">
        <f t="shared" si="19"/>
        <v>High Profit</v>
      </c>
    </row>
    <row r="181" spans="1:46" x14ac:dyDescent="0.2">
      <c r="A181">
        <v>235</v>
      </c>
      <c r="B181">
        <v>39</v>
      </c>
      <c r="C181">
        <v>651861</v>
      </c>
      <c r="D181" s="1">
        <v>40550</v>
      </c>
      <c r="E181" t="s">
        <v>83</v>
      </c>
      <c r="F181" t="s">
        <v>69</v>
      </c>
      <c r="G181">
        <v>500</v>
      </c>
      <c r="H181">
        <v>1046.58</v>
      </c>
      <c r="I181">
        <v>4000000</v>
      </c>
      <c r="J181">
        <v>434982</v>
      </c>
      <c r="K181" t="s">
        <v>41</v>
      </c>
      <c r="L181" t="s">
        <v>42</v>
      </c>
      <c r="M181" t="s">
        <v>97</v>
      </c>
      <c r="N181" t="s">
        <v>264</v>
      </c>
      <c r="O181" t="s">
        <v>119</v>
      </c>
      <c r="P181">
        <v>0</v>
      </c>
      <c r="Q181">
        <v>-31700</v>
      </c>
      <c r="R181" s="1">
        <v>42028</v>
      </c>
      <c r="S181" t="s">
        <v>61</v>
      </c>
      <c r="T181" t="s">
        <v>62</v>
      </c>
      <c r="U181" t="s">
        <v>212</v>
      </c>
      <c r="V181" t="s">
        <v>93</v>
      </c>
      <c r="W181" t="s">
        <v>77</v>
      </c>
      <c r="X181" t="s">
        <v>122</v>
      </c>
      <c r="Y181" t="s">
        <v>357</v>
      </c>
      <c r="Z181">
        <v>1</v>
      </c>
      <c r="AA181">
        <v>1</v>
      </c>
      <c r="AB181" t="s">
        <v>62</v>
      </c>
      <c r="AC181">
        <v>2</v>
      </c>
      <c r="AD181">
        <v>1</v>
      </c>
      <c r="AE181" t="s">
        <v>79</v>
      </c>
      <c r="AF181">
        <v>4950</v>
      </c>
      <c r="AG181">
        <v>450</v>
      </c>
      <c r="AH181">
        <v>900</v>
      </c>
      <c r="AI181">
        <v>3600</v>
      </c>
      <c r="AJ181" t="s">
        <v>89</v>
      </c>
      <c r="AK181" t="s">
        <v>223</v>
      </c>
      <c r="AL181">
        <v>2010</v>
      </c>
      <c r="AM181" t="s">
        <v>82</v>
      </c>
      <c r="AN181" s="2">
        <f t="shared" si="14"/>
        <v>4.7251761202008442</v>
      </c>
      <c r="AO181">
        <f t="shared" si="15"/>
        <v>-3903.42</v>
      </c>
      <c r="AP181" s="2">
        <f t="shared" si="16"/>
        <v>0.21138759846495656</v>
      </c>
      <c r="AQ181" s="2">
        <f t="shared" si="20"/>
        <v>5</v>
      </c>
      <c r="AR181">
        <f t="shared" si="17"/>
        <v>235</v>
      </c>
      <c r="AS181" t="str">
        <f t="shared" si="18"/>
        <v>Low Claim Ratio</v>
      </c>
      <c r="AT181" t="str">
        <f t="shared" si="19"/>
        <v>Low Profit</v>
      </c>
    </row>
    <row r="182" spans="1:46" x14ac:dyDescent="0.2">
      <c r="A182">
        <v>53</v>
      </c>
      <c r="B182">
        <v>36</v>
      </c>
      <c r="C182">
        <v>125324</v>
      </c>
      <c r="D182" s="1">
        <v>37877</v>
      </c>
      <c r="E182" t="s">
        <v>39</v>
      </c>
      <c r="F182" t="s">
        <v>91</v>
      </c>
      <c r="G182">
        <v>2000</v>
      </c>
      <c r="H182">
        <v>1712.68</v>
      </c>
      <c r="I182">
        <v>0</v>
      </c>
      <c r="J182">
        <v>614233</v>
      </c>
      <c r="K182" t="s">
        <v>41</v>
      </c>
      <c r="L182" t="s">
        <v>92</v>
      </c>
      <c r="M182" t="s">
        <v>159</v>
      </c>
      <c r="N182" t="s">
        <v>179</v>
      </c>
      <c r="O182" t="s">
        <v>142</v>
      </c>
      <c r="P182">
        <v>72200</v>
      </c>
      <c r="Q182">
        <v>0</v>
      </c>
      <c r="R182" s="1">
        <v>42053</v>
      </c>
      <c r="S182" t="s">
        <v>75</v>
      </c>
      <c r="T182" t="s">
        <v>47</v>
      </c>
      <c r="U182" t="s">
        <v>48</v>
      </c>
      <c r="V182" t="s">
        <v>99</v>
      </c>
      <c r="W182" t="s">
        <v>64</v>
      </c>
      <c r="X182" t="s">
        <v>65</v>
      </c>
      <c r="Y182" t="s">
        <v>358</v>
      </c>
      <c r="Z182">
        <v>17</v>
      </c>
      <c r="AA182">
        <v>3</v>
      </c>
      <c r="AB182" t="s">
        <v>62</v>
      </c>
      <c r="AC182">
        <v>2</v>
      </c>
      <c r="AD182">
        <v>0</v>
      </c>
      <c r="AE182" t="s">
        <v>53</v>
      </c>
      <c r="AF182">
        <v>51100</v>
      </c>
      <c r="AG182">
        <v>10220</v>
      </c>
      <c r="AH182">
        <v>5110</v>
      </c>
      <c r="AI182">
        <v>35770</v>
      </c>
      <c r="AJ182" t="s">
        <v>109</v>
      </c>
      <c r="AK182" t="s">
        <v>134</v>
      </c>
      <c r="AL182">
        <v>2006</v>
      </c>
      <c r="AM182" t="s">
        <v>82</v>
      </c>
      <c r="AN182" s="2">
        <f t="shared" si="14"/>
        <v>29.818869333831287</v>
      </c>
      <c r="AO182">
        <f t="shared" si="15"/>
        <v>-49387.32</v>
      </c>
      <c r="AP182" s="2">
        <f t="shared" si="16"/>
        <v>3.3515586779123696E-2</v>
      </c>
      <c r="AQ182" s="2">
        <f t="shared" si="20"/>
        <v>9</v>
      </c>
      <c r="AR182">
        <f t="shared" si="17"/>
        <v>53</v>
      </c>
      <c r="AS182" t="str">
        <f t="shared" si="18"/>
        <v>High Claim Ratio</v>
      </c>
      <c r="AT182" t="str">
        <f t="shared" si="19"/>
        <v>High Profit</v>
      </c>
    </row>
    <row r="183" spans="1:46" x14ac:dyDescent="0.2">
      <c r="A183">
        <v>426</v>
      </c>
      <c r="B183">
        <v>54</v>
      </c>
      <c r="C183">
        <v>398102</v>
      </c>
      <c r="D183" s="1">
        <v>35727</v>
      </c>
      <c r="E183" t="s">
        <v>83</v>
      </c>
      <c r="F183" t="s">
        <v>91</v>
      </c>
      <c r="G183">
        <v>2000</v>
      </c>
      <c r="H183">
        <v>1097.71</v>
      </c>
      <c r="I183">
        <v>0</v>
      </c>
      <c r="J183">
        <v>605258</v>
      </c>
      <c r="K183" t="s">
        <v>70</v>
      </c>
      <c r="L183" t="s">
        <v>124</v>
      </c>
      <c r="M183" t="s">
        <v>185</v>
      </c>
      <c r="N183" t="s">
        <v>59</v>
      </c>
      <c r="O183" t="s">
        <v>142</v>
      </c>
      <c r="P183">
        <v>29600</v>
      </c>
      <c r="Q183">
        <v>-22300</v>
      </c>
      <c r="R183" s="1">
        <v>42016</v>
      </c>
      <c r="S183" t="s">
        <v>46</v>
      </c>
      <c r="T183" t="s">
        <v>47</v>
      </c>
      <c r="U183" t="s">
        <v>63</v>
      </c>
      <c r="V183" t="s">
        <v>49</v>
      </c>
      <c r="W183" t="s">
        <v>50</v>
      </c>
      <c r="X183" t="s">
        <v>102</v>
      </c>
      <c r="Y183" t="s">
        <v>359</v>
      </c>
      <c r="Z183">
        <v>13</v>
      </c>
      <c r="AA183">
        <v>1</v>
      </c>
      <c r="AB183" t="s">
        <v>53</v>
      </c>
      <c r="AC183">
        <v>2</v>
      </c>
      <c r="AD183">
        <v>3</v>
      </c>
      <c r="AE183" t="s">
        <v>62</v>
      </c>
      <c r="AF183">
        <v>100800</v>
      </c>
      <c r="AG183">
        <v>16800</v>
      </c>
      <c r="AH183">
        <v>16800</v>
      </c>
      <c r="AI183">
        <v>67200</v>
      </c>
      <c r="AJ183" t="s">
        <v>80</v>
      </c>
      <c r="AK183" t="s">
        <v>144</v>
      </c>
      <c r="AL183">
        <v>1997</v>
      </c>
      <c r="AM183" t="s">
        <v>82</v>
      </c>
      <c r="AN183" s="2">
        <f t="shared" si="14"/>
        <v>91.743954273648185</v>
      </c>
      <c r="AO183">
        <f t="shared" si="15"/>
        <v>-99702.29</v>
      </c>
      <c r="AP183" s="2">
        <f t="shared" si="16"/>
        <v>1.0889872124284482E-2</v>
      </c>
      <c r="AQ183" s="2">
        <f t="shared" si="20"/>
        <v>18</v>
      </c>
      <c r="AR183">
        <f t="shared" si="17"/>
        <v>426</v>
      </c>
      <c r="AS183" t="str">
        <f t="shared" si="18"/>
        <v>High Claim Ratio</v>
      </c>
      <c r="AT183" t="str">
        <f t="shared" si="19"/>
        <v>High Profit</v>
      </c>
    </row>
    <row r="184" spans="1:46" x14ac:dyDescent="0.2">
      <c r="A184">
        <v>111</v>
      </c>
      <c r="B184">
        <v>27</v>
      </c>
      <c r="C184">
        <v>514065</v>
      </c>
      <c r="D184" s="1">
        <v>39817</v>
      </c>
      <c r="E184" t="s">
        <v>57</v>
      </c>
      <c r="F184" t="s">
        <v>40</v>
      </c>
      <c r="G184">
        <v>500</v>
      </c>
      <c r="H184">
        <v>1363.77</v>
      </c>
      <c r="I184">
        <v>4000000</v>
      </c>
      <c r="J184">
        <v>604377</v>
      </c>
      <c r="K184" t="s">
        <v>70</v>
      </c>
      <c r="L184" t="s">
        <v>124</v>
      </c>
      <c r="M184" t="s">
        <v>97</v>
      </c>
      <c r="N184" t="s">
        <v>264</v>
      </c>
      <c r="O184" t="s">
        <v>45</v>
      </c>
      <c r="P184">
        <v>51100</v>
      </c>
      <c r="Q184">
        <v>0</v>
      </c>
      <c r="R184" s="1">
        <v>42021</v>
      </c>
      <c r="S184" t="s">
        <v>46</v>
      </c>
      <c r="T184" t="s">
        <v>47</v>
      </c>
      <c r="U184" t="s">
        <v>107</v>
      </c>
      <c r="V184" t="s">
        <v>49</v>
      </c>
      <c r="W184" t="s">
        <v>64</v>
      </c>
      <c r="X184" t="s">
        <v>102</v>
      </c>
      <c r="Y184" t="s">
        <v>360</v>
      </c>
      <c r="Z184">
        <v>12</v>
      </c>
      <c r="AA184">
        <v>1</v>
      </c>
      <c r="AB184" t="s">
        <v>53</v>
      </c>
      <c r="AC184">
        <v>2</v>
      </c>
      <c r="AD184">
        <v>3</v>
      </c>
      <c r="AE184" t="s">
        <v>79</v>
      </c>
      <c r="AF184">
        <v>90970</v>
      </c>
      <c r="AG184">
        <v>16540</v>
      </c>
      <c r="AH184">
        <v>16540</v>
      </c>
      <c r="AI184">
        <v>57890</v>
      </c>
      <c r="AJ184" t="s">
        <v>95</v>
      </c>
      <c r="AK184" t="s">
        <v>96</v>
      </c>
      <c r="AL184">
        <v>2009</v>
      </c>
      <c r="AM184" t="s">
        <v>82</v>
      </c>
      <c r="AN184" s="2">
        <f t="shared" si="14"/>
        <v>66.655920045135815</v>
      </c>
      <c r="AO184">
        <f t="shared" si="15"/>
        <v>-89606.23</v>
      </c>
      <c r="AP184" s="2">
        <f t="shared" si="16"/>
        <v>1.4991260951292169E-2</v>
      </c>
      <c r="AQ184" s="2">
        <f t="shared" si="20"/>
        <v>6</v>
      </c>
      <c r="AR184">
        <f t="shared" si="17"/>
        <v>111</v>
      </c>
      <c r="AS184" t="str">
        <f t="shared" si="18"/>
        <v>High Claim Ratio</v>
      </c>
      <c r="AT184" t="str">
        <f t="shared" si="19"/>
        <v>High Profit</v>
      </c>
    </row>
    <row r="185" spans="1:46" x14ac:dyDescent="0.2">
      <c r="A185">
        <v>86</v>
      </c>
      <c r="B185">
        <v>26</v>
      </c>
      <c r="C185">
        <v>391652</v>
      </c>
      <c r="D185" s="1">
        <v>36080</v>
      </c>
      <c r="E185" t="s">
        <v>39</v>
      </c>
      <c r="F185" t="s">
        <v>69</v>
      </c>
      <c r="G185">
        <v>500</v>
      </c>
      <c r="H185">
        <v>1382.88</v>
      </c>
      <c r="I185">
        <v>7000000</v>
      </c>
      <c r="J185">
        <v>434923</v>
      </c>
      <c r="K185" t="s">
        <v>41</v>
      </c>
      <c r="L185" t="s">
        <v>161</v>
      </c>
      <c r="M185" t="s">
        <v>97</v>
      </c>
      <c r="N185" t="s">
        <v>242</v>
      </c>
      <c r="O185" t="s">
        <v>60</v>
      </c>
      <c r="P185">
        <v>0</v>
      </c>
      <c r="Q185">
        <v>-30300</v>
      </c>
      <c r="R185" s="1">
        <v>42016</v>
      </c>
      <c r="S185" t="s">
        <v>46</v>
      </c>
      <c r="T185" t="s">
        <v>76</v>
      </c>
      <c r="U185" t="s">
        <v>63</v>
      </c>
      <c r="V185" t="s">
        <v>49</v>
      </c>
      <c r="W185" t="s">
        <v>50</v>
      </c>
      <c r="X185" t="s">
        <v>127</v>
      </c>
      <c r="Y185" t="s">
        <v>361</v>
      </c>
      <c r="Z185">
        <v>11</v>
      </c>
      <c r="AA185">
        <v>1</v>
      </c>
      <c r="AB185" t="s">
        <v>62</v>
      </c>
      <c r="AC185">
        <v>1</v>
      </c>
      <c r="AD185">
        <v>1</v>
      </c>
      <c r="AE185" t="s">
        <v>53</v>
      </c>
      <c r="AF185">
        <v>81840</v>
      </c>
      <c r="AG185">
        <v>14880</v>
      </c>
      <c r="AH185">
        <v>7440</v>
      </c>
      <c r="AI185">
        <v>59520</v>
      </c>
      <c r="AJ185" t="s">
        <v>89</v>
      </c>
      <c r="AK185" t="s">
        <v>245</v>
      </c>
      <c r="AL185">
        <v>2011</v>
      </c>
      <c r="AM185" t="s">
        <v>56</v>
      </c>
      <c r="AN185" s="2">
        <f t="shared" si="14"/>
        <v>59.138075555684011</v>
      </c>
      <c r="AO185">
        <f t="shared" si="15"/>
        <v>-80457.119999999995</v>
      </c>
      <c r="AP185" s="2">
        <f t="shared" si="16"/>
        <v>1.6897154238095822E-2</v>
      </c>
      <c r="AQ185" s="2">
        <f t="shared" si="20"/>
        <v>4</v>
      </c>
      <c r="AR185">
        <f t="shared" si="17"/>
        <v>86</v>
      </c>
      <c r="AS185" t="str">
        <f t="shared" si="18"/>
        <v>High Claim Ratio</v>
      </c>
      <c r="AT185" t="str">
        <f t="shared" si="19"/>
        <v>High Profit</v>
      </c>
    </row>
    <row r="186" spans="1:46" x14ac:dyDescent="0.2">
      <c r="A186">
        <v>296</v>
      </c>
      <c r="B186">
        <v>46</v>
      </c>
      <c r="C186">
        <v>922167</v>
      </c>
      <c r="D186" s="1">
        <v>34023</v>
      </c>
      <c r="E186" t="s">
        <v>39</v>
      </c>
      <c r="F186" t="s">
        <v>69</v>
      </c>
      <c r="G186">
        <v>1000</v>
      </c>
      <c r="H186">
        <v>1141.3499999999999</v>
      </c>
      <c r="I186">
        <v>7000000</v>
      </c>
      <c r="J186">
        <v>476456</v>
      </c>
      <c r="K186" t="s">
        <v>41</v>
      </c>
      <c r="L186" t="s">
        <v>124</v>
      </c>
      <c r="M186" t="s">
        <v>43</v>
      </c>
      <c r="N186" t="s">
        <v>44</v>
      </c>
      <c r="O186" t="s">
        <v>142</v>
      </c>
      <c r="P186">
        <v>0</v>
      </c>
      <c r="Q186">
        <v>0</v>
      </c>
      <c r="R186" s="1">
        <v>42010</v>
      </c>
      <c r="S186" t="s">
        <v>46</v>
      </c>
      <c r="T186" t="s">
        <v>86</v>
      </c>
      <c r="U186" t="s">
        <v>48</v>
      </c>
      <c r="V186" t="s">
        <v>136</v>
      </c>
      <c r="W186" t="s">
        <v>77</v>
      </c>
      <c r="X186" t="s">
        <v>127</v>
      </c>
      <c r="Y186" t="s">
        <v>362</v>
      </c>
      <c r="Z186">
        <v>18</v>
      </c>
      <c r="AA186">
        <v>1</v>
      </c>
      <c r="AB186" t="s">
        <v>62</v>
      </c>
      <c r="AC186">
        <v>0</v>
      </c>
      <c r="AD186">
        <v>2</v>
      </c>
      <c r="AE186" t="s">
        <v>79</v>
      </c>
      <c r="AF186">
        <v>54900</v>
      </c>
      <c r="AG186">
        <v>5490</v>
      </c>
      <c r="AH186">
        <v>5490</v>
      </c>
      <c r="AI186">
        <v>43920</v>
      </c>
      <c r="AJ186" t="s">
        <v>67</v>
      </c>
      <c r="AK186" t="s">
        <v>193</v>
      </c>
      <c r="AL186">
        <v>2013</v>
      </c>
      <c r="AM186" t="s">
        <v>82</v>
      </c>
      <c r="AN186" s="2">
        <f t="shared" si="14"/>
        <v>48.058826104083693</v>
      </c>
      <c r="AO186">
        <f t="shared" si="15"/>
        <v>-53758.65</v>
      </c>
      <c r="AP186" s="2">
        <f t="shared" si="16"/>
        <v>2.0789238811679201E-2</v>
      </c>
      <c r="AQ186" s="2">
        <f t="shared" si="20"/>
        <v>2</v>
      </c>
      <c r="AR186">
        <f t="shared" si="17"/>
        <v>296</v>
      </c>
      <c r="AS186" t="str">
        <f t="shared" si="18"/>
        <v>High Claim Ratio</v>
      </c>
      <c r="AT186" t="str">
        <f t="shared" si="19"/>
        <v>High Profit</v>
      </c>
    </row>
    <row r="187" spans="1:46" x14ac:dyDescent="0.2">
      <c r="A187">
        <v>125</v>
      </c>
      <c r="B187">
        <v>35</v>
      </c>
      <c r="C187">
        <v>442795</v>
      </c>
      <c r="D187" s="1">
        <v>35253</v>
      </c>
      <c r="E187" t="s">
        <v>39</v>
      </c>
      <c r="F187" t="s">
        <v>91</v>
      </c>
      <c r="G187">
        <v>500</v>
      </c>
      <c r="H187">
        <v>1054.83</v>
      </c>
      <c r="I187">
        <v>7000000</v>
      </c>
      <c r="J187">
        <v>446788</v>
      </c>
      <c r="K187" t="s">
        <v>41</v>
      </c>
      <c r="L187" t="s">
        <v>161</v>
      </c>
      <c r="M187" t="s">
        <v>97</v>
      </c>
      <c r="N187" t="s">
        <v>242</v>
      </c>
      <c r="O187" t="s">
        <v>45</v>
      </c>
      <c r="P187">
        <v>0</v>
      </c>
      <c r="Q187">
        <v>-51300</v>
      </c>
      <c r="R187" s="1">
        <v>42060</v>
      </c>
      <c r="S187" t="s">
        <v>46</v>
      </c>
      <c r="T187" t="s">
        <v>86</v>
      </c>
      <c r="U187" t="s">
        <v>107</v>
      </c>
      <c r="V187" t="s">
        <v>99</v>
      </c>
      <c r="W187" t="s">
        <v>77</v>
      </c>
      <c r="X187" t="s">
        <v>127</v>
      </c>
      <c r="Y187" t="s">
        <v>363</v>
      </c>
      <c r="Z187">
        <v>17</v>
      </c>
      <c r="AA187">
        <v>1</v>
      </c>
      <c r="AB187" t="s">
        <v>53</v>
      </c>
      <c r="AC187">
        <v>2</v>
      </c>
      <c r="AD187">
        <v>3</v>
      </c>
      <c r="AE187" t="s">
        <v>79</v>
      </c>
      <c r="AF187">
        <v>88660</v>
      </c>
      <c r="AG187">
        <v>8060</v>
      </c>
      <c r="AH187">
        <v>16120</v>
      </c>
      <c r="AI187">
        <v>64480</v>
      </c>
      <c r="AJ187" t="s">
        <v>67</v>
      </c>
      <c r="AK187" t="s">
        <v>193</v>
      </c>
      <c r="AL187">
        <v>2007</v>
      </c>
      <c r="AM187" t="s">
        <v>56</v>
      </c>
      <c r="AN187" s="2">
        <f t="shared" si="14"/>
        <v>83.971851529128742</v>
      </c>
      <c r="AO187">
        <f t="shared" si="15"/>
        <v>-87605.17</v>
      </c>
      <c r="AP187" s="2">
        <f t="shared" si="16"/>
        <v>1.1897339303639705E-2</v>
      </c>
      <c r="AQ187" s="2">
        <f t="shared" si="20"/>
        <v>8</v>
      </c>
      <c r="AR187">
        <f t="shared" si="17"/>
        <v>125</v>
      </c>
      <c r="AS187" t="str">
        <f t="shared" si="18"/>
        <v>High Claim Ratio</v>
      </c>
      <c r="AT187" t="str">
        <f t="shared" si="19"/>
        <v>High Profit</v>
      </c>
    </row>
    <row r="188" spans="1:46" x14ac:dyDescent="0.2">
      <c r="A188">
        <v>177</v>
      </c>
      <c r="B188">
        <v>34</v>
      </c>
      <c r="C188">
        <v>226330</v>
      </c>
      <c r="D188" s="1">
        <v>41297</v>
      </c>
      <c r="E188" t="s">
        <v>83</v>
      </c>
      <c r="F188" t="s">
        <v>69</v>
      </c>
      <c r="G188">
        <v>2000</v>
      </c>
      <c r="H188">
        <v>1057.77</v>
      </c>
      <c r="I188">
        <v>0</v>
      </c>
      <c r="J188">
        <v>477382</v>
      </c>
      <c r="K188" t="s">
        <v>70</v>
      </c>
      <c r="L188" t="s">
        <v>161</v>
      </c>
      <c r="M188" t="s">
        <v>97</v>
      </c>
      <c r="N188" t="s">
        <v>98</v>
      </c>
      <c r="O188" t="s">
        <v>85</v>
      </c>
      <c r="P188">
        <v>0</v>
      </c>
      <c r="Q188">
        <v>-57700</v>
      </c>
      <c r="R188" s="1">
        <v>42051</v>
      </c>
      <c r="S188" t="s">
        <v>75</v>
      </c>
      <c r="T188" t="s">
        <v>86</v>
      </c>
      <c r="U188" t="s">
        <v>107</v>
      </c>
      <c r="V188" t="s">
        <v>136</v>
      </c>
      <c r="W188" t="s">
        <v>121</v>
      </c>
      <c r="X188" t="s">
        <v>65</v>
      </c>
      <c r="Y188" t="s">
        <v>364</v>
      </c>
      <c r="Z188">
        <v>22</v>
      </c>
      <c r="AA188">
        <v>3</v>
      </c>
      <c r="AB188" t="s">
        <v>62</v>
      </c>
      <c r="AC188">
        <v>1</v>
      </c>
      <c r="AD188">
        <v>1</v>
      </c>
      <c r="AE188" t="s">
        <v>79</v>
      </c>
      <c r="AF188">
        <v>18000</v>
      </c>
      <c r="AG188">
        <v>2250</v>
      </c>
      <c r="AH188">
        <v>2250</v>
      </c>
      <c r="AI188">
        <v>13500</v>
      </c>
      <c r="AJ188" t="s">
        <v>109</v>
      </c>
      <c r="AK188" t="s">
        <v>134</v>
      </c>
      <c r="AL188">
        <v>2009</v>
      </c>
      <c r="AM188" t="s">
        <v>82</v>
      </c>
      <c r="AN188" s="2">
        <f t="shared" si="14"/>
        <v>17.000859487896332</v>
      </c>
      <c r="AO188">
        <f t="shared" si="15"/>
        <v>-16942.23</v>
      </c>
      <c r="AP188" s="2">
        <f t="shared" si="16"/>
        <v>5.8761735459141158E-2</v>
      </c>
      <c r="AQ188" s="2">
        <f t="shared" si="20"/>
        <v>6</v>
      </c>
      <c r="AR188">
        <f t="shared" si="17"/>
        <v>177</v>
      </c>
      <c r="AS188" t="str">
        <f t="shared" si="18"/>
        <v>Medium Claim Ratio</v>
      </c>
      <c r="AT188" t="str">
        <f t="shared" si="19"/>
        <v>High Profit</v>
      </c>
    </row>
    <row r="189" spans="1:46" x14ac:dyDescent="0.2">
      <c r="A189">
        <v>238</v>
      </c>
      <c r="B189">
        <v>39</v>
      </c>
      <c r="C189">
        <v>134430</v>
      </c>
      <c r="D189" s="1">
        <v>39057</v>
      </c>
      <c r="E189" t="s">
        <v>57</v>
      </c>
      <c r="F189" t="s">
        <v>40</v>
      </c>
      <c r="G189">
        <v>2000</v>
      </c>
      <c r="H189">
        <v>1488.02</v>
      </c>
      <c r="I189">
        <v>0</v>
      </c>
      <c r="J189">
        <v>600275</v>
      </c>
      <c r="K189" t="s">
        <v>70</v>
      </c>
      <c r="L189" t="s">
        <v>161</v>
      </c>
      <c r="M189" t="s">
        <v>135</v>
      </c>
      <c r="N189" t="s">
        <v>264</v>
      </c>
      <c r="O189" t="s">
        <v>60</v>
      </c>
      <c r="P189">
        <v>0</v>
      </c>
      <c r="Q189">
        <v>-39200</v>
      </c>
      <c r="R189" s="1">
        <v>42060</v>
      </c>
      <c r="S189" t="s">
        <v>61</v>
      </c>
      <c r="T189" t="s">
        <v>62</v>
      </c>
      <c r="U189" t="s">
        <v>63</v>
      </c>
      <c r="V189" t="s">
        <v>49</v>
      </c>
      <c r="W189" t="s">
        <v>77</v>
      </c>
      <c r="X189" t="s">
        <v>156</v>
      </c>
      <c r="Y189" t="s">
        <v>365</v>
      </c>
      <c r="Z189">
        <v>9</v>
      </c>
      <c r="AA189">
        <v>1</v>
      </c>
      <c r="AB189" t="s">
        <v>53</v>
      </c>
      <c r="AC189">
        <v>1</v>
      </c>
      <c r="AD189">
        <v>3</v>
      </c>
      <c r="AE189" t="s">
        <v>53</v>
      </c>
      <c r="AF189">
        <v>5500</v>
      </c>
      <c r="AG189">
        <v>1100</v>
      </c>
      <c r="AH189">
        <v>550</v>
      </c>
      <c r="AI189">
        <v>3850</v>
      </c>
      <c r="AJ189" t="s">
        <v>89</v>
      </c>
      <c r="AK189" t="s">
        <v>90</v>
      </c>
      <c r="AL189">
        <v>2010</v>
      </c>
      <c r="AM189" t="s">
        <v>82</v>
      </c>
      <c r="AN189" s="2">
        <f t="shared" si="14"/>
        <v>3.6937045842231804</v>
      </c>
      <c r="AO189">
        <f t="shared" si="15"/>
        <v>-4011.98</v>
      </c>
      <c r="AP189" s="2">
        <f t="shared" si="16"/>
        <v>0.27049990910743499</v>
      </c>
      <c r="AQ189" s="2">
        <f t="shared" si="20"/>
        <v>5</v>
      </c>
      <c r="AR189">
        <f t="shared" si="17"/>
        <v>238</v>
      </c>
      <c r="AS189" t="str">
        <f t="shared" si="18"/>
        <v>Low Claim Ratio</v>
      </c>
      <c r="AT189" t="str">
        <f t="shared" si="19"/>
        <v>Low Profit</v>
      </c>
    </row>
    <row r="190" spans="1:46" x14ac:dyDescent="0.2">
      <c r="A190">
        <v>81</v>
      </c>
      <c r="B190">
        <v>25</v>
      </c>
      <c r="C190">
        <v>524230</v>
      </c>
      <c r="D190" s="1">
        <v>41693</v>
      </c>
      <c r="E190" t="s">
        <v>57</v>
      </c>
      <c r="F190" t="s">
        <v>69</v>
      </c>
      <c r="G190">
        <v>500</v>
      </c>
      <c r="H190">
        <v>920.3</v>
      </c>
      <c r="I190">
        <v>5000000</v>
      </c>
      <c r="J190">
        <v>461958</v>
      </c>
      <c r="K190" t="s">
        <v>70</v>
      </c>
      <c r="L190" t="s">
        <v>131</v>
      </c>
      <c r="M190" t="s">
        <v>97</v>
      </c>
      <c r="N190" t="s">
        <v>149</v>
      </c>
      <c r="O190" t="s">
        <v>74</v>
      </c>
      <c r="P190">
        <v>51000</v>
      </c>
      <c r="Q190">
        <v>-67900</v>
      </c>
      <c r="R190" s="1">
        <v>42056</v>
      </c>
      <c r="S190" t="s">
        <v>75</v>
      </c>
      <c r="T190" t="s">
        <v>76</v>
      </c>
      <c r="U190" t="s">
        <v>48</v>
      </c>
      <c r="V190" t="s">
        <v>120</v>
      </c>
      <c r="W190" t="s">
        <v>113</v>
      </c>
      <c r="X190" t="s">
        <v>122</v>
      </c>
      <c r="Y190" t="s">
        <v>366</v>
      </c>
      <c r="Z190">
        <v>11</v>
      </c>
      <c r="AA190">
        <v>3</v>
      </c>
      <c r="AB190" t="s">
        <v>62</v>
      </c>
      <c r="AC190">
        <v>1</v>
      </c>
      <c r="AD190">
        <v>0</v>
      </c>
      <c r="AE190" t="s">
        <v>62</v>
      </c>
      <c r="AF190">
        <v>73920</v>
      </c>
      <c r="AG190">
        <v>13440</v>
      </c>
      <c r="AH190">
        <v>6720</v>
      </c>
      <c r="AI190">
        <v>53760</v>
      </c>
      <c r="AJ190" t="s">
        <v>209</v>
      </c>
      <c r="AK190" t="s">
        <v>210</v>
      </c>
      <c r="AL190">
        <v>2003</v>
      </c>
      <c r="AM190" t="s">
        <v>56</v>
      </c>
      <c r="AN190" s="2">
        <f t="shared" si="14"/>
        <v>80.234451318788672</v>
      </c>
      <c r="AO190">
        <f t="shared" si="15"/>
        <v>-72999.7</v>
      </c>
      <c r="AP190" s="2">
        <f t="shared" si="16"/>
        <v>1.2449777465131694E-2</v>
      </c>
      <c r="AQ190" s="2">
        <f t="shared" si="20"/>
        <v>12</v>
      </c>
      <c r="AR190">
        <f t="shared" si="17"/>
        <v>81</v>
      </c>
      <c r="AS190" t="str">
        <f t="shared" si="18"/>
        <v>High Claim Ratio</v>
      </c>
      <c r="AT190" t="str">
        <f t="shared" si="19"/>
        <v>High Profit</v>
      </c>
    </row>
    <row r="191" spans="1:46" x14ac:dyDescent="0.2">
      <c r="A191">
        <v>128</v>
      </c>
      <c r="B191">
        <v>28</v>
      </c>
      <c r="C191">
        <v>438817</v>
      </c>
      <c r="D191" s="1">
        <v>39402</v>
      </c>
      <c r="E191" t="s">
        <v>39</v>
      </c>
      <c r="F191" t="s">
        <v>91</v>
      </c>
      <c r="G191">
        <v>1000</v>
      </c>
      <c r="H191">
        <v>986.53</v>
      </c>
      <c r="I191">
        <v>0</v>
      </c>
      <c r="J191">
        <v>472720</v>
      </c>
      <c r="K191" t="s">
        <v>70</v>
      </c>
      <c r="L191" t="s">
        <v>131</v>
      </c>
      <c r="M191" t="s">
        <v>185</v>
      </c>
      <c r="N191" t="s">
        <v>173</v>
      </c>
      <c r="O191" t="s">
        <v>60</v>
      </c>
      <c r="P191">
        <v>62700</v>
      </c>
      <c r="Q191">
        <v>0</v>
      </c>
      <c r="R191" s="1">
        <v>42051</v>
      </c>
      <c r="S191" t="s">
        <v>46</v>
      </c>
      <c r="T191" t="s">
        <v>76</v>
      </c>
      <c r="U191" t="s">
        <v>107</v>
      </c>
      <c r="V191" t="s">
        <v>136</v>
      </c>
      <c r="W191" t="s">
        <v>64</v>
      </c>
      <c r="X191" t="s">
        <v>51</v>
      </c>
      <c r="Y191" t="s">
        <v>367</v>
      </c>
      <c r="Z191">
        <v>11</v>
      </c>
      <c r="AA191">
        <v>1</v>
      </c>
      <c r="AB191" t="s">
        <v>79</v>
      </c>
      <c r="AC191">
        <v>0</v>
      </c>
      <c r="AD191">
        <v>2</v>
      </c>
      <c r="AE191" t="s">
        <v>53</v>
      </c>
      <c r="AF191">
        <v>101860</v>
      </c>
      <c r="AG191">
        <v>18520</v>
      </c>
      <c r="AH191">
        <v>18520</v>
      </c>
      <c r="AI191">
        <v>64820</v>
      </c>
      <c r="AJ191" t="s">
        <v>209</v>
      </c>
      <c r="AK191" t="s">
        <v>225</v>
      </c>
      <c r="AL191">
        <v>2007</v>
      </c>
      <c r="AM191" t="s">
        <v>82</v>
      </c>
      <c r="AN191" s="2">
        <f t="shared" si="14"/>
        <v>103.14623353214586</v>
      </c>
      <c r="AO191">
        <f t="shared" si="15"/>
        <v>-100873.47</v>
      </c>
      <c r="AP191" s="2">
        <f t="shared" si="16"/>
        <v>9.6850610145197864E-3</v>
      </c>
      <c r="AQ191" s="2">
        <f t="shared" si="20"/>
        <v>8</v>
      </c>
      <c r="AR191">
        <f t="shared" si="17"/>
        <v>128</v>
      </c>
      <c r="AS191" t="str">
        <f t="shared" si="18"/>
        <v>High Claim Ratio</v>
      </c>
      <c r="AT191" t="str">
        <f t="shared" si="19"/>
        <v>High Profit</v>
      </c>
    </row>
    <row r="192" spans="1:46" x14ac:dyDescent="0.2">
      <c r="A192">
        <v>449</v>
      </c>
      <c r="B192">
        <v>57</v>
      </c>
      <c r="C192">
        <v>293794</v>
      </c>
      <c r="D192" s="1">
        <v>36267</v>
      </c>
      <c r="E192" t="s">
        <v>39</v>
      </c>
      <c r="F192" t="s">
        <v>40</v>
      </c>
      <c r="G192">
        <v>2000</v>
      </c>
      <c r="H192">
        <v>1440.68</v>
      </c>
      <c r="I192">
        <v>0</v>
      </c>
      <c r="J192">
        <v>442395</v>
      </c>
      <c r="K192" t="s">
        <v>41</v>
      </c>
      <c r="L192" t="s">
        <v>92</v>
      </c>
      <c r="M192" t="s">
        <v>97</v>
      </c>
      <c r="N192" t="s">
        <v>146</v>
      </c>
      <c r="O192" t="s">
        <v>74</v>
      </c>
      <c r="P192">
        <v>25000</v>
      </c>
      <c r="Q192">
        <v>0</v>
      </c>
      <c r="R192" s="1">
        <v>42044</v>
      </c>
      <c r="S192" t="s">
        <v>138</v>
      </c>
      <c r="T192" t="s">
        <v>62</v>
      </c>
      <c r="U192" t="s">
        <v>63</v>
      </c>
      <c r="V192" t="s">
        <v>93</v>
      </c>
      <c r="W192" t="s">
        <v>50</v>
      </c>
      <c r="X192" t="s">
        <v>65</v>
      </c>
      <c r="Y192" t="s">
        <v>368</v>
      </c>
      <c r="Z192">
        <v>8</v>
      </c>
      <c r="AA192">
        <v>1</v>
      </c>
      <c r="AB192" t="s">
        <v>53</v>
      </c>
      <c r="AC192">
        <v>0</v>
      </c>
      <c r="AD192">
        <v>1</v>
      </c>
      <c r="AE192" t="s">
        <v>53</v>
      </c>
      <c r="AF192">
        <v>5390</v>
      </c>
      <c r="AG192">
        <v>980</v>
      </c>
      <c r="AH192">
        <v>980</v>
      </c>
      <c r="AI192">
        <v>3430</v>
      </c>
      <c r="AJ192" t="s">
        <v>214</v>
      </c>
      <c r="AK192" t="s">
        <v>215</v>
      </c>
      <c r="AL192">
        <v>2008</v>
      </c>
      <c r="AM192" t="s">
        <v>82</v>
      </c>
      <c r="AN192" s="2">
        <f t="shared" si="14"/>
        <v>3.7386937461850063</v>
      </c>
      <c r="AO192">
        <f t="shared" si="15"/>
        <v>-3949.3199999999997</v>
      </c>
      <c r="AP192" s="2">
        <f t="shared" si="16"/>
        <v>0.26723798924132813</v>
      </c>
      <c r="AQ192" s="2">
        <f t="shared" si="20"/>
        <v>7</v>
      </c>
      <c r="AR192">
        <f t="shared" si="17"/>
        <v>449</v>
      </c>
      <c r="AS192" t="str">
        <f t="shared" si="18"/>
        <v>Low Claim Ratio</v>
      </c>
      <c r="AT192" t="str">
        <f t="shared" si="19"/>
        <v>Low Profit</v>
      </c>
    </row>
    <row r="193" spans="1:46" x14ac:dyDescent="0.2">
      <c r="A193">
        <v>252</v>
      </c>
      <c r="B193">
        <v>39</v>
      </c>
      <c r="C193">
        <v>868283</v>
      </c>
      <c r="D193" s="1">
        <v>38754</v>
      </c>
      <c r="E193" t="s">
        <v>57</v>
      </c>
      <c r="F193" t="s">
        <v>40</v>
      </c>
      <c r="G193">
        <v>1000</v>
      </c>
      <c r="H193">
        <v>1086.21</v>
      </c>
      <c r="I193">
        <v>0</v>
      </c>
      <c r="J193">
        <v>455340</v>
      </c>
      <c r="K193" t="s">
        <v>41</v>
      </c>
      <c r="L193" t="s">
        <v>161</v>
      </c>
      <c r="M193" t="s">
        <v>189</v>
      </c>
      <c r="N193" t="s">
        <v>149</v>
      </c>
      <c r="O193" t="s">
        <v>85</v>
      </c>
      <c r="P193">
        <v>68500</v>
      </c>
      <c r="Q193">
        <v>-57500</v>
      </c>
      <c r="R193" s="1">
        <v>42048</v>
      </c>
      <c r="S193" t="s">
        <v>46</v>
      </c>
      <c r="T193" t="s">
        <v>47</v>
      </c>
      <c r="U193" t="s">
        <v>63</v>
      </c>
      <c r="V193" t="s">
        <v>49</v>
      </c>
      <c r="W193" t="s">
        <v>50</v>
      </c>
      <c r="X193" t="s">
        <v>102</v>
      </c>
      <c r="Y193" t="s">
        <v>369</v>
      </c>
      <c r="Z193">
        <v>18</v>
      </c>
      <c r="AA193">
        <v>1</v>
      </c>
      <c r="AB193" t="s">
        <v>62</v>
      </c>
      <c r="AC193">
        <v>1</v>
      </c>
      <c r="AD193">
        <v>2</v>
      </c>
      <c r="AE193" t="s">
        <v>62</v>
      </c>
      <c r="AF193">
        <v>50490</v>
      </c>
      <c r="AG193">
        <v>5610</v>
      </c>
      <c r="AH193">
        <v>5610</v>
      </c>
      <c r="AI193">
        <v>39270</v>
      </c>
      <c r="AJ193" t="s">
        <v>104</v>
      </c>
      <c r="AK193" t="s">
        <v>151</v>
      </c>
      <c r="AL193">
        <v>2001</v>
      </c>
      <c r="AM193" t="s">
        <v>82</v>
      </c>
      <c r="AN193" s="2">
        <f t="shared" si="14"/>
        <v>46.439970198949602</v>
      </c>
      <c r="AO193">
        <f t="shared" si="15"/>
        <v>-49403.79</v>
      </c>
      <c r="AP193" s="2">
        <f t="shared" si="16"/>
        <v>2.1512942900714978E-2</v>
      </c>
      <c r="AQ193" s="2">
        <f t="shared" si="20"/>
        <v>14</v>
      </c>
      <c r="AR193">
        <f t="shared" si="17"/>
        <v>252</v>
      </c>
      <c r="AS193" t="str">
        <f t="shared" si="18"/>
        <v>High Claim Ratio</v>
      </c>
      <c r="AT193" t="str">
        <f t="shared" si="19"/>
        <v>High Profit</v>
      </c>
    </row>
    <row r="194" spans="1:46" x14ac:dyDescent="0.2">
      <c r="A194">
        <v>359</v>
      </c>
      <c r="B194">
        <v>47</v>
      </c>
      <c r="C194">
        <v>828890</v>
      </c>
      <c r="D194" s="1">
        <v>34262</v>
      </c>
      <c r="E194" t="s">
        <v>39</v>
      </c>
      <c r="F194" t="s">
        <v>69</v>
      </c>
      <c r="G194">
        <v>2000</v>
      </c>
      <c r="H194">
        <v>1367.68</v>
      </c>
      <c r="I194">
        <v>0</v>
      </c>
      <c r="J194">
        <v>613247</v>
      </c>
      <c r="K194" t="s">
        <v>70</v>
      </c>
      <c r="L194" t="s">
        <v>42</v>
      </c>
      <c r="M194" t="s">
        <v>159</v>
      </c>
      <c r="N194" t="s">
        <v>179</v>
      </c>
      <c r="O194" t="s">
        <v>85</v>
      </c>
      <c r="P194">
        <v>0</v>
      </c>
      <c r="Q194">
        <v>0</v>
      </c>
      <c r="R194" s="1">
        <v>42015</v>
      </c>
      <c r="S194" t="s">
        <v>46</v>
      </c>
      <c r="T194" t="s">
        <v>86</v>
      </c>
      <c r="U194" t="s">
        <v>107</v>
      </c>
      <c r="V194" t="s">
        <v>49</v>
      </c>
      <c r="W194" t="s">
        <v>50</v>
      </c>
      <c r="X194" t="s">
        <v>87</v>
      </c>
      <c r="Y194" t="s">
        <v>370</v>
      </c>
      <c r="Z194">
        <v>13</v>
      </c>
      <c r="AA194">
        <v>1</v>
      </c>
      <c r="AB194" t="s">
        <v>79</v>
      </c>
      <c r="AC194">
        <v>0</v>
      </c>
      <c r="AD194">
        <v>3</v>
      </c>
      <c r="AE194" t="s">
        <v>79</v>
      </c>
      <c r="AF194">
        <v>55500</v>
      </c>
      <c r="AG194">
        <v>5550</v>
      </c>
      <c r="AH194">
        <v>11100</v>
      </c>
      <c r="AI194">
        <v>38850</v>
      </c>
      <c r="AJ194" t="s">
        <v>67</v>
      </c>
      <c r="AK194" t="s">
        <v>193</v>
      </c>
      <c r="AL194">
        <v>2012</v>
      </c>
      <c r="AM194" t="s">
        <v>82</v>
      </c>
      <c r="AN194" s="2">
        <f t="shared" si="14"/>
        <v>40.550018996405292</v>
      </c>
      <c r="AO194">
        <f t="shared" si="15"/>
        <v>-54132.32</v>
      </c>
      <c r="AP194" s="2">
        <f t="shared" si="16"/>
        <v>2.4642438874975227E-2</v>
      </c>
      <c r="AQ194" s="2">
        <f t="shared" si="20"/>
        <v>3</v>
      </c>
      <c r="AR194">
        <f t="shared" si="17"/>
        <v>359</v>
      </c>
      <c r="AS194" t="str">
        <f t="shared" si="18"/>
        <v>High Claim Ratio</v>
      </c>
      <c r="AT194" t="str">
        <f t="shared" si="19"/>
        <v>High Profit</v>
      </c>
    </row>
    <row r="195" spans="1:46" x14ac:dyDescent="0.2">
      <c r="A195">
        <v>19</v>
      </c>
      <c r="B195">
        <v>32</v>
      </c>
      <c r="C195">
        <v>882920</v>
      </c>
      <c r="D195" s="1">
        <v>38718</v>
      </c>
      <c r="E195" t="s">
        <v>39</v>
      </c>
      <c r="F195" t="s">
        <v>91</v>
      </c>
      <c r="G195">
        <v>1000</v>
      </c>
      <c r="H195">
        <v>1215.8499999999999</v>
      </c>
      <c r="I195">
        <v>0</v>
      </c>
      <c r="J195">
        <v>454985</v>
      </c>
      <c r="K195" t="s">
        <v>41</v>
      </c>
      <c r="L195" t="s">
        <v>131</v>
      </c>
      <c r="M195" t="s">
        <v>111</v>
      </c>
      <c r="N195" t="s">
        <v>149</v>
      </c>
      <c r="O195" t="s">
        <v>45</v>
      </c>
      <c r="P195">
        <v>42900</v>
      </c>
      <c r="Q195">
        <v>-90200</v>
      </c>
      <c r="R195" s="1">
        <v>42006</v>
      </c>
      <c r="S195" t="s">
        <v>61</v>
      </c>
      <c r="T195" t="s">
        <v>62</v>
      </c>
      <c r="U195" t="s">
        <v>63</v>
      </c>
      <c r="V195" t="s">
        <v>49</v>
      </c>
      <c r="W195" t="s">
        <v>64</v>
      </c>
      <c r="X195" t="s">
        <v>122</v>
      </c>
      <c r="Y195" t="s">
        <v>371</v>
      </c>
      <c r="Z195">
        <v>8</v>
      </c>
      <c r="AA195">
        <v>1</v>
      </c>
      <c r="AB195" t="s">
        <v>53</v>
      </c>
      <c r="AC195">
        <v>1</v>
      </c>
      <c r="AD195">
        <v>1</v>
      </c>
      <c r="AE195" t="s">
        <v>53</v>
      </c>
      <c r="AF195">
        <v>7040</v>
      </c>
      <c r="AG195">
        <v>1280</v>
      </c>
      <c r="AH195">
        <v>640</v>
      </c>
      <c r="AI195">
        <v>5120</v>
      </c>
      <c r="AJ195" t="s">
        <v>104</v>
      </c>
      <c r="AK195" t="s">
        <v>151</v>
      </c>
      <c r="AL195">
        <v>2015</v>
      </c>
      <c r="AM195" t="s">
        <v>82</v>
      </c>
      <c r="AN195" s="2">
        <f t="shared" ref="AN195:AN258" si="21">AF195/(H195+1)</f>
        <v>5.7854295928010853</v>
      </c>
      <c r="AO195">
        <f t="shared" ref="AO195:AO258" si="22">H195-AF195</f>
        <v>-5824.15</v>
      </c>
      <c r="AP195" s="2">
        <f t="shared" ref="AP195:AP258" si="23">H195/(AF195+1)</f>
        <v>0.17268143729583865</v>
      </c>
      <c r="AQ195" s="2">
        <f t="shared" si="20"/>
        <v>0</v>
      </c>
      <c r="AR195">
        <f t="shared" ref="AR195:AR258" si="24">A195</f>
        <v>19</v>
      </c>
      <c r="AS195" t="str">
        <f t="shared" ref="AS195:AS258" si="25">IF(AN195&lt;5,"Low Claim Ratio",
 IF(AN195&lt;20,"Medium Claim Ratio",
 "High Claim Ratio"))</f>
        <v>Medium Claim Ratio</v>
      </c>
      <c r="AT195" t="str">
        <f t="shared" ref="AT195:AT258" si="26">IF(-AO195&lt;0,"Loss Making",
 IF(-AO195&lt;5000,"Low Profit",
 "High Profit"))</f>
        <v>High Profit</v>
      </c>
    </row>
    <row r="196" spans="1:46" x14ac:dyDescent="0.2">
      <c r="A196">
        <v>73</v>
      </c>
      <c r="B196">
        <v>26</v>
      </c>
      <c r="C196">
        <v>918777</v>
      </c>
      <c r="D196" s="1">
        <v>37715</v>
      </c>
      <c r="E196" t="s">
        <v>83</v>
      </c>
      <c r="F196" t="s">
        <v>40</v>
      </c>
      <c r="G196">
        <v>2000</v>
      </c>
      <c r="H196">
        <v>1191.19</v>
      </c>
      <c r="I196">
        <v>4000000</v>
      </c>
      <c r="J196">
        <v>468813</v>
      </c>
      <c r="K196" t="s">
        <v>41</v>
      </c>
      <c r="L196" t="s">
        <v>42</v>
      </c>
      <c r="M196" t="s">
        <v>189</v>
      </c>
      <c r="N196" t="s">
        <v>179</v>
      </c>
      <c r="O196" t="s">
        <v>142</v>
      </c>
      <c r="P196">
        <v>29300</v>
      </c>
      <c r="Q196">
        <v>0</v>
      </c>
      <c r="R196" s="1">
        <v>42047</v>
      </c>
      <c r="S196" t="s">
        <v>75</v>
      </c>
      <c r="T196" t="s">
        <v>76</v>
      </c>
      <c r="U196" t="s">
        <v>107</v>
      </c>
      <c r="V196" t="s">
        <v>120</v>
      </c>
      <c r="W196" t="s">
        <v>64</v>
      </c>
      <c r="X196" t="s">
        <v>156</v>
      </c>
      <c r="Y196" t="s">
        <v>372</v>
      </c>
      <c r="Z196">
        <v>9</v>
      </c>
      <c r="AA196">
        <v>3</v>
      </c>
      <c r="AB196" t="s">
        <v>62</v>
      </c>
      <c r="AC196">
        <v>0</v>
      </c>
      <c r="AD196">
        <v>1</v>
      </c>
      <c r="AE196" t="s">
        <v>53</v>
      </c>
      <c r="AF196">
        <v>40160</v>
      </c>
      <c r="AG196">
        <v>5020</v>
      </c>
      <c r="AH196">
        <v>0</v>
      </c>
      <c r="AI196">
        <v>35140</v>
      </c>
      <c r="AJ196" t="s">
        <v>89</v>
      </c>
      <c r="AK196" t="s">
        <v>90</v>
      </c>
      <c r="AL196">
        <v>2003</v>
      </c>
      <c r="AM196" t="s">
        <v>82</v>
      </c>
      <c r="AN196" s="2">
        <f t="shared" si="21"/>
        <v>33.685905770053431</v>
      </c>
      <c r="AO196">
        <f t="shared" si="22"/>
        <v>-38968.81</v>
      </c>
      <c r="AP196" s="2">
        <f t="shared" si="23"/>
        <v>2.9660367022733499E-2</v>
      </c>
      <c r="AQ196" s="2">
        <f t="shared" ref="AQ196:AQ259" si="27">YEAR(R196)-(AL196)</f>
        <v>12</v>
      </c>
      <c r="AR196">
        <f t="shared" si="24"/>
        <v>73</v>
      </c>
      <c r="AS196" t="str">
        <f t="shared" si="25"/>
        <v>High Claim Ratio</v>
      </c>
      <c r="AT196" t="str">
        <f t="shared" si="26"/>
        <v>High Profit</v>
      </c>
    </row>
    <row r="197" spans="1:46" x14ac:dyDescent="0.2">
      <c r="A197">
        <v>285</v>
      </c>
      <c r="B197">
        <v>44</v>
      </c>
      <c r="C197">
        <v>212580</v>
      </c>
      <c r="D197" s="1">
        <v>41825</v>
      </c>
      <c r="E197" t="s">
        <v>83</v>
      </c>
      <c r="F197" t="s">
        <v>91</v>
      </c>
      <c r="G197">
        <v>1000</v>
      </c>
      <c r="H197">
        <v>1594.45</v>
      </c>
      <c r="I197">
        <v>0</v>
      </c>
      <c r="J197">
        <v>452747</v>
      </c>
      <c r="K197" t="s">
        <v>41</v>
      </c>
      <c r="L197" t="s">
        <v>131</v>
      </c>
      <c r="M197" t="s">
        <v>159</v>
      </c>
      <c r="N197" t="s">
        <v>98</v>
      </c>
      <c r="O197" t="s">
        <v>45</v>
      </c>
      <c r="P197">
        <v>0</v>
      </c>
      <c r="Q197">
        <v>0</v>
      </c>
      <c r="R197" s="1">
        <v>42040</v>
      </c>
      <c r="S197" t="s">
        <v>75</v>
      </c>
      <c r="T197" t="s">
        <v>47</v>
      </c>
      <c r="U197" t="s">
        <v>107</v>
      </c>
      <c r="V197" t="s">
        <v>99</v>
      </c>
      <c r="W197" t="s">
        <v>121</v>
      </c>
      <c r="X197" t="s">
        <v>51</v>
      </c>
      <c r="Y197" t="s">
        <v>373</v>
      </c>
      <c r="Z197">
        <v>17</v>
      </c>
      <c r="AA197">
        <v>2</v>
      </c>
      <c r="AB197" t="s">
        <v>53</v>
      </c>
      <c r="AC197">
        <v>2</v>
      </c>
      <c r="AD197">
        <v>3</v>
      </c>
      <c r="AE197" t="s">
        <v>79</v>
      </c>
      <c r="AF197">
        <v>55680</v>
      </c>
      <c r="AG197">
        <v>6960</v>
      </c>
      <c r="AH197">
        <v>6960</v>
      </c>
      <c r="AI197">
        <v>41760</v>
      </c>
      <c r="AJ197" t="s">
        <v>54</v>
      </c>
      <c r="AK197">
        <v>95</v>
      </c>
      <c r="AL197">
        <v>2006</v>
      </c>
      <c r="AM197" t="s">
        <v>82</v>
      </c>
      <c r="AN197" s="2">
        <f t="shared" si="21"/>
        <v>34.899244727192951</v>
      </c>
      <c r="AO197">
        <f t="shared" si="22"/>
        <v>-54085.55</v>
      </c>
      <c r="AP197" s="2">
        <f t="shared" si="23"/>
        <v>2.8635441173829494E-2</v>
      </c>
      <c r="AQ197" s="2">
        <f t="shared" si="27"/>
        <v>9</v>
      </c>
      <c r="AR197">
        <f t="shared" si="24"/>
        <v>285</v>
      </c>
      <c r="AS197" t="str">
        <f t="shared" si="25"/>
        <v>High Claim Ratio</v>
      </c>
      <c r="AT197" t="str">
        <f t="shared" si="26"/>
        <v>High Profit</v>
      </c>
    </row>
    <row r="198" spans="1:46" x14ac:dyDescent="0.2">
      <c r="A198">
        <v>196</v>
      </c>
      <c r="B198">
        <v>36</v>
      </c>
      <c r="C198">
        <v>602410</v>
      </c>
      <c r="D198" s="1">
        <v>35080</v>
      </c>
      <c r="E198" t="s">
        <v>57</v>
      </c>
      <c r="F198" t="s">
        <v>40</v>
      </c>
      <c r="G198">
        <v>2000</v>
      </c>
      <c r="H198">
        <v>1463.07</v>
      </c>
      <c r="I198">
        <v>0</v>
      </c>
      <c r="J198">
        <v>615611</v>
      </c>
      <c r="K198" t="s">
        <v>41</v>
      </c>
      <c r="L198" t="s">
        <v>42</v>
      </c>
      <c r="M198" t="s">
        <v>84</v>
      </c>
      <c r="N198" t="s">
        <v>132</v>
      </c>
      <c r="O198" t="s">
        <v>74</v>
      </c>
      <c r="P198">
        <v>0</v>
      </c>
      <c r="Q198">
        <v>0</v>
      </c>
      <c r="R198" s="1">
        <v>42028</v>
      </c>
      <c r="S198" t="s">
        <v>61</v>
      </c>
      <c r="T198" t="s">
        <v>62</v>
      </c>
      <c r="U198" t="s">
        <v>212</v>
      </c>
      <c r="V198" t="s">
        <v>49</v>
      </c>
      <c r="W198" t="s">
        <v>113</v>
      </c>
      <c r="X198" t="s">
        <v>102</v>
      </c>
      <c r="Y198" t="s">
        <v>374</v>
      </c>
      <c r="Z198">
        <v>3</v>
      </c>
      <c r="AA198">
        <v>1</v>
      </c>
      <c r="AB198" t="s">
        <v>62</v>
      </c>
      <c r="AC198">
        <v>1</v>
      </c>
      <c r="AD198">
        <v>1</v>
      </c>
      <c r="AE198" t="s">
        <v>79</v>
      </c>
      <c r="AF198">
        <v>5300</v>
      </c>
      <c r="AG198">
        <v>530</v>
      </c>
      <c r="AH198">
        <v>530</v>
      </c>
      <c r="AI198">
        <v>4240</v>
      </c>
      <c r="AJ198" t="s">
        <v>197</v>
      </c>
      <c r="AK198" t="s">
        <v>375</v>
      </c>
      <c r="AL198">
        <v>2001</v>
      </c>
      <c r="AM198" t="s">
        <v>56</v>
      </c>
      <c r="AN198" s="2">
        <f t="shared" si="21"/>
        <v>3.6200454896282284</v>
      </c>
      <c r="AO198">
        <f t="shared" si="22"/>
        <v>-3836.9300000000003</v>
      </c>
      <c r="AP198" s="2">
        <f t="shared" si="23"/>
        <v>0.27599886813808716</v>
      </c>
      <c r="AQ198" s="2">
        <f t="shared" si="27"/>
        <v>14</v>
      </c>
      <c r="AR198">
        <f t="shared" si="24"/>
        <v>196</v>
      </c>
      <c r="AS198" t="str">
        <f t="shared" si="25"/>
        <v>Low Claim Ratio</v>
      </c>
      <c r="AT198" t="str">
        <f t="shared" si="26"/>
        <v>Low Profit</v>
      </c>
    </row>
    <row r="199" spans="1:46" x14ac:dyDescent="0.2">
      <c r="A199">
        <v>223</v>
      </c>
      <c r="B199">
        <v>43</v>
      </c>
      <c r="C199">
        <v>976971</v>
      </c>
      <c r="D199" s="1">
        <v>37365</v>
      </c>
      <c r="E199" t="s">
        <v>39</v>
      </c>
      <c r="F199" t="s">
        <v>40</v>
      </c>
      <c r="G199">
        <v>500</v>
      </c>
      <c r="H199">
        <v>1734.09</v>
      </c>
      <c r="I199">
        <v>0</v>
      </c>
      <c r="J199">
        <v>451400</v>
      </c>
      <c r="K199" t="s">
        <v>70</v>
      </c>
      <c r="L199" t="s">
        <v>42</v>
      </c>
      <c r="M199" t="s">
        <v>185</v>
      </c>
      <c r="N199" t="s">
        <v>118</v>
      </c>
      <c r="O199" t="s">
        <v>142</v>
      </c>
      <c r="P199">
        <v>0</v>
      </c>
      <c r="Q199">
        <v>0</v>
      </c>
      <c r="R199" s="1">
        <v>42016</v>
      </c>
      <c r="S199" t="s">
        <v>138</v>
      </c>
      <c r="T199" t="s">
        <v>62</v>
      </c>
      <c r="U199" t="s">
        <v>212</v>
      </c>
      <c r="V199" t="s">
        <v>93</v>
      </c>
      <c r="W199" t="s">
        <v>113</v>
      </c>
      <c r="X199" t="s">
        <v>87</v>
      </c>
      <c r="Y199" t="s">
        <v>376</v>
      </c>
      <c r="Z199">
        <v>6</v>
      </c>
      <c r="AA199">
        <v>1</v>
      </c>
      <c r="AB199" t="s">
        <v>53</v>
      </c>
      <c r="AC199">
        <v>0</v>
      </c>
      <c r="AD199">
        <v>3</v>
      </c>
      <c r="AE199" t="s">
        <v>62</v>
      </c>
      <c r="AF199">
        <v>5200</v>
      </c>
      <c r="AG199">
        <v>650</v>
      </c>
      <c r="AH199">
        <v>650</v>
      </c>
      <c r="AI199">
        <v>3900</v>
      </c>
      <c r="AJ199" t="s">
        <v>95</v>
      </c>
      <c r="AK199" t="s">
        <v>148</v>
      </c>
      <c r="AL199">
        <v>2006</v>
      </c>
      <c r="AM199" t="s">
        <v>82</v>
      </c>
      <c r="AN199" s="2">
        <f t="shared" si="21"/>
        <v>2.9969626935778551</v>
      </c>
      <c r="AO199">
        <f t="shared" si="22"/>
        <v>-3465.91</v>
      </c>
      <c r="AP199" s="2">
        <f t="shared" si="23"/>
        <v>0.33341472793693516</v>
      </c>
      <c r="AQ199" s="2">
        <f t="shared" si="27"/>
        <v>9</v>
      </c>
      <c r="AR199">
        <f t="shared" si="24"/>
        <v>223</v>
      </c>
      <c r="AS199" t="str">
        <f t="shared" si="25"/>
        <v>Low Claim Ratio</v>
      </c>
      <c r="AT199" t="str">
        <f t="shared" si="26"/>
        <v>Low Profit</v>
      </c>
    </row>
    <row r="200" spans="1:46" x14ac:dyDescent="0.2">
      <c r="A200">
        <v>328</v>
      </c>
      <c r="B200">
        <v>48</v>
      </c>
      <c r="C200">
        <v>630226</v>
      </c>
      <c r="D200" s="1">
        <v>38696</v>
      </c>
      <c r="E200" t="s">
        <v>83</v>
      </c>
      <c r="F200" t="s">
        <v>40</v>
      </c>
      <c r="G200">
        <v>500</v>
      </c>
      <c r="H200">
        <v>1411.43</v>
      </c>
      <c r="I200">
        <v>0</v>
      </c>
      <c r="J200">
        <v>464874</v>
      </c>
      <c r="K200" t="s">
        <v>41</v>
      </c>
      <c r="L200" t="s">
        <v>124</v>
      </c>
      <c r="M200" t="s">
        <v>84</v>
      </c>
      <c r="N200" t="s">
        <v>98</v>
      </c>
      <c r="O200" t="s">
        <v>74</v>
      </c>
      <c r="P200">
        <v>45100</v>
      </c>
      <c r="Q200">
        <v>-32800</v>
      </c>
      <c r="R200" s="1">
        <v>42020</v>
      </c>
      <c r="S200" t="s">
        <v>46</v>
      </c>
      <c r="T200" t="s">
        <v>86</v>
      </c>
      <c r="U200" t="s">
        <v>48</v>
      </c>
      <c r="V200" t="s">
        <v>136</v>
      </c>
      <c r="W200" t="s">
        <v>77</v>
      </c>
      <c r="X200" t="s">
        <v>65</v>
      </c>
      <c r="Y200" t="s">
        <v>377</v>
      </c>
      <c r="Z200">
        <v>17</v>
      </c>
      <c r="AA200">
        <v>1</v>
      </c>
      <c r="AB200" t="s">
        <v>53</v>
      </c>
      <c r="AC200">
        <v>2</v>
      </c>
      <c r="AD200">
        <v>1</v>
      </c>
      <c r="AE200" t="s">
        <v>79</v>
      </c>
      <c r="AF200">
        <v>59400</v>
      </c>
      <c r="AG200">
        <v>5940</v>
      </c>
      <c r="AH200">
        <v>11880</v>
      </c>
      <c r="AI200">
        <v>41580</v>
      </c>
      <c r="AJ200" t="s">
        <v>209</v>
      </c>
      <c r="AK200" t="s">
        <v>210</v>
      </c>
      <c r="AL200">
        <v>2014</v>
      </c>
      <c r="AM200" t="s">
        <v>82</v>
      </c>
      <c r="AN200" s="2">
        <f t="shared" si="21"/>
        <v>42.055181495720142</v>
      </c>
      <c r="AO200">
        <f t="shared" si="22"/>
        <v>-57988.57</v>
      </c>
      <c r="AP200" s="2">
        <f t="shared" si="23"/>
        <v>2.3761047793808186E-2</v>
      </c>
      <c r="AQ200" s="2">
        <f t="shared" si="27"/>
        <v>1</v>
      </c>
      <c r="AR200">
        <f t="shared" si="24"/>
        <v>328</v>
      </c>
      <c r="AS200" t="str">
        <f t="shared" si="25"/>
        <v>High Claim Ratio</v>
      </c>
      <c r="AT200" t="str">
        <f t="shared" si="26"/>
        <v>High Profit</v>
      </c>
    </row>
    <row r="201" spans="1:46" x14ac:dyDescent="0.2">
      <c r="A201">
        <v>285</v>
      </c>
      <c r="B201">
        <v>43</v>
      </c>
      <c r="C201">
        <v>171254</v>
      </c>
      <c r="D201" s="1">
        <v>34645</v>
      </c>
      <c r="E201" t="s">
        <v>39</v>
      </c>
      <c r="F201" t="s">
        <v>69</v>
      </c>
      <c r="G201">
        <v>2000</v>
      </c>
      <c r="H201">
        <v>1512.58</v>
      </c>
      <c r="I201">
        <v>0</v>
      </c>
      <c r="J201">
        <v>452496</v>
      </c>
      <c r="K201" t="s">
        <v>70</v>
      </c>
      <c r="L201" t="s">
        <v>141</v>
      </c>
      <c r="M201" t="s">
        <v>72</v>
      </c>
      <c r="N201" t="s">
        <v>165</v>
      </c>
      <c r="O201" t="s">
        <v>60</v>
      </c>
      <c r="P201">
        <v>47600</v>
      </c>
      <c r="Q201">
        <v>0</v>
      </c>
      <c r="R201" s="1">
        <v>42017</v>
      </c>
      <c r="S201" t="s">
        <v>61</v>
      </c>
      <c r="T201" t="s">
        <v>62</v>
      </c>
      <c r="U201" t="s">
        <v>63</v>
      </c>
      <c r="V201" t="s">
        <v>49</v>
      </c>
      <c r="W201" t="s">
        <v>50</v>
      </c>
      <c r="X201" t="s">
        <v>87</v>
      </c>
      <c r="Y201" t="s">
        <v>378</v>
      </c>
      <c r="Z201">
        <v>7</v>
      </c>
      <c r="AA201">
        <v>1</v>
      </c>
      <c r="AB201" t="s">
        <v>62</v>
      </c>
      <c r="AC201">
        <v>1</v>
      </c>
      <c r="AD201">
        <v>1</v>
      </c>
      <c r="AE201" t="s">
        <v>62</v>
      </c>
      <c r="AF201">
        <v>2520</v>
      </c>
      <c r="AG201">
        <v>280</v>
      </c>
      <c r="AH201">
        <v>280</v>
      </c>
      <c r="AI201">
        <v>1960</v>
      </c>
      <c r="AJ201" t="s">
        <v>187</v>
      </c>
      <c r="AK201" t="s">
        <v>188</v>
      </c>
      <c r="AL201">
        <v>1997</v>
      </c>
      <c r="AM201" t="s">
        <v>82</v>
      </c>
      <c r="AN201" s="2">
        <f t="shared" si="21"/>
        <v>1.6649268621414131</v>
      </c>
      <c r="AO201">
        <f t="shared" si="22"/>
        <v>-1007.4200000000001</v>
      </c>
      <c r="AP201" s="2">
        <f t="shared" si="23"/>
        <v>0.59999206664022209</v>
      </c>
      <c r="AQ201" s="2">
        <f t="shared" si="27"/>
        <v>18</v>
      </c>
      <c r="AR201">
        <f t="shared" si="24"/>
        <v>285</v>
      </c>
      <c r="AS201" t="str">
        <f t="shared" si="25"/>
        <v>Low Claim Ratio</v>
      </c>
      <c r="AT201" t="str">
        <f t="shared" si="26"/>
        <v>Low Profit</v>
      </c>
    </row>
    <row r="202" spans="1:46" x14ac:dyDescent="0.2">
      <c r="A202">
        <v>30</v>
      </c>
      <c r="B202">
        <v>31</v>
      </c>
      <c r="C202">
        <v>247116</v>
      </c>
      <c r="D202" s="1">
        <v>41062</v>
      </c>
      <c r="E202" t="s">
        <v>83</v>
      </c>
      <c r="F202" t="s">
        <v>40</v>
      </c>
      <c r="G202">
        <v>2000</v>
      </c>
      <c r="H202">
        <v>1153.3499999999999</v>
      </c>
      <c r="I202">
        <v>0</v>
      </c>
      <c r="J202">
        <v>430714</v>
      </c>
      <c r="K202" t="s">
        <v>41</v>
      </c>
      <c r="L202" t="s">
        <v>71</v>
      </c>
      <c r="M202" t="s">
        <v>43</v>
      </c>
      <c r="N202" t="s">
        <v>112</v>
      </c>
      <c r="O202" t="s">
        <v>142</v>
      </c>
      <c r="P202">
        <v>0</v>
      </c>
      <c r="Q202">
        <v>0</v>
      </c>
      <c r="R202" s="1">
        <v>42037</v>
      </c>
      <c r="S202" t="s">
        <v>61</v>
      </c>
      <c r="T202" t="s">
        <v>62</v>
      </c>
      <c r="U202" t="s">
        <v>212</v>
      </c>
      <c r="V202" t="s">
        <v>49</v>
      </c>
      <c r="W202" t="s">
        <v>77</v>
      </c>
      <c r="X202" t="s">
        <v>122</v>
      </c>
      <c r="Y202" t="s">
        <v>379</v>
      </c>
      <c r="Z202">
        <v>9</v>
      </c>
      <c r="AA202">
        <v>1</v>
      </c>
      <c r="AB202" t="s">
        <v>79</v>
      </c>
      <c r="AC202">
        <v>2</v>
      </c>
      <c r="AD202">
        <v>1</v>
      </c>
      <c r="AE202" t="s">
        <v>53</v>
      </c>
      <c r="AF202">
        <v>5760</v>
      </c>
      <c r="AG202">
        <v>960</v>
      </c>
      <c r="AH202">
        <v>960</v>
      </c>
      <c r="AI202">
        <v>3840</v>
      </c>
      <c r="AJ202" t="s">
        <v>153</v>
      </c>
      <c r="AK202" t="s">
        <v>163</v>
      </c>
      <c r="AL202">
        <v>2011</v>
      </c>
      <c r="AM202" t="s">
        <v>82</v>
      </c>
      <c r="AN202" s="2">
        <f t="shared" si="21"/>
        <v>4.9898211114480011</v>
      </c>
      <c r="AO202">
        <f t="shared" si="22"/>
        <v>-4606.6499999999996</v>
      </c>
      <c r="AP202" s="2">
        <f t="shared" si="23"/>
        <v>0.20019961812185383</v>
      </c>
      <c r="AQ202" s="2">
        <f t="shared" si="27"/>
        <v>4</v>
      </c>
      <c r="AR202">
        <f t="shared" si="24"/>
        <v>30</v>
      </c>
      <c r="AS202" t="str">
        <f t="shared" si="25"/>
        <v>Low Claim Ratio</v>
      </c>
      <c r="AT202" t="str">
        <f t="shared" si="26"/>
        <v>Low Profit</v>
      </c>
    </row>
    <row r="203" spans="1:46" x14ac:dyDescent="0.2">
      <c r="A203">
        <v>342</v>
      </c>
      <c r="B203">
        <v>49</v>
      </c>
      <c r="C203">
        <v>505969</v>
      </c>
      <c r="D203" s="1">
        <v>35892</v>
      </c>
      <c r="E203" t="s">
        <v>39</v>
      </c>
      <c r="F203" t="s">
        <v>40</v>
      </c>
      <c r="G203">
        <v>500</v>
      </c>
      <c r="H203">
        <v>1722.95</v>
      </c>
      <c r="I203">
        <v>0</v>
      </c>
      <c r="J203">
        <v>472634</v>
      </c>
      <c r="K203" t="s">
        <v>41</v>
      </c>
      <c r="L203" t="s">
        <v>71</v>
      </c>
      <c r="M203" t="s">
        <v>145</v>
      </c>
      <c r="N203" t="s">
        <v>106</v>
      </c>
      <c r="O203" t="s">
        <v>142</v>
      </c>
      <c r="P203">
        <v>63100</v>
      </c>
      <c r="Q203">
        <v>-13800</v>
      </c>
      <c r="R203" s="1">
        <v>42063</v>
      </c>
      <c r="S203" t="s">
        <v>46</v>
      </c>
      <c r="T203" t="s">
        <v>76</v>
      </c>
      <c r="U203" t="s">
        <v>63</v>
      </c>
      <c r="V203" t="s">
        <v>99</v>
      </c>
      <c r="W203" t="s">
        <v>113</v>
      </c>
      <c r="X203" t="s">
        <v>122</v>
      </c>
      <c r="Y203" t="s">
        <v>380</v>
      </c>
      <c r="Z203">
        <v>3</v>
      </c>
      <c r="AA203">
        <v>1</v>
      </c>
      <c r="AB203" t="s">
        <v>62</v>
      </c>
      <c r="AC203">
        <v>2</v>
      </c>
      <c r="AD203">
        <v>0</v>
      </c>
      <c r="AE203" t="s">
        <v>53</v>
      </c>
      <c r="AF203">
        <v>76700</v>
      </c>
      <c r="AG203">
        <v>7670</v>
      </c>
      <c r="AH203">
        <v>7670</v>
      </c>
      <c r="AI203">
        <v>61360</v>
      </c>
      <c r="AJ203" t="s">
        <v>153</v>
      </c>
      <c r="AK203" t="s">
        <v>154</v>
      </c>
      <c r="AL203">
        <v>2006</v>
      </c>
      <c r="AM203" t="s">
        <v>82</v>
      </c>
      <c r="AN203" s="2">
        <f t="shared" si="21"/>
        <v>44.490849502595779</v>
      </c>
      <c r="AO203">
        <f t="shared" si="22"/>
        <v>-74977.05</v>
      </c>
      <c r="AP203" s="2">
        <f t="shared" si="23"/>
        <v>2.2463201262043521E-2</v>
      </c>
      <c r="AQ203" s="2">
        <f t="shared" si="27"/>
        <v>9</v>
      </c>
      <c r="AR203">
        <f t="shared" si="24"/>
        <v>342</v>
      </c>
      <c r="AS203" t="str">
        <f t="shared" si="25"/>
        <v>High Claim Ratio</v>
      </c>
      <c r="AT203" t="str">
        <f t="shared" si="26"/>
        <v>High Profit</v>
      </c>
    </row>
    <row r="204" spans="1:46" x14ac:dyDescent="0.2">
      <c r="A204">
        <v>219</v>
      </c>
      <c r="B204">
        <v>39</v>
      </c>
      <c r="C204">
        <v>653864</v>
      </c>
      <c r="D204" s="1">
        <v>39197</v>
      </c>
      <c r="E204" t="s">
        <v>57</v>
      </c>
      <c r="F204" t="s">
        <v>40</v>
      </c>
      <c r="G204">
        <v>2000</v>
      </c>
      <c r="H204">
        <v>1281.07</v>
      </c>
      <c r="I204">
        <v>7000000</v>
      </c>
      <c r="J204">
        <v>608371</v>
      </c>
      <c r="K204" t="s">
        <v>70</v>
      </c>
      <c r="L204" t="s">
        <v>131</v>
      </c>
      <c r="M204" t="s">
        <v>135</v>
      </c>
      <c r="N204" t="s">
        <v>73</v>
      </c>
      <c r="O204" t="s">
        <v>85</v>
      </c>
      <c r="P204">
        <v>0</v>
      </c>
      <c r="Q204">
        <v>0</v>
      </c>
      <c r="R204" s="1">
        <v>42022</v>
      </c>
      <c r="S204" t="s">
        <v>138</v>
      </c>
      <c r="T204" t="s">
        <v>62</v>
      </c>
      <c r="U204" t="s">
        <v>212</v>
      </c>
      <c r="V204" t="s">
        <v>49</v>
      </c>
      <c r="W204" t="s">
        <v>77</v>
      </c>
      <c r="X204" t="s">
        <v>102</v>
      </c>
      <c r="Y204" t="s">
        <v>381</v>
      </c>
      <c r="Z204">
        <v>6</v>
      </c>
      <c r="AA204">
        <v>1</v>
      </c>
      <c r="AB204" t="s">
        <v>79</v>
      </c>
      <c r="AC204">
        <v>0</v>
      </c>
      <c r="AD204">
        <v>2</v>
      </c>
      <c r="AE204" t="s">
        <v>79</v>
      </c>
      <c r="AF204">
        <v>5920</v>
      </c>
      <c r="AG204">
        <v>740</v>
      </c>
      <c r="AH204">
        <v>740</v>
      </c>
      <c r="AI204">
        <v>4440</v>
      </c>
      <c r="AJ204" t="s">
        <v>89</v>
      </c>
      <c r="AK204" t="s">
        <v>245</v>
      </c>
      <c r="AL204">
        <v>2015</v>
      </c>
      <c r="AM204" t="s">
        <v>82</v>
      </c>
      <c r="AN204" s="2">
        <f t="shared" si="21"/>
        <v>4.6175325840242731</v>
      </c>
      <c r="AO204">
        <f t="shared" si="22"/>
        <v>-4638.93</v>
      </c>
      <c r="AP204" s="2">
        <f t="shared" si="23"/>
        <v>0.21636041209255191</v>
      </c>
      <c r="AQ204" s="2">
        <f t="shared" si="27"/>
        <v>0</v>
      </c>
      <c r="AR204">
        <f t="shared" si="24"/>
        <v>219</v>
      </c>
      <c r="AS204" t="str">
        <f t="shared" si="25"/>
        <v>Low Claim Ratio</v>
      </c>
      <c r="AT204" t="str">
        <f t="shared" si="26"/>
        <v>Low Profit</v>
      </c>
    </row>
    <row r="205" spans="1:46" x14ac:dyDescent="0.2">
      <c r="A205">
        <v>468</v>
      </c>
      <c r="B205">
        <v>62</v>
      </c>
      <c r="C205">
        <v>586367</v>
      </c>
      <c r="D205" s="1">
        <v>36707</v>
      </c>
      <c r="E205" t="s">
        <v>83</v>
      </c>
      <c r="F205" t="s">
        <v>69</v>
      </c>
      <c r="G205">
        <v>500</v>
      </c>
      <c r="H205">
        <v>1011.92</v>
      </c>
      <c r="I205">
        <v>0</v>
      </c>
      <c r="J205">
        <v>468168</v>
      </c>
      <c r="K205" t="s">
        <v>41</v>
      </c>
      <c r="L205" t="s">
        <v>71</v>
      </c>
      <c r="M205" t="s">
        <v>58</v>
      </c>
      <c r="N205" t="s">
        <v>165</v>
      </c>
      <c r="O205" t="s">
        <v>119</v>
      </c>
      <c r="P205">
        <v>0</v>
      </c>
      <c r="Q205">
        <v>0</v>
      </c>
      <c r="R205" s="1">
        <v>42050</v>
      </c>
      <c r="S205" t="s">
        <v>75</v>
      </c>
      <c r="T205" t="s">
        <v>76</v>
      </c>
      <c r="U205" t="s">
        <v>48</v>
      </c>
      <c r="V205" t="s">
        <v>99</v>
      </c>
      <c r="W205" t="s">
        <v>50</v>
      </c>
      <c r="X205" t="s">
        <v>65</v>
      </c>
      <c r="Y205" t="s">
        <v>382</v>
      </c>
      <c r="Z205">
        <v>7</v>
      </c>
      <c r="AA205">
        <v>3</v>
      </c>
      <c r="AB205" t="s">
        <v>53</v>
      </c>
      <c r="AC205">
        <v>0</v>
      </c>
      <c r="AD205">
        <v>3</v>
      </c>
      <c r="AE205" t="s">
        <v>62</v>
      </c>
      <c r="AF205">
        <v>64350</v>
      </c>
      <c r="AG205">
        <v>7150</v>
      </c>
      <c r="AH205">
        <v>7150</v>
      </c>
      <c r="AI205">
        <v>50050</v>
      </c>
      <c r="AJ205" t="s">
        <v>89</v>
      </c>
      <c r="AK205" t="s">
        <v>90</v>
      </c>
      <c r="AL205">
        <v>2009</v>
      </c>
      <c r="AM205" t="s">
        <v>82</v>
      </c>
      <c r="AN205" s="2">
        <f t="shared" si="21"/>
        <v>63.529202701101767</v>
      </c>
      <c r="AO205">
        <f t="shared" si="22"/>
        <v>-63338.080000000002</v>
      </c>
      <c r="AP205" s="2">
        <f t="shared" si="23"/>
        <v>1.5725008158381376E-2</v>
      </c>
      <c r="AQ205" s="2">
        <f t="shared" si="27"/>
        <v>6</v>
      </c>
      <c r="AR205">
        <f t="shared" si="24"/>
        <v>468</v>
      </c>
      <c r="AS205" t="str">
        <f t="shared" si="25"/>
        <v>High Claim Ratio</v>
      </c>
      <c r="AT205" t="str">
        <f t="shared" si="26"/>
        <v>High Profit</v>
      </c>
    </row>
    <row r="206" spans="1:46" x14ac:dyDescent="0.2">
      <c r="A206">
        <v>241</v>
      </c>
      <c r="B206">
        <v>39</v>
      </c>
      <c r="C206">
        <v>896890</v>
      </c>
      <c r="D206" s="1">
        <v>35220</v>
      </c>
      <c r="E206" t="s">
        <v>83</v>
      </c>
      <c r="F206" t="s">
        <v>40</v>
      </c>
      <c r="G206">
        <v>2000</v>
      </c>
      <c r="H206">
        <v>1042.26</v>
      </c>
      <c r="I206">
        <v>0</v>
      </c>
      <c r="J206">
        <v>464107</v>
      </c>
      <c r="K206" t="s">
        <v>41</v>
      </c>
      <c r="L206" t="s">
        <v>161</v>
      </c>
      <c r="M206" t="s">
        <v>72</v>
      </c>
      <c r="N206" t="s">
        <v>170</v>
      </c>
      <c r="O206" t="s">
        <v>45</v>
      </c>
      <c r="P206">
        <v>0</v>
      </c>
      <c r="Q206">
        <v>0</v>
      </c>
      <c r="R206" s="1">
        <v>42035</v>
      </c>
      <c r="S206" t="s">
        <v>75</v>
      </c>
      <c r="T206" t="s">
        <v>76</v>
      </c>
      <c r="U206" t="s">
        <v>107</v>
      </c>
      <c r="V206" t="s">
        <v>136</v>
      </c>
      <c r="W206" t="s">
        <v>113</v>
      </c>
      <c r="X206" t="s">
        <v>127</v>
      </c>
      <c r="Y206" t="s">
        <v>383</v>
      </c>
      <c r="Z206">
        <v>21</v>
      </c>
      <c r="AA206">
        <v>3</v>
      </c>
      <c r="AB206" t="s">
        <v>79</v>
      </c>
      <c r="AC206">
        <v>1</v>
      </c>
      <c r="AD206">
        <v>2</v>
      </c>
      <c r="AE206" t="s">
        <v>62</v>
      </c>
      <c r="AF206">
        <v>19080</v>
      </c>
      <c r="AG206">
        <v>4240</v>
      </c>
      <c r="AH206">
        <v>2120</v>
      </c>
      <c r="AI206">
        <v>12720</v>
      </c>
      <c r="AJ206" t="s">
        <v>54</v>
      </c>
      <c r="AK206">
        <v>93</v>
      </c>
      <c r="AL206">
        <v>1995</v>
      </c>
      <c r="AM206" t="s">
        <v>82</v>
      </c>
      <c r="AN206" s="2">
        <f t="shared" si="21"/>
        <v>18.288825412648812</v>
      </c>
      <c r="AO206">
        <f t="shared" si="22"/>
        <v>-18037.740000000002</v>
      </c>
      <c r="AP206" s="2">
        <f t="shared" si="23"/>
        <v>5.462292332686966E-2</v>
      </c>
      <c r="AQ206" s="2">
        <f t="shared" si="27"/>
        <v>20</v>
      </c>
      <c r="AR206">
        <f t="shared" si="24"/>
        <v>241</v>
      </c>
      <c r="AS206" t="str">
        <f t="shared" si="25"/>
        <v>Medium Claim Ratio</v>
      </c>
      <c r="AT206" t="str">
        <f t="shared" si="26"/>
        <v>High Profit</v>
      </c>
    </row>
    <row r="207" spans="1:46" x14ac:dyDescent="0.2">
      <c r="A207">
        <v>223</v>
      </c>
      <c r="B207">
        <v>43</v>
      </c>
      <c r="C207">
        <v>650026</v>
      </c>
      <c r="D207" s="1">
        <v>39942</v>
      </c>
      <c r="E207" t="s">
        <v>39</v>
      </c>
      <c r="F207" t="s">
        <v>91</v>
      </c>
      <c r="G207">
        <v>500</v>
      </c>
      <c r="H207">
        <v>1235.0999999999999</v>
      </c>
      <c r="I207">
        <v>0</v>
      </c>
      <c r="J207">
        <v>466959</v>
      </c>
      <c r="K207" t="s">
        <v>70</v>
      </c>
      <c r="L207" t="s">
        <v>124</v>
      </c>
      <c r="M207" t="s">
        <v>97</v>
      </c>
      <c r="N207" t="s">
        <v>264</v>
      </c>
      <c r="O207" t="s">
        <v>142</v>
      </c>
      <c r="P207">
        <v>66400</v>
      </c>
      <c r="Q207">
        <v>-34400</v>
      </c>
      <c r="R207" s="1">
        <v>42045</v>
      </c>
      <c r="S207" t="s">
        <v>46</v>
      </c>
      <c r="T207" t="s">
        <v>76</v>
      </c>
      <c r="U207" t="s">
        <v>63</v>
      </c>
      <c r="V207" t="s">
        <v>49</v>
      </c>
      <c r="W207" t="s">
        <v>50</v>
      </c>
      <c r="X207" t="s">
        <v>102</v>
      </c>
      <c r="Y207" t="s">
        <v>384</v>
      </c>
      <c r="Z207">
        <v>14</v>
      </c>
      <c r="AA207">
        <v>1</v>
      </c>
      <c r="AB207" t="s">
        <v>79</v>
      </c>
      <c r="AC207">
        <v>2</v>
      </c>
      <c r="AD207">
        <v>1</v>
      </c>
      <c r="AE207" t="s">
        <v>79</v>
      </c>
      <c r="AF207">
        <v>54400</v>
      </c>
      <c r="AG207">
        <v>5440</v>
      </c>
      <c r="AH207">
        <v>5440</v>
      </c>
      <c r="AI207">
        <v>43520</v>
      </c>
      <c r="AJ207" t="s">
        <v>187</v>
      </c>
      <c r="AK207" t="s">
        <v>201</v>
      </c>
      <c r="AL207">
        <v>2011</v>
      </c>
      <c r="AM207" t="s">
        <v>82</v>
      </c>
      <c r="AN207" s="2">
        <f t="shared" si="21"/>
        <v>44.009384354016667</v>
      </c>
      <c r="AO207">
        <f t="shared" si="22"/>
        <v>-53164.9</v>
      </c>
      <c r="AP207" s="2">
        <f t="shared" si="23"/>
        <v>2.2703626771566697E-2</v>
      </c>
      <c r="AQ207" s="2">
        <f t="shared" si="27"/>
        <v>4</v>
      </c>
      <c r="AR207">
        <f t="shared" si="24"/>
        <v>223</v>
      </c>
      <c r="AS207" t="str">
        <f t="shared" si="25"/>
        <v>High Claim Ratio</v>
      </c>
      <c r="AT207" t="str">
        <f t="shared" si="26"/>
        <v>High Profit</v>
      </c>
    </row>
    <row r="208" spans="1:46" x14ac:dyDescent="0.2">
      <c r="A208">
        <v>128</v>
      </c>
      <c r="B208">
        <v>32</v>
      </c>
      <c r="C208">
        <v>547744</v>
      </c>
      <c r="D208" s="1">
        <v>37080</v>
      </c>
      <c r="E208" t="s">
        <v>39</v>
      </c>
      <c r="F208" t="s">
        <v>69</v>
      </c>
      <c r="G208">
        <v>2000</v>
      </c>
      <c r="H208">
        <v>768.91</v>
      </c>
      <c r="I208">
        <v>0</v>
      </c>
      <c r="J208">
        <v>443522</v>
      </c>
      <c r="K208" t="s">
        <v>70</v>
      </c>
      <c r="L208" t="s">
        <v>141</v>
      </c>
      <c r="M208" t="s">
        <v>72</v>
      </c>
      <c r="N208" t="s">
        <v>168</v>
      </c>
      <c r="O208" t="s">
        <v>60</v>
      </c>
      <c r="P208">
        <v>0</v>
      </c>
      <c r="Q208">
        <v>-39300</v>
      </c>
      <c r="R208" s="1">
        <v>42061</v>
      </c>
      <c r="S208" t="s">
        <v>46</v>
      </c>
      <c r="T208" t="s">
        <v>76</v>
      </c>
      <c r="U208" t="s">
        <v>107</v>
      </c>
      <c r="V208" t="s">
        <v>99</v>
      </c>
      <c r="W208" t="s">
        <v>50</v>
      </c>
      <c r="X208" t="s">
        <v>51</v>
      </c>
      <c r="Y208" t="s">
        <v>385</v>
      </c>
      <c r="Z208">
        <v>0</v>
      </c>
      <c r="AA208">
        <v>1</v>
      </c>
      <c r="AB208" t="s">
        <v>62</v>
      </c>
      <c r="AC208">
        <v>1</v>
      </c>
      <c r="AD208">
        <v>0</v>
      </c>
      <c r="AE208" t="s">
        <v>79</v>
      </c>
      <c r="AF208">
        <v>59800</v>
      </c>
      <c r="AG208">
        <v>5980</v>
      </c>
      <c r="AH208">
        <v>5980</v>
      </c>
      <c r="AI208">
        <v>47840</v>
      </c>
      <c r="AJ208" t="s">
        <v>129</v>
      </c>
      <c r="AK208" t="s">
        <v>130</v>
      </c>
      <c r="AL208">
        <v>1999</v>
      </c>
      <c r="AM208" t="s">
        <v>56</v>
      </c>
      <c r="AN208" s="2">
        <f t="shared" si="21"/>
        <v>77.671416139548782</v>
      </c>
      <c r="AO208">
        <f t="shared" si="22"/>
        <v>-59031.09</v>
      </c>
      <c r="AP208" s="2">
        <f t="shared" si="23"/>
        <v>1.2857811742278557E-2</v>
      </c>
      <c r="AQ208" s="2">
        <f t="shared" si="27"/>
        <v>16</v>
      </c>
      <c r="AR208">
        <f t="shared" si="24"/>
        <v>128</v>
      </c>
      <c r="AS208" t="str">
        <f t="shared" si="25"/>
        <v>High Claim Ratio</v>
      </c>
      <c r="AT208" t="str">
        <f t="shared" si="26"/>
        <v>High Profit</v>
      </c>
    </row>
    <row r="209" spans="1:46" x14ac:dyDescent="0.2">
      <c r="A209">
        <v>124</v>
      </c>
      <c r="B209">
        <v>29</v>
      </c>
      <c r="C209">
        <v>598124</v>
      </c>
      <c r="D209" s="1">
        <v>34232</v>
      </c>
      <c r="E209" t="s">
        <v>39</v>
      </c>
      <c r="F209" t="s">
        <v>91</v>
      </c>
      <c r="G209">
        <v>500</v>
      </c>
      <c r="H209">
        <v>1301.72</v>
      </c>
      <c r="I209">
        <v>0</v>
      </c>
      <c r="J209">
        <v>441726</v>
      </c>
      <c r="K209" t="s">
        <v>41</v>
      </c>
      <c r="L209" t="s">
        <v>124</v>
      </c>
      <c r="M209" t="s">
        <v>159</v>
      </c>
      <c r="N209" t="s">
        <v>112</v>
      </c>
      <c r="O209" t="s">
        <v>45</v>
      </c>
      <c r="P209">
        <v>0</v>
      </c>
      <c r="Q209">
        <v>0</v>
      </c>
      <c r="R209" s="1">
        <v>42060</v>
      </c>
      <c r="S209" t="s">
        <v>75</v>
      </c>
      <c r="T209" t="s">
        <v>47</v>
      </c>
      <c r="U209" t="s">
        <v>48</v>
      </c>
      <c r="V209" t="s">
        <v>49</v>
      </c>
      <c r="W209" t="s">
        <v>64</v>
      </c>
      <c r="X209" t="s">
        <v>102</v>
      </c>
      <c r="Y209" t="s">
        <v>386</v>
      </c>
      <c r="Z209">
        <v>14</v>
      </c>
      <c r="AA209">
        <v>3</v>
      </c>
      <c r="AB209" t="s">
        <v>62</v>
      </c>
      <c r="AC209">
        <v>0</v>
      </c>
      <c r="AD209">
        <v>3</v>
      </c>
      <c r="AE209" t="s">
        <v>53</v>
      </c>
      <c r="AF209">
        <v>72000</v>
      </c>
      <c r="AG209">
        <v>7200</v>
      </c>
      <c r="AH209">
        <v>7200</v>
      </c>
      <c r="AI209">
        <v>57600</v>
      </c>
      <c r="AJ209" t="s">
        <v>109</v>
      </c>
      <c r="AK209" t="s">
        <v>134</v>
      </c>
      <c r="AL209">
        <v>2005</v>
      </c>
      <c r="AM209" t="s">
        <v>82</v>
      </c>
      <c r="AN209" s="2">
        <f t="shared" si="21"/>
        <v>55.268975681650701</v>
      </c>
      <c r="AO209">
        <f t="shared" si="22"/>
        <v>-70698.28</v>
      </c>
      <c r="AP209" s="2">
        <f t="shared" si="23"/>
        <v>1.8079193344536882E-2</v>
      </c>
      <c r="AQ209" s="2">
        <f t="shared" si="27"/>
        <v>10</v>
      </c>
      <c r="AR209">
        <f t="shared" si="24"/>
        <v>124</v>
      </c>
      <c r="AS209" t="str">
        <f t="shared" si="25"/>
        <v>High Claim Ratio</v>
      </c>
      <c r="AT209" t="str">
        <f t="shared" si="26"/>
        <v>High Profit</v>
      </c>
    </row>
    <row r="210" spans="1:46" x14ac:dyDescent="0.2">
      <c r="A210">
        <v>343</v>
      </c>
      <c r="B210">
        <v>48</v>
      </c>
      <c r="C210">
        <v>436126</v>
      </c>
      <c r="D210" s="1">
        <v>40120</v>
      </c>
      <c r="E210" t="s">
        <v>57</v>
      </c>
      <c r="F210" t="s">
        <v>40</v>
      </c>
      <c r="G210">
        <v>500</v>
      </c>
      <c r="H210">
        <v>1451.54</v>
      </c>
      <c r="I210">
        <v>3000000</v>
      </c>
      <c r="J210">
        <v>473412</v>
      </c>
      <c r="K210" t="s">
        <v>41</v>
      </c>
      <c r="L210" t="s">
        <v>161</v>
      </c>
      <c r="M210" t="s">
        <v>185</v>
      </c>
      <c r="N210" t="s">
        <v>149</v>
      </c>
      <c r="O210" t="s">
        <v>45</v>
      </c>
      <c r="P210">
        <v>0</v>
      </c>
      <c r="Q210">
        <v>0</v>
      </c>
      <c r="R210" s="1">
        <v>42012</v>
      </c>
      <c r="S210" t="s">
        <v>75</v>
      </c>
      <c r="T210" t="s">
        <v>47</v>
      </c>
      <c r="U210" t="s">
        <v>107</v>
      </c>
      <c r="V210" t="s">
        <v>49</v>
      </c>
      <c r="W210" t="s">
        <v>50</v>
      </c>
      <c r="X210" t="s">
        <v>65</v>
      </c>
      <c r="Y210" t="s">
        <v>387</v>
      </c>
      <c r="Z210">
        <v>13</v>
      </c>
      <c r="AA210">
        <v>4</v>
      </c>
      <c r="AB210" t="s">
        <v>79</v>
      </c>
      <c r="AC210">
        <v>2</v>
      </c>
      <c r="AD210">
        <v>3</v>
      </c>
      <c r="AE210" t="s">
        <v>79</v>
      </c>
      <c r="AF210">
        <v>65070</v>
      </c>
      <c r="AG210">
        <v>7230</v>
      </c>
      <c r="AH210">
        <v>14460</v>
      </c>
      <c r="AI210">
        <v>43380</v>
      </c>
      <c r="AJ210" t="s">
        <v>67</v>
      </c>
      <c r="AK210" t="s">
        <v>193</v>
      </c>
      <c r="AL210">
        <v>2003</v>
      </c>
      <c r="AM210" t="s">
        <v>82</v>
      </c>
      <c r="AN210" s="2">
        <f t="shared" si="21"/>
        <v>44.797389400636128</v>
      </c>
      <c r="AO210">
        <f t="shared" si="22"/>
        <v>-63618.46</v>
      </c>
      <c r="AP210" s="2">
        <f t="shared" si="23"/>
        <v>2.2307018487498272E-2</v>
      </c>
      <c r="AQ210" s="2">
        <f t="shared" si="27"/>
        <v>12</v>
      </c>
      <c r="AR210">
        <f t="shared" si="24"/>
        <v>343</v>
      </c>
      <c r="AS210" t="str">
        <f t="shared" si="25"/>
        <v>High Claim Ratio</v>
      </c>
      <c r="AT210" t="str">
        <f t="shared" si="26"/>
        <v>High Profit</v>
      </c>
    </row>
    <row r="211" spans="1:46" x14ac:dyDescent="0.2">
      <c r="A211">
        <v>404</v>
      </c>
      <c r="B211">
        <v>53</v>
      </c>
      <c r="C211">
        <v>739447</v>
      </c>
      <c r="D211" s="1">
        <v>41983</v>
      </c>
      <c r="E211" t="s">
        <v>57</v>
      </c>
      <c r="F211" t="s">
        <v>40</v>
      </c>
      <c r="G211">
        <v>500</v>
      </c>
      <c r="H211">
        <v>767.14</v>
      </c>
      <c r="I211">
        <v>0</v>
      </c>
      <c r="J211">
        <v>466201</v>
      </c>
      <c r="K211" t="s">
        <v>41</v>
      </c>
      <c r="L211" t="s">
        <v>92</v>
      </c>
      <c r="M211" t="s">
        <v>72</v>
      </c>
      <c r="N211" t="s">
        <v>59</v>
      </c>
      <c r="O211" t="s">
        <v>142</v>
      </c>
      <c r="P211">
        <v>25500</v>
      </c>
      <c r="Q211">
        <v>-36700</v>
      </c>
      <c r="R211" s="1">
        <v>42018</v>
      </c>
      <c r="S211" t="s">
        <v>138</v>
      </c>
      <c r="T211" t="s">
        <v>62</v>
      </c>
      <c r="U211" t="s">
        <v>212</v>
      </c>
      <c r="V211" t="s">
        <v>49</v>
      </c>
      <c r="W211" t="s">
        <v>113</v>
      </c>
      <c r="X211" t="s">
        <v>51</v>
      </c>
      <c r="Y211" t="s">
        <v>388</v>
      </c>
      <c r="Z211">
        <v>8</v>
      </c>
      <c r="AA211">
        <v>1</v>
      </c>
      <c r="AB211" t="s">
        <v>79</v>
      </c>
      <c r="AC211">
        <v>0</v>
      </c>
      <c r="AD211">
        <v>1</v>
      </c>
      <c r="AE211" t="s">
        <v>79</v>
      </c>
      <c r="AF211">
        <v>8800</v>
      </c>
      <c r="AG211">
        <v>1760</v>
      </c>
      <c r="AH211">
        <v>880</v>
      </c>
      <c r="AI211">
        <v>6160</v>
      </c>
      <c r="AJ211" t="s">
        <v>153</v>
      </c>
      <c r="AK211" t="s">
        <v>154</v>
      </c>
      <c r="AL211">
        <v>2002</v>
      </c>
      <c r="AM211" t="s">
        <v>82</v>
      </c>
      <c r="AN211" s="2">
        <f t="shared" si="21"/>
        <v>11.456244955346682</v>
      </c>
      <c r="AO211">
        <f t="shared" si="22"/>
        <v>-8032.86</v>
      </c>
      <c r="AP211" s="2">
        <f t="shared" si="23"/>
        <v>8.7165094875582314E-2</v>
      </c>
      <c r="AQ211" s="2">
        <f t="shared" si="27"/>
        <v>13</v>
      </c>
      <c r="AR211">
        <f t="shared" si="24"/>
        <v>404</v>
      </c>
      <c r="AS211" t="str">
        <f t="shared" si="25"/>
        <v>Medium Claim Ratio</v>
      </c>
      <c r="AT211" t="str">
        <f t="shared" si="26"/>
        <v>High Profit</v>
      </c>
    </row>
    <row r="212" spans="1:46" x14ac:dyDescent="0.2">
      <c r="A212">
        <v>63</v>
      </c>
      <c r="B212">
        <v>24</v>
      </c>
      <c r="C212">
        <v>427484</v>
      </c>
      <c r="D212" s="1">
        <v>34342</v>
      </c>
      <c r="E212" t="s">
        <v>39</v>
      </c>
      <c r="F212" t="s">
        <v>40</v>
      </c>
      <c r="G212">
        <v>2000</v>
      </c>
      <c r="H212">
        <v>1620.89</v>
      </c>
      <c r="I212">
        <v>0</v>
      </c>
      <c r="J212">
        <v>469621</v>
      </c>
      <c r="K212" t="s">
        <v>70</v>
      </c>
      <c r="L212" t="s">
        <v>131</v>
      </c>
      <c r="M212" t="s">
        <v>159</v>
      </c>
      <c r="N212" t="s">
        <v>146</v>
      </c>
      <c r="O212" t="s">
        <v>60</v>
      </c>
      <c r="P212">
        <v>0</v>
      </c>
      <c r="Q212">
        <v>0</v>
      </c>
      <c r="R212" s="1">
        <v>42038</v>
      </c>
      <c r="S212" t="s">
        <v>61</v>
      </c>
      <c r="T212" t="s">
        <v>62</v>
      </c>
      <c r="U212" t="s">
        <v>63</v>
      </c>
      <c r="V212" t="s">
        <v>49</v>
      </c>
      <c r="W212" t="s">
        <v>121</v>
      </c>
      <c r="X212" t="s">
        <v>122</v>
      </c>
      <c r="Y212" t="s">
        <v>389</v>
      </c>
      <c r="Z212">
        <v>7</v>
      </c>
      <c r="AA212">
        <v>1</v>
      </c>
      <c r="AB212" t="s">
        <v>79</v>
      </c>
      <c r="AC212">
        <v>2</v>
      </c>
      <c r="AD212">
        <v>0</v>
      </c>
      <c r="AE212" t="s">
        <v>79</v>
      </c>
      <c r="AF212">
        <v>6120</v>
      </c>
      <c r="AG212">
        <v>1020</v>
      </c>
      <c r="AH212">
        <v>1020</v>
      </c>
      <c r="AI212">
        <v>4080</v>
      </c>
      <c r="AJ212" t="s">
        <v>115</v>
      </c>
      <c r="AK212" t="s">
        <v>183</v>
      </c>
      <c r="AL212">
        <v>2015</v>
      </c>
      <c r="AM212" t="s">
        <v>82</v>
      </c>
      <c r="AN212" s="2">
        <f t="shared" si="21"/>
        <v>3.7733755063536982</v>
      </c>
      <c r="AO212">
        <f t="shared" si="22"/>
        <v>-4499.1099999999997</v>
      </c>
      <c r="AP212" s="2">
        <f t="shared" si="23"/>
        <v>0.26480803790230356</v>
      </c>
      <c r="AQ212" s="2">
        <f t="shared" si="27"/>
        <v>0</v>
      </c>
      <c r="AR212">
        <f t="shared" si="24"/>
        <v>63</v>
      </c>
      <c r="AS212" t="str">
        <f t="shared" si="25"/>
        <v>Low Claim Ratio</v>
      </c>
      <c r="AT212" t="str">
        <f t="shared" si="26"/>
        <v>Low Profit</v>
      </c>
    </row>
    <row r="213" spans="1:46" x14ac:dyDescent="0.2">
      <c r="A213">
        <v>210</v>
      </c>
      <c r="B213">
        <v>37</v>
      </c>
      <c r="C213">
        <v>218684</v>
      </c>
      <c r="D213" s="1">
        <v>38934</v>
      </c>
      <c r="E213" t="s">
        <v>57</v>
      </c>
      <c r="F213" t="s">
        <v>91</v>
      </c>
      <c r="G213">
        <v>2000</v>
      </c>
      <c r="H213">
        <v>1048.46</v>
      </c>
      <c r="I213">
        <v>0</v>
      </c>
      <c r="J213">
        <v>466676</v>
      </c>
      <c r="K213" t="s">
        <v>41</v>
      </c>
      <c r="L213" t="s">
        <v>131</v>
      </c>
      <c r="M213" t="s">
        <v>117</v>
      </c>
      <c r="N213" t="s">
        <v>132</v>
      </c>
      <c r="O213" t="s">
        <v>142</v>
      </c>
      <c r="P213">
        <v>59900</v>
      </c>
      <c r="Q213">
        <v>0</v>
      </c>
      <c r="R213" s="1">
        <v>42009</v>
      </c>
      <c r="S213" t="s">
        <v>61</v>
      </c>
      <c r="T213" t="s">
        <v>62</v>
      </c>
      <c r="U213" t="s">
        <v>212</v>
      </c>
      <c r="V213" t="s">
        <v>93</v>
      </c>
      <c r="W213" t="s">
        <v>39</v>
      </c>
      <c r="X213" t="s">
        <v>51</v>
      </c>
      <c r="Y213" t="s">
        <v>390</v>
      </c>
      <c r="Z213">
        <v>9</v>
      </c>
      <c r="AA213">
        <v>1</v>
      </c>
      <c r="AB213" t="s">
        <v>62</v>
      </c>
      <c r="AC213">
        <v>1</v>
      </c>
      <c r="AD213">
        <v>2</v>
      </c>
      <c r="AE213" t="s">
        <v>62</v>
      </c>
      <c r="AF213">
        <v>7080</v>
      </c>
      <c r="AG213">
        <v>1180</v>
      </c>
      <c r="AH213">
        <v>590</v>
      </c>
      <c r="AI213">
        <v>5310</v>
      </c>
      <c r="AJ213" t="s">
        <v>80</v>
      </c>
      <c r="AK213" t="s">
        <v>81</v>
      </c>
      <c r="AL213">
        <v>1999</v>
      </c>
      <c r="AM213" t="s">
        <v>82</v>
      </c>
      <c r="AN213" s="2">
        <f t="shared" si="21"/>
        <v>6.7463266822937511</v>
      </c>
      <c r="AO213">
        <f t="shared" si="22"/>
        <v>-6031.54</v>
      </c>
      <c r="AP213" s="2">
        <f t="shared" si="23"/>
        <v>0.1480666572518006</v>
      </c>
      <c r="AQ213" s="2">
        <f t="shared" si="27"/>
        <v>16</v>
      </c>
      <c r="AR213">
        <f t="shared" si="24"/>
        <v>210</v>
      </c>
      <c r="AS213" t="str">
        <f t="shared" si="25"/>
        <v>Medium Claim Ratio</v>
      </c>
      <c r="AT213" t="str">
        <f t="shared" si="26"/>
        <v>High Profit</v>
      </c>
    </row>
    <row r="214" spans="1:46" x14ac:dyDescent="0.2">
      <c r="A214">
        <v>335</v>
      </c>
      <c r="B214">
        <v>50</v>
      </c>
      <c r="C214">
        <v>565564</v>
      </c>
      <c r="D214" s="1">
        <v>39120</v>
      </c>
      <c r="E214" t="s">
        <v>39</v>
      </c>
      <c r="F214" t="s">
        <v>69</v>
      </c>
      <c r="G214">
        <v>1000</v>
      </c>
      <c r="H214">
        <v>1538.26</v>
      </c>
      <c r="I214">
        <v>6000000</v>
      </c>
      <c r="J214">
        <v>615346</v>
      </c>
      <c r="K214" t="s">
        <v>41</v>
      </c>
      <c r="L214" t="s">
        <v>131</v>
      </c>
      <c r="M214" t="s">
        <v>72</v>
      </c>
      <c r="N214" t="s">
        <v>155</v>
      </c>
      <c r="O214" t="s">
        <v>60</v>
      </c>
      <c r="P214">
        <v>62200</v>
      </c>
      <c r="Q214">
        <v>-31400</v>
      </c>
      <c r="R214" s="1">
        <v>42028</v>
      </c>
      <c r="S214" t="s">
        <v>75</v>
      </c>
      <c r="T214" t="s">
        <v>47</v>
      </c>
      <c r="U214" t="s">
        <v>63</v>
      </c>
      <c r="V214" t="s">
        <v>136</v>
      </c>
      <c r="W214" t="s">
        <v>77</v>
      </c>
      <c r="X214" t="s">
        <v>65</v>
      </c>
      <c r="Y214" t="s">
        <v>391</v>
      </c>
      <c r="Z214">
        <v>12</v>
      </c>
      <c r="AA214">
        <v>3</v>
      </c>
      <c r="AB214" t="s">
        <v>53</v>
      </c>
      <c r="AC214">
        <v>2</v>
      </c>
      <c r="AD214">
        <v>3</v>
      </c>
      <c r="AE214" t="s">
        <v>53</v>
      </c>
      <c r="AF214">
        <v>34320</v>
      </c>
      <c r="AG214">
        <v>8580</v>
      </c>
      <c r="AH214">
        <v>4290</v>
      </c>
      <c r="AI214">
        <v>21450</v>
      </c>
      <c r="AJ214" t="s">
        <v>214</v>
      </c>
      <c r="AK214" t="s">
        <v>215</v>
      </c>
      <c r="AL214">
        <v>2009</v>
      </c>
      <c r="AM214" t="s">
        <v>82</v>
      </c>
      <c r="AN214" s="2">
        <f t="shared" si="21"/>
        <v>22.296428153788185</v>
      </c>
      <c r="AO214">
        <f t="shared" si="22"/>
        <v>-32781.74</v>
      </c>
      <c r="AP214" s="2">
        <f t="shared" si="23"/>
        <v>4.4819789633169196E-2</v>
      </c>
      <c r="AQ214" s="2">
        <f t="shared" si="27"/>
        <v>6</v>
      </c>
      <c r="AR214">
        <f t="shared" si="24"/>
        <v>335</v>
      </c>
      <c r="AS214" t="str">
        <f t="shared" si="25"/>
        <v>High Claim Ratio</v>
      </c>
      <c r="AT214" t="str">
        <f t="shared" si="26"/>
        <v>High Profit</v>
      </c>
    </row>
    <row r="215" spans="1:46" x14ac:dyDescent="0.2">
      <c r="A215">
        <v>11</v>
      </c>
      <c r="B215">
        <v>40</v>
      </c>
      <c r="C215">
        <v>743163</v>
      </c>
      <c r="D215" s="1">
        <v>36990</v>
      </c>
      <c r="E215" t="s">
        <v>39</v>
      </c>
      <c r="F215" t="s">
        <v>91</v>
      </c>
      <c r="G215">
        <v>2000</v>
      </c>
      <c r="H215">
        <v>1217.69</v>
      </c>
      <c r="I215">
        <v>0</v>
      </c>
      <c r="J215">
        <v>440106</v>
      </c>
      <c r="K215" t="s">
        <v>70</v>
      </c>
      <c r="L215" t="s">
        <v>42</v>
      </c>
      <c r="M215" t="s">
        <v>101</v>
      </c>
      <c r="N215" t="s">
        <v>59</v>
      </c>
      <c r="O215" t="s">
        <v>119</v>
      </c>
      <c r="P215">
        <v>24000</v>
      </c>
      <c r="Q215">
        <v>0</v>
      </c>
      <c r="R215" s="1">
        <v>42030</v>
      </c>
      <c r="S215" t="s">
        <v>75</v>
      </c>
      <c r="T215" t="s">
        <v>47</v>
      </c>
      <c r="U215" t="s">
        <v>48</v>
      </c>
      <c r="V215" t="s">
        <v>120</v>
      </c>
      <c r="W215" t="s">
        <v>50</v>
      </c>
      <c r="X215" t="s">
        <v>102</v>
      </c>
      <c r="Y215" t="s">
        <v>392</v>
      </c>
      <c r="Z215">
        <v>6</v>
      </c>
      <c r="AA215">
        <v>3</v>
      </c>
      <c r="AB215" t="s">
        <v>62</v>
      </c>
      <c r="AC215">
        <v>1</v>
      </c>
      <c r="AD215">
        <v>0</v>
      </c>
      <c r="AE215" t="s">
        <v>62</v>
      </c>
      <c r="AF215">
        <v>53460</v>
      </c>
      <c r="AG215">
        <v>9720</v>
      </c>
      <c r="AH215">
        <v>9720</v>
      </c>
      <c r="AI215">
        <v>34020</v>
      </c>
      <c r="AJ215" t="s">
        <v>80</v>
      </c>
      <c r="AK215" t="s">
        <v>144</v>
      </c>
      <c r="AL215">
        <v>2004</v>
      </c>
      <c r="AM215" t="s">
        <v>56</v>
      </c>
      <c r="AN215" s="2">
        <f t="shared" si="21"/>
        <v>43.866774979691307</v>
      </c>
      <c r="AO215">
        <f t="shared" si="22"/>
        <v>-52242.31</v>
      </c>
      <c r="AP215" s="2">
        <f t="shared" si="23"/>
        <v>2.2777164662090121E-2</v>
      </c>
      <c r="AQ215" s="2">
        <f t="shared" si="27"/>
        <v>11</v>
      </c>
      <c r="AR215">
        <f t="shared" si="24"/>
        <v>11</v>
      </c>
      <c r="AS215" t="str">
        <f t="shared" si="25"/>
        <v>High Claim Ratio</v>
      </c>
      <c r="AT215" t="str">
        <f t="shared" si="26"/>
        <v>High Profit</v>
      </c>
    </row>
    <row r="216" spans="1:46" x14ac:dyDescent="0.2">
      <c r="A216">
        <v>142</v>
      </c>
      <c r="B216">
        <v>33</v>
      </c>
      <c r="C216">
        <v>604614</v>
      </c>
      <c r="D216" s="1">
        <v>34747</v>
      </c>
      <c r="E216" t="s">
        <v>57</v>
      </c>
      <c r="F216" t="s">
        <v>69</v>
      </c>
      <c r="G216">
        <v>2000</v>
      </c>
      <c r="H216">
        <v>1362.64</v>
      </c>
      <c r="I216">
        <v>5000000</v>
      </c>
      <c r="J216">
        <v>450332</v>
      </c>
      <c r="K216" t="s">
        <v>70</v>
      </c>
      <c r="L216" t="s">
        <v>161</v>
      </c>
      <c r="M216" t="s">
        <v>125</v>
      </c>
      <c r="N216" t="s">
        <v>242</v>
      </c>
      <c r="O216" t="s">
        <v>119</v>
      </c>
      <c r="P216">
        <v>0</v>
      </c>
      <c r="Q216">
        <v>0</v>
      </c>
      <c r="R216" s="1">
        <v>42025</v>
      </c>
      <c r="S216" t="s">
        <v>46</v>
      </c>
      <c r="T216" t="s">
        <v>47</v>
      </c>
      <c r="U216" t="s">
        <v>107</v>
      </c>
      <c r="V216" t="s">
        <v>120</v>
      </c>
      <c r="W216" t="s">
        <v>121</v>
      </c>
      <c r="X216" t="s">
        <v>51</v>
      </c>
      <c r="Y216" t="s">
        <v>393</v>
      </c>
      <c r="Z216">
        <v>11</v>
      </c>
      <c r="AA216">
        <v>1</v>
      </c>
      <c r="AB216" t="s">
        <v>53</v>
      </c>
      <c r="AC216">
        <v>1</v>
      </c>
      <c r="AD216">
        <v>3</v>
      </c>
      <c r="AE216" t="s">
        <v>62</v>
      </c>
      <c r="AF216">
        <v>81360</v>
      </c>
      <c r="AG216">
        <v>6780</v>
      </c>
      <c r="AH216">
        <v>13560</v>
      </c>
      <c r="AI216">
        <v>61020</v>
      </c>
      <c r="AJ216" t="s">
        <v>153</v>
      </c>
      <c r="AK216" t="s">
        <v>154</v>
      </c>
      <c r="AL216">
        <v>2009</v>
      </c>
      <c r="AM216" t="s">
        <v>56</v>
      </c>
      <c r="AN216" s="2">
        <f t="shared" si="21"/>
        <v>59.663840896424269</v>
      </c>
      <c r="AO216">
        <f t="shared" si="22"/>
        <v>-79997.36</v>
      </c>
      <c r="AP216" s="2">
        <f t="shared" si="23"/>
        <v>1.6748073401261047E-2</v>
      </c>
      <c r="AQ216" s="2">
        <f t="shared" si="27"/>
        <v>6</v>
      </c>
      <c r="AR216">
        <f t="shared" si="24"/>
        <v>142</v>
      </c>
      <c r="AS216" t="str">
        <f t="shared" si="25"/>
        <v>High Claim Ratio</v>
      </c>
      <c r="AT216" t="str">
        <f t="shared" si="26"/>
        <v>High Profit</v>
      </c>
    </row>
    <row r="217" spans="1:46" x14ac:dyDescent="0.2">
      <c r="A217">
        <v>272</v>
      </c>
      <c r="B217">
        <v>43</v>
      </c>
      <c r="C217">
        <v>509928</v>
      </c>
      <c r="D217" s="1">
        <v>34905</v>
      </c>
      <c r="E217" t="s">
        <v>39</v>
      </c>
      <c r="F217" t="s">
        <v>69</v>
      </c>
      <c r="G217">
        <v>1000</v>
      </c>
      <c r="H217">
        <v>1279.1300000000001</v>
      </c>
      <c r="I217">
        <v>0</v>
      </c>
      <c r="J217">
        <v>615226</v>
      </c>
      <c r="K217" t="s">
        <v>41</v>
      </c>
      <c r="L217" t="s">
        <v>71</v>
      </c>
      <c r="M217" t="s">
        <v>43</v>
      </c>
      <c r="N217" t="s">
        <v>98</v>
      </c>
      <c r="O217" t="s">
        <v>60</v>
      </c>
      <c r="P217">
        <v>0</v>
      </c>
      <c r="Q217">
        <v>0</v>
      </c>
      <c r="R217" s="1">
        <v>42041</v>
      </c>
      <c r="S217" t="s">
        <v>75</v>
      </c>
      <c r="T217" t="s">
        <v>47</v>
      </c>
      <c r="U217" t="s">
        <v>63</v>
      </c>
      <c r="V217" t="s">
        <v>136</v>
      </c>
      <c r="W217" t="s">
        <v>121</v>
      </c>
      <c r="X217" t="s">
        <v>102</v>
      </c>
      <c r="Y217" t="s">
        <v>394</v>
      </c>
      <c r="Z217">
        <v>5</v>
      </c>
      <c r="AA217">
        <v>3</v>
      </c>
      <c r="AB217" t="s">
        <v>62</v>
      </c>
      <c r="AC217">
        <v>1</v>
      </c>
      <c r="AD217">
        <v>2</v>
      </c>
      <c r="AE217" t="s">
        <v>53</v>
      </c>
      <c r="AF217">
        <v>81070</v>
      </c>
      <c r="AG217">
        <v>7370</v>
      </c>
      <c r="AH217">
        <v>14740</v>
      </c>
      <c r="AI217">
        <v>58960</v>
      </c>
      <c r="AJ217" t="s">
        <v>109</v>
      </c>
      <c r="AK217" t="s">
        <v>134</v>
      </c>
      <c r="AL217">
        <v>2006</v>
      </c>
      <c r="AM217" t="s">
        <v>56</v>
      </c>
      <c r="AN217" s="2">
        <f t="shared" si="21"/>
        <v>63.329505597087788</v>
      </c>
      <c r="AO217">
        <f t="shared" si="22"/>
        <v>-79790.87</v>
      </c>
      <c r="AP217" s="2">
        <f t="shared" si="23"/>
        <v>1.5777898385365915E-2</v>
      </c>
      <c r="AQ217" s="2">
        <f t="shared" si="27"/>
        <v>9</v>
      </c>
      <c r="AR217">
        <f t="shared" si="24"/>
        <v>272</v>
      </c>
      <c r="AS217" t="str">
        <f t="shared" si="25"/>
        <v>High Claim Ratio</v>
      </c>
      <c r="AT217" t="str">
        <f t="shared" si="26"/>
        <v>High Profit</v>
      </c>
    </row>
    <row r="218" spans="1:46" x14ac:dyDescent="0.2">
      <c r="A218">
        <v>69</v>
      </c>
      <c r="B218">
        <v>26</v>
      </c>
      <c r="C218">
        <v>593390</v>
      </c>
      <c r="D218" s="1">
        <v>38800</v>
      </c>
      <c r="E218" t="s">
        <v>83</v>
      </c>
      <c r="F218" t="s">
        <v>69</v>
      </c>
      <c r="G218">
        <v>2000</v>
      </c>
      <c r="H218">
        <v>924.72</v>
      </c>
      <c r="I218">
        <v>0</v>
      </c>
      <c r="J218">
        <v>437688</v>
      </c>
      <c r="K218" t="s">
        <v>70</v>
      </c>
      <c r="L218" t="s">
        <v>131</v>
      </c>
      <c r="M218" t="s">
        <v>58</v>
      </c>
      <c r="N218" t="s">
        <v>106</v>
      </c>
      <c r="O218" t="s">
        <v>85</v>
      </c>
      <c r="P218">
        <v>0</v>
      </c>
      <c r="Q218">
        <v>0</v>
      </c>
      <c r="R218" s="1">
        <v>42011</v>
      </c>
      <c r="S218" t="s">
        <v>46</v>
      </c>
      <c r="T218" t="s">
        <v>86</v>
      </c>
      <c r="U218" t="s">
        <v>63</v>
      </c>
      <c r="V218" t="s">
        <v>99</v>
      </c>
      <c r="W218" t="s">
        <v>77</v>
      </c>
      <c r="X218" t="s">
        <v>51</v>
      </c>
      <c r="Y218" t="s">
        <v>395</v>
      </c>
      <c r="Z218">
        <v>14</v>
      </c>
      <c r="AA218">
        <v>1</v>
      </c>
      <c r="AB218" t="s">
        <v>79</v>
      </c>
      <c r="AC218">
        <v>2</v>
      </c>
      <c r="AD218">
        <v>2</v>
      </c>
      <c r="AE218" t="s">
        <v>79</v>
      </c>
      <c r="AF218">
        <v>63120</v>
      </c>
      <c r="AG218">
        <v>5260</v>
      </c>
      <c r="AH218">
        <v>10520</v>
      </c>
      <c r="AI218">
        <v>47340</v>
      </c>
      <c r="AJ218" t="s">
        <v>109</v>
      </c>
      <c r="AK218" t="s">
        <v>110</v>
      </c>
      <c r="AL218">
        <v>2008</v>
      </c>
      <c r="AM218" t="s">
        <v>82</v>
      </c>
      <c r="AN218" s="2">
        <f t="shared" si="21"/>
        <v>68.184764291578446</v>
      </c>
      <c r="AO218">
        <f t="shared" si="22"/>
        <v>-62195.28</v>
      </c>
      <c r="AP218" s="2">
        <f t="shared" si="23"/>
        <v>1.4649958017141682E-2</v>
      </c>
      <c r="AQ218" s="2">
        <f t="shared" si="27"/>
        <v>7</v>
      </c>
      <c r="AR218">
        <f t="shared" si="24"/>
        <v>69</v>
      </c>
      <c r="AS218" t="str">
        <f t="shared" si="25"/>
        <v>High Claim Ratio</v>
      </c>
      <c r="AT218" t="str">
        <f t="shared" si="26"/>
        <v>High Profit</v>
      </c>
    </row>
    <row r="219" spans="1:46" x14ac:dyDescent="0.2">
      <c r="A219">
        <v>38</v>
      </c>
      <c r="B219">
        <v>28</v>
      </c>
      <c r="C219">
        <v>970607</v>
      </c>
      <c r="D219" s="1">
        <v>34786</v>
      </c>
      <c r="E219" t="s">
        <v>39</v>
      </c>
      <c r="F219" t="s">
        <v>40</v>
      </c>
      <c r="G219">
        <v>1000</v>
      </c>
      <c r="H219">
        <v>1019.44</v>
      </c>
      <c r="I219">
        <v>0</v>
      </c>
      <c r="J219">
        <v>437387</v>
      </c>
      <c r="K219" t="s">
        <v>41</v>
      </c>
      <c r="L219" t="s">
        <v>124</v>
      </c>
      <c r="M219" t="s">
        <v>145</v>
      </c>
      <c r="N219" t="s">
        <v>155</v>
      </c>
      <c r="O219" t="s">
        <v>142</v>
      </c>
      <c r="P219">
        <v>0</v>
      </c>
      <c r="Q219">
        <v>-39700</v>
      </c>
      <c r="R219" s="1">
        <v>42045</v>
      </c>
      <c r="S219" t="s">
        <v>61</v>
      </c>
      <c r="T219" t="s">
        <v>62</v>
      </c>
      <c r="U219" t="s">
        <v>212</v>
      </c>
      <c r="V219" t="s">
        <v>93</v>
      </c>
      <c r="W219" t="s">
        <v>121</v>
      </c>
      <c r="X219" t="s">
        <v>102</v>
      </c>
      <c r="Y219" t="s">
        <v>396</v>
      </c>
      <c r="Z219">
        <v>17</v>
      </c>
      <c r="AA219">
        <v>1</v>
      </c>
      <c r="AB219" t="s">
        <v>62</v>
      </c>
      <c r="AC219">
        <v>2</v>
      </c>
      <c r="AD219">
        <v>1</v>
      </c>
      <c r="AE219" t="s">
        <v>79</v>
      </c>
      <c r="AF219">
        <v>7200</v>
      </c>
      <c r="AG219">
        <v>1440</v>
      </c>
      <c r="AH219">
        <v>720</v>
      </c>
      <c r="AI219">
        <v>5040</v>
      </c>
      <c r="AJ219" t="s">
        <v>187</v>
      </c>
      <c r="AK219" t="s">
        <v>203</v>
      </c>
      <c r="AL219">
        <v>2004</v>
      </c>
      <c r="AM219" t="s">
        <v>82</v>
      </c>
      <c r="AN219" s="2">
        <f t="shared" si="21"/>
        <v>7.0557798596683776</v>
      </c>
      <c r="AO219">
        <f t="shared" si="22"/>
        <v>-6180.5599999999995</v>
      </c>
      <c r="AP219" s="2">
        <f t="shared" si="23"/>
        <v>0.14156922649631995</v>
      </c>
      <c r="AQ219" s="2">
        <f t="shared" si="27"/>
        <v>11</v>
      </c>
      <c r="AR219">
        <f t="shared" si="24"/>
        <v>38</v>
      </c>
      <c r="AS219" t="str">
        <f t="shared" si="25"/>
        <v>Medium Claim Ratio</v>
      </c>
      <c r="AT219" t="str">
        <f t="shared" si="26"/>
        <v>High Profit</v>
      </c>
    </row>
    <row r="220" spans="1:46" x14ac:dyDescent="0.2">
      <c r="A220">
        <v>328</v>
      </c>
      <c r="B220">
        <v>46</v>
      </c>
      <c r="C220">
        <v>174701</v>
      </c>
      <c r="D220" s="1">
        <v>35235</v>
      </c>
      <c r="E220" t="s">
        <v>83</v>
      </c>
      <c r="F220" t="s">
        <v>91</v>
      </c>
      <c r="G220">
        <v>500</v>
      </c>
      <c r="H220">
        <v>1314.6</v>
      </c>
      <c r="I220">
        <v>0</v>
      </c>
      <c r="J220">
        <v>458139</v>
      </c>
      <c r="K220" t="s">
        <v>70</v>
      </c>
      <c r="L220" t="s">
        <v>42</v>
      </c>
      <c r="M220" t="s">
        <v>101</v>
      </c>
      <c r="N220" t="s">
        <v>264</v>
      </c>
      <c r="O220" t="s">
        <v>142</v>
      </c>
      <c r="P220">
        <v>24800</v>
      </c>
      <c r="Q220">
        <v>0</v>
      </c>
      <c r="R220" s="1">
        <v>42058</v>
      </c>
      <c r="S220" t="s">
        <v>46</v>
      </c>
      <c r="T220" t="s">
        <v>76</v>
      </c>
      <c r="U220" t="s">
        <v>107</v>
      </c>
      <c r="V220" t="s">
        <v>120</v>
      </c>
      <c r="W220" t="s">
        <v>113</v>
      </c>
      <c r="X220" t="s">
        <v>122</v>
      </c>
      <c r="Y220" t="s">
        <v>397</v>
      </c>
      <c r="Z220">
        <v>0</v>
      </c>
      <c r="AA220">
        <v>1</v>
      </c>
      <c r="AB220" t="s">
        <v>62</v>
      </c>
      <c r="AC220">
        <v>2</v>
      </c>
      <c r="AD220">
        <v>3</v>
      </c>
      <c r="AE220" t="s">
        <v>62</v>
      </c>
      <c r="AF220">
        <v>70290</v>
      </c>
      <c r="AG220">
        <v>12780</v>
      </c>
      <c r="AH220">
        <v>6390</v>
      </c>
      <c r="AI220">
        <v>51120</v>
      </c>
      <c r="AJ220" t="s">
        <v>54</v>
      </c>
      <c r="AK220" t="s">
        <v>55</v>
      </c>
      <c r="AL220">
        <v>1998</v>
      </c>
      <c r="AM220" t="s">
        <v>56</v>
      </c>
      <c r="AN220" s="2">
        <f t="shared" si="21"/>
        <v>53.428093645484957</v>
      </c>
      <c r="AO220">
        <f t="shared" si="22"/>
        <v>-68975.399999999994</v>
      </c>
      <c r="AP220" s="2">
        <f t="shared" si="23"/>
        <v>1.8702252066409637E-2</v>
      </c>
      <c r="AQ220" s="2">
        <f t="shared" si="27"/>
        <v>17</v>
      </c>
      <c r="AR220">
        <f t="shared" si="24"/>
        <v>328</v>
      </c>
      <c r="AS220" t="str">
        <f t="shared" si="25"/>
        <v>High Claim Ratio</v>
      </c>
      <c r="AT220" t="str">
        <f t="shared" si="26"/>
        <v>High Profit</v>
      </c>
    </row>
    <row r="221" spans="1:46" x14ac:dyDescent="0.2">
      <c r="A221">
        <v>281</v>
      </c>
      <c r="B221">
        <v>43</v>
      </c>
      <c r="C221">
        <v>529398</v>
      </c>
      <c r="D221" s="1">
        <v>34136</v>
      </c>
      <c r="E221" t="s">
        <v>39</v>
      </c>
      <c r="F221" t="s">
        <v>69</v>
      </c>
      <c r="G221">
        <v>1000</v>
      </c>
      <c r="H221">
        <v>1515.18</v>
      </c>
      <c r="I221">
        <v>6000000</v>
      </c>
      <c r="J221">
        <v>443191</v>
      </c>
      <c r="K221" t="s">
        <v>41</v>
      </c>
      <c r="L221" t="s">
        <v>141</v>
      </c>
      <c r="M221" t="s">
        <v>117</v>
      </c>
      <c r="N221" t="s">
        <v>118</v>
      </c>
      <c r="O221" t="s">
        <v>60</v>
      </c>
      <c r="P221">
        <v>0</v>
      </c>
      <c r="Q221">
        <v>0</v>
      </c>
      <c r="R221" s="1">
        <v>42013</v>
      </c>
      <c r="S221" t="s">
        <v>75</v>
      </c>
      <c r="T221" t="s">
        <v>47</v>
      </c>
      <c r="U221" t="s">
        <v>63</v>
      </c>
      <c r="V221" t="s">
        <v>99</v>
      </c>
      <c r="W221" t="s">
        <v>50</v>
      </c>
      <c r="X221" t="s">
        <v>156</v>
      </c>
      <c r="Y221" t="s">
        <v>398</v>
      </c>
      <c r="Z221">
        <v>21</v>
      </c>
      <c r="AA221">
        <v>3</v>
      </c>
      <c r="AB221" t="s">
        <v>79</v>
      </c>
      <c r="AC221">
        <v>1</v>
      </c>
      <c r="AD221">
        <v>0</v>
      </c>
      <c r="AE221" t="s">
        <v>79</v>
      </c>
      <c r="AF221">
        <v>60190</v>
      </c>
      <c r="AG221">
        <v>9260</v>
      </c>
      <c r="AH221">
        <v>9260</v>
      </c>
      <c r="AI221">
        <v>41670</v>
      </c>
      <c r="AJ221" t="s">
        <v>187</v>
      </c>
      <c r="AK221" t="s">
        <v>238</v>
      </c>
      <c r="AL221">
        <v>1999</v>
      </c>
      <c r="AM221" t="s">
        <v>82</v>
      </c>
      <c r="AN221" s="2">
        <f t="shared" si="21"/>
        <v>39.698452690313815</v>
      </c>
      <c r="AO221">
        <f t="shared" si="22"/>
        <v>-58674.82</v>
      </c>
      <c r="AP221" s="2">
        <f t="shared" si="23"/>
        <v>2.5172866375371736E-2</v>
      </c>
      <c r="AQ221" s="2">
        <f t="shared" si="27"/>
        <v>16</v>
      </c>
      <c r="AR221">
        <f t="shared" si="24"/>
        <v>281</v>
      </c>
      <c r="AS221" t="str">
        <f t="shared" si="25"/>
        <v>High Claim Ratio</v>
      </c>
      <c r="AT221" t="str">
        <f t="shared" si="26"/>
        <v>High Profit</v>
      </c>
    </row>
    <row r="222" spans="1:46" x14ac:dyDescent="0.2">
      <c r="A222">
        <v>246</v>
      </c>
      <c r="B222">
        <v>44</v>
      </c>
      <c r="C222">
        <v>940942</v>
      </c>
      <c r="D222" s="1">
        <v>37083</v>
      </c>
      <c r="E222" t="s">
        <v>39</v>
      </c>
      <c r="F222" t="s">
        <v>40</v>
      </c>
      <c r="G222">
        <v>2000</v>
      </c>
      <c r="H222">
        <v>1649.18</v>
      </c>
      <c r="I222">
        <v>0</v>
      </c>
      <c r="J222">
        <v>613647</v>
      </c>
      <c r="K222" t="s">
        <v>41</v>
      </c>
      <c r="L222" t="s">
        <v>141</v>
      </c>
      <c r="M222" t="s">
        <v>189</v>
      </c>
      <c r="N222" t="s">
        <v>106</v>
      </c>
      <c r="O222" t="s">
        <v>60</v>
      </c>
      <c r="P222">
        <v>0</v>
      </c>
      <c r="Q222">
        <v>-58600</v>
      </c>
      <c r="R222" s="1">
        <v>42057</v>
      </c>
      <c r="S222" t="s">
        <v>46</v>
      </c>
      <c r="T222" t="s">
        <v>86</v>
      </c>
      <c r="U222" t="s">
        <v>48</v>
      </c>
      <c r="V222" t="s">
        <v>120</v>
      </c>
      <c r="W222" t="s">
        <v>77</v>
      </c>
      <c r="X222" t="s">
        <v>122</v>
      </c>
      <c r="Y222" t="s">
        <v>399</v>
      </c>
      <c r="Z222">
        <v>18</v>
      </c>
      <c r="AA222">
        <v>1</v>
      </c>
      <c r="AB222" t="s">
        <v>53</v>
      </c>
      <c r="AC222">
        <v>1</v>
      </c>
      <c r="AD222">
        <v>2</v>
      </c>
      <c r="AE222" t="s">
        <v>53</v>
      </c>
      <c r="AF222">
        <v>61380</v>
      </c>
      <c r="AG222">
        <v>11160</v>
      </c>
      <c r="AH222">
        <v>5580</v>
      </c>
      <c r="AI222">
        <v>44640</v>
      </c>
      <c r="AJ222" t="s">
        <v>209</v>
      </c>
      <c r="AK222" t="s">
        <v>210</v>
      </c>
      <c r="AL222">
        <v>2009</v>
      </c>
      <c r="AM222" t="s">
        <v>56</v>
      </c>
      <c r="AN222" s="2">
        <f t="shared" si="21"/>
        <v>37.195942260844269</v>
      </c>
      <c r="AO222">
        <f t="shared" si="22"/>
        <v>-59730.82</v>
      </c>
      <c r="AP222" s="2">
        <f t="shared" si="23"/>
        <v>2.6867923298740652E-2</v>
      </c>
      <c r="AQ222" s="2">
        <f t="shared" si="27"/>
        <v>6</v>
      </c>
      <c r="AR222">
        <f t="shared" si="24"/>
        <v>246</v>
      </c>
      <c r="AS222" t="str">
        <f t="shared" si="25"/>
        <v>High Claim Ratio</v>
      </c>
      <c r="AT222" t="str">
        <f t="shared" si="26"/>
        <v>High Profit</v>
      </c>
    </row>
    <row r="223" spans="1:46" x14ac:dyDescent="0.2">
      <c r="A223">
        <v>298</v>
      </c>
      <c r="B223">
        <v>49</v>
      </c>
      <c r="C223">
        <v>442677</v>
      </c>
      <c r="D223" s="1">
        <v>39774</v>
      </c>
      <c r="E223" t="s">
        <v>39</v>
      </c>
      <c r="F223" t="s">
        <v>40</v>
      </c>
      <c r="G223">
        <v>500</v>
      </c>
      <c r="H223">
        <v>1451.01</v>
      </c>
      <c r="I223">
        <v>0</v>
      </c>
      <c r="J223">
        <v>460820</v>
      </c>
      <c r="K223" t="s">
        <v>70</v>
      </c>
      <c r="L223" t="s">
        <v>141</v>
      </c>
      <c r="M223" t="s">
        <v>111</v>
      </c>
      <c r="N223" t="s">
        <v>264</v>
      </c>
      <c r="O223" t="s">
        <v>74</v>
      </c>
      <c r="P223">
        <v>47800</v>
      </c>
      <c r="Q223">
        <v>0</v>
      </c>
      <c r="R223" s="1">
        <v>42056</v>
      </c>
      <c r="S223" t="s">
        <v>46</v>
      </c>
      <c r="T223" t="s">
        <v>86</v>
      </c>
      <c r="U223" t="s">
        <v>63</v>
      </c>
      <c r="V223" t="s">
        <v>136</v>
      </c>
      <c r="W223" t="s">
        <v>77</v>
      </c>
      <c r="X223" t="s">
        <v>102</v>
      </c>
      <c r="Y223" t="s">
        <v>400</v>
      </c>
      <c r="Z223">
        <v>17</v>
      </c>
      <c r="AA223">
        <v>1</v>
      </c>
      <c r="AB223" t="s">
        <v>79</v>
      </c>
      <c r="AC223">
        <v>2</v>
      </c>
      <c r="AD223">
        <v>2</v>
      </c>
      <c r="AE223" t="s">
        <v>79</v>
      </c>
      <c r="AF223">
        <v>28100</v>
      </c>
      <c r="AG223">
        <v>2810</v>
      </c>
      <c r="AH223">
        <v>5620</v>
      </c>
      <c r="AI223">
        <v>19670</v>
      </c>
      <c r="AJ223" t="s">
        <v>197</v>
      </c>
      <c r="AK223" t="s">
        <v>375</v>
      </c>
      <c r="AL223">
        <v>2012</v>
      </c>
      <c r="AM223" t="s">
        <v>82</v>
      </c>
      <c r="AN223" s="2">
        <f t="shared" si="21"/>
        <v>19.352483798320947</v>
      </c>
      <c r="AO223">
        <f t="shared" si="22"/>
        <v>-26648.99</v>
      </c>
      <c r="AP223" s="2">
        <f t="shared" si="23"/>
        <v>5.1635528984733642E-2</v>
      </c>
      <c r="AQ223" s="2">
        <f t="shared" si="27"/>
        <v>3</v>
      </c>
      <c r="AR223">
        <f t="shared" si="24"/>
        <v>298</v>
      </c>
      <c r="AS223" t="str">
        <f t="shared" si="25"/>
        <v>Medium Claim Ratio</v>
      </c>
      <c r="AT223" t="str">
        <f t="shared" si="26"/>
        <v>High Profit</v>
      </c>
    </row>
    <row r="224" spans="1:46" x14ac:dyDescent="0.2">
      <c r="A224">
        <v>330</v>
      </c>
      <c r="B224">
        <v>50</v>
      </c>
      <c r="C224">
        <v>365364</v>
      </c>
      <c r="D224" s="1">
        <v>37618</v>
      </c>
      <c r="E224" t="s">
        <v>83</v>
      </c>
      <c r="F224" t="s">
        <v>91</v>
      </c>
      <c r="G224">
        <v>1000</v>
      </c>
      <c r="H224">
        <v>978.46</v>
      </c>
      <c r="I224">
        <v>0</v>
      </c>
      <c r="J224">
        <v>431121</v>
      </c>
      <c r="K224" t="s">
        <v>70</v>
      </c>
      <c r="L224" t="s">
        <v>131</v>
      </c>
      <c r="M224" t="s">
        <v>72</v>
      </c>
      <c r="N224" t="s">
        <v>155</v>
      </c>
      <c r="O224" t="s">
        <v>45</v>
      </c>
      <c r="P224">
        <v>0</v>
      </c>
      <c r="Q224">
        <v>0</v>
      </c>
      <c r="R224" s="1">
        <v>42039</v>
      </c>
      <c r="S224" t="s">
        <v>46</v>
      </c>
      <c r="T224" t="s">
        <v>47</v>
      </c>
      <c r="U224" t="s">
        <v>107</v>
      </c>
      <c r="V224" t="s">
        <v>99</v>
      </c>
      <c r="W224" t="s">
        <v>77</v>
      </c>
      <c r="X224" t="s">
        <v>122</v>
      </c>
      <c r="Y224" t="s">
        <v>401</v>
      </c>
      <c r="Z224">
        <v>19</v>
      </c>
      <c r="AA224">
        <v>1</v>
      </c>
      <c r="AB224" t="s">
        <v>53</v>
      </c>
      <c r="AC224">
        <v>0</v>
      </c>
      <c r="AD224">
        <v>0</v>
      </c>
      <c r="AE224" t="s">
        <v>79</v>
      </c>
      <c r="AF224">
        <v>49060</v>
      </c>
      <c r="AG224">
        <v>8920</v>
      </c>
      <c r="AH224">
        <v>8920</v>
      </c>
      <c r="AI224">
        <v>31220</v>
      </c>
      <c r="AJ224" t="s">
        <v>89</v>
      </c>
      <c r="AK224" t="s">
        <v>223</v>
      </c>
      <c r="AL224">
        <v>1995</v>
      </c>
      <c r="AM224" t="s">
        <v>82</v>
      </c>
      <c r="AN224" s="2">
        <f t="shared" si="21"/>
        <v>50.088824454291135</v>
      </c>
      <c r="AO224">
        <f t="shared" si="22"/>
        <v>-48081.54</v>
      </c>
      <c r="AP224" s="2">
        <f t="shared" si="23"/>
        <v>1.994374350298608E-2</v>
      </c>
      <c r="AQ224" s="2">
        <f t="shared" si="27"/>
        <v>20</v>
      </c>
      <c r="AR224">
        <f t="shared" si="24"/>
        <v>330</v>
      </c>
      <c r="AS224" t="str">
        <f t="shared" si="25"/>
        <v>High Claim Ratio</v>
      </c>
      <c r="AT224" t="str">
        <f t="shared" si="26"/>
        <v>High Profit</v>
      </c>
    </row>
    <row r="225" spans="1:46" x14ac:dyDescent="0.2">
      <c r="A225">
        <v>362</v>
      </c>
      <c r="B225">
        <v>50</v>
      </c>
      <c r="C225">
        <v>114839</v>
      </c>
      <c r="D225" s="1">
        <v>38718</v>
      </c>
      <c r="E225" t="s">
        <v>83</v>
      </c>
      <c r="F225" t="s">
        <v>40</v>
      </c>
      <c r="G225">
        <v>500</v>
      </c>
      <c r="H225">
        <v>1198.3399999999999</v>
      </c>
      <c r="I225">
        <v>4000000</v>
      </c>
      <c r="J225">
        <v>619735</v>
      </c>
      <c r="K225" t="s">
        <v>41</v>
      </c>
      <c r="L225" t="s">
        <v>92</v>
      </c>
      <c r="M225" t="s">
        <v>72</v>
      </c>
      <c r="N225" t="s">
        <v>73</v>
      </c>
      <c r="O225" t="s">
        <v>119</v>
      </c>
      <c r="P225">
        <v>53000</v>
      </c>
      <c r="Q225">
        <v>-72500</v>
      </c>
      <c r="R225" s="1">
        <v>42011</v>
      </c>
      <c r="S225" t="s">
        <v>75</v>
      </c>
      <c r="T225" t="s">
        <v>47</v>
      </c>
      <c r="U225" t="s">
        <v>107</v>
      </c>
      <c r="V225" t="s">
        <v>99</v>
      </c>
      <c r="W225" t="s">
        <v>77</v>
      </c>
      <c r="X225" t="s">
        <v>51</v>
      </c>
      <c r="Y225" t="s">
        <v>402</v>
      </c>
      <c r="Z225">
        <v>17</v>
      </c>
      <c r="AA225">
        <v>3</v>
      </c>
      <c r="AB225" t="s">
        <v>62</v>
      </c>
      <c r="AC225">
        <v>1</v>
      </c>
      <c r="AD225">
        <v>1</v>
      </c>
      <c r="AE225" t="s">
        <v>79</v>
      </c>
      <c r="AF225">
        <v>57060</v>
      </c>
      <c r="AG225">
        <v>6340</v>
      </c>
      <c r="AH225">
        <v>6340</v>
      </c>
      <c r="AI225">
        <v>44380</v>
      </c>
      <c r="AJ225" t="s">
        <v>67</v>
      </c>
      <c r="AK225" t="s">
        <v>68</v>
      </c>
      <c r="AL225">
        <v>1995</v>
      </c>
      <c r="AM225" t="s">
        <v>82</v>
      </c>
      <c r="AN225" s="2">
        <f t="shared" si="21"/>
        <v>47.576166891790486</v>
      </c>
      <c r="AO225">
        <f t="shared" si="22"/>
        <v>-55861.66</v>
      </c>
      <c r="AP225" s="2">
        <f t="shared" si="23"/>
        <v>2.1001033981178037E-2</v>
      </c>
      <c r="AQ225" s="2">
        <f t="shared" si="27"/>
        <v>20</v>
      </c>
      <c r="AR225">
        <f t="shared" si="24"/>
        <v>362</v>
      </c>
      <c r="AS225" t="str">
        <f t="shared" si="25"/>
        <v>High Claim Ratio</v>
      </c>
      <c r="AT225" t="str">
        <f t="shared" si="26"/>
        <v>High Profit</v>
      </c>
    </row>
    <row r="226" spans="1:46" x14ac:dyDescent="0.2">
      <c r="A226">
        <v>241</v>
      </c>
      <c r="B226">
        <v>38</v>
      </c>
      <c r="C226">
        <v>872734</v>
      </c>
      <c r="D226" s="1">
        <v>33012</v>
      </c>
      <c r="E226" t="s">
        <v>57</v>
      </c>
      <c r="F226" t="s">
        <v>69</v>
      </c>
      <c r="G226">
        <v>2000</v>
      </c>
      <c r="H226">
        <v>1003.23</v>
      </c>
      <c r="I226">
        <v>0</v>
      </c>
      <c r="J226">
        <v>470485</v>
      </c>
      <c r="K226" t="s">
        <v>70</v>
      </c>
      <c r="L226" t="s">
        <v>92</v>
      </c>
      <c r="M226" t="s">
        <v>97</v>
      </c>
      <c r="N226" t="s">
        <v>170</v>
      </c>
      <c r="O226" t="s">
        <v>142</v>
      </c>
      <c r="P226">
        <v>0</v>
      </c>
      <c r="Q226">
        <v>0</v>
      </c>
      <c r="R226" s="1">
        <v>42021</v>
      </c>
      <c r="S226" t="s">
        <v>75</v>
      </c>
      <c r="T226" t="s">
        <v>47</v>
      </c>
      <c r="U226" t="s">
        <v>48</v>
      </c>
      <c r="V226" t="s">
        <v>99</v>
      </c>
      <c r="W226" t="s">
        <v>64</v>
      </c>
      <c r="X226" t="s">
        <v>87</v>
      </c>
      <c r="Y226" t="s">
        <v>403</v>
      </c>
      <c r="Z226">
        <v>23</v>
      </c>
      <c r="AA226">
        <v>3</v>
      </c>
      <c r="AB226" t="s">
        <v>62</v>
      </c>
      <c r="AC226">
        <v>0</v>
      </c>
      <c r="AD226">
        <v>3</v>
      </c>
      <c r="AE226" t="s">
        <v>53</v>
      </c>
      <c r="AF226">
        <v>77880</v>
      </c>
      <c r="AG226">
        <v>12980</v>
      </c>
      <c r="AH226">
        <v>12980</v>
      </c>
      <c r="AI226">
        <v>51920</v>
      </c>
      <c r="AJ226" t="s">
        <v>95</v>
      </c>
      <c r="AK226" t="s">
        <v>148</v>
      </c>
      <c r="AL226">
        <v>2008</v>
      </c>
      <c r="AM226" t="s">
        <v>82</v>
      </c>
      <c r="AN226" s="2">
        <f t="shared" si="21"/>
        <v>77.551955229379729</v>
      </c>
      <c r="AO226">
        <f t="shared" si="22"/>
        <v>-76876.77</v>
      </c>
      <c r="AP226" s="2">
        <f t="shared" si="23"/>
        <v>1.288157573734287E-2</v>
      </c>
      <c r="AQ226" s="2">
        <f t="shared" si="27"/>
        <v>7</v>
      </c>
      <c r="AR226">
        <f t="shared" si="24"/>
        <v>241</v>
      </c>
      <c r="AS226" t="str">
        <f t="shared" si="25"/>
        <v>High Claim Ratio</v>
      </c>
      <c r="AT226" t="str">
        <f t="shared" si="26"/>
        <v>High Profit</v>
      </c>
    </row>
    <row r="227" spans="1:46" x14ac:dyDescent="0.2">
      <c r="A227">
        <v>245</v>
      </c>
      <c r="B227">
        <v>41</v>
      </c>
      <c r="C227">
        <v>267885</v>
      </c>
      <c r="D227" s="1">
        <v>41512</v>
      </c>
      <c r="E227" t="s">
        <v>57</v>
      </c>
      <c r="F227" t="s">
        <v>91</v>
      </c>
      <c r="G227">
        <v>2000</v>
      </c>
      <c r="H227">
        <v>1212</v>
      </c>
      <c r="I227">
        <v>0</v>
      </c>
      <c r="J227">
        <v>620473</v>
      </c>
      <c r="K227" t="s">
        <v>41</v>
      </c>
      <c r="L227" t="s">
        <v>124</v>
      </c>
      <c r="M227" t="s">
        <v>125</v>
      </c>
      <c r="N227" t="s">
        <v>179</v>
      </c>
      <c r="O227" t="s">
        <v>85</v>
      </c>
      <c r="P227">
        <v>24400</v>
      </c>
      <c r="Q227">
        <v>-60500</v>
      </c>
      <c r="R227" s="1">
        <v>42032</v>
      </c>
      <c r="S227" t="s">
        <v>46</v>
      </c>
      <c r="T227" t="s">
        <v>86</v>
      </c>
      <c r="U227" t="s">
        <v>107</v>
      </c>
      <c r="V227" t="s">
        <v>136</v>
      </c>
      <c r="W227" t="s">
        <v>77</v>
      </c>
      <c r="X227" t="s">
        <v>102</v>
      </c>
      <c r="Y227" t="s">
        <v>404</v>
      </c>
      <c r="Z227">
        <v>4</v>
      </c>
      <c r="AA227">
        <v>1</v>
      </c>
      <c r="AB227" t="s">
        <v>53</v>
      </c>
      <c r="AC227">
        <v>0</v>
      </c>
      <c r="AD227">
        <v>1</v>
      </c>
      <c r="AE227" t="s">
        <v>53</v>
      </c>
      <c r="AF227">
        <v>73500</v>
      </c>
      <c r="AG227">
        <v>7350</v>
      </c>
      <c r="AH227">
        <v>14700</v>
      </c>
      <c r="AI227">
        <v>51450</v>
      </c>
      <c r="AJ227" t="s">
        <v>197</v>
      </c>
      <c r="AK227" t="s">
        <v>198</v>
      </c>
      <c r="AL227">
        <v>1999</v>
      </c>
      <c r="AM227" t="s">
        <v>82</v>
      </c>
      <c r="AN227" s="2">
        <f t="shared" si="21"/>
        <v>60.593569661995055</v>
      </c>
      <c r="AO227">
        <f t="shared" si="22"/>
        <v>-72288</v>
      </c>
      <c r="AP227" s="2">
        <f t="shared" si="23"/>
        <v>1.6489571570454824E-2</v>
      </c>
      <c r="AQ227" s="2">
        <f t="shared" si="27"/>
        <v>16</v>
      </c>
      <c r="AR227">
        <f t="shared" si="24"/>
        <v>245</v>
      </c>
      <c r="AS227" t="str">
        <f t="shared" si="25"/>
        <v>High Claim Ratio</v>
      </c>
      <c r="AT227" t="str">
        <f t="shared" si="26"/>
        <v>High Profit</v>
      </c>
    </row>
    <row r="228" spans="1:46" x14ac:dyDescent="0.2">
      <c r="A228">
        <v>371</v>
      </c>
      <c r="B228">
        <v>52</v>
      </c>
      <c r="C228">
        <v>740505</v>
      </c>
      <c r="D228" s="1">
        <v>35715</v>
      </c>
      <c r="E228" t="s">
        <v>83</v>
      </c>
      <c r="F228" t="s">
        <v>40</v>
      </c>
      <c r="G228">
        <v>1000</v>
      </c>
      <c r="H228">
        <v>1242.96</v>
      </c>
      <c r="I228">
        <v>7000000</v>
      </c>
      <c r="J228">
        <v>449800</v>
      </c>
      <c r="K228" t="s">
        <v>70</v>
      </c>
      <c r="L228" t="s">
        <v>131</v>
      </c>
      <c r="M228" t="s">
        <v>111</v>
      </c>
      <c r="N228" t="s">
        <v>165</v>
      </c>
      <c r="O228" t="s">
        <v>74</v>
      </c>
      <c r="P228">
        <v>0</v>
      </c>
      <c r="Q228">
        <v>-37100</v>
      </c>
      <c r="R228" s="1">
        <v>42057</v>
      </c>
      <c r="S228" t="s">
        <v>75</v>
      </c>
      <c r="T228" t="s">
        <v>76</v>
      </c>
      <c r="U228" t="s">
        <v>63</v>
      </c>
      <c r="V228" t="s">
        <v>120</v>
      </c>
      <c r="W228" t="s">
        <v>77</v>
      </c>
      <c r="X228" t="s">
        <v>65</v>
      </c>
      <c r="Y228" t="s">
        <v>405</v>
      </c>
      <c r="Z228">
        <v>2</v>
      </c>
      <c r="AA228">
        <v>2</v>
      </c>
      <c r="AB228" t="s">
        <v>53</v>
      </c>
      <c r="AC228">
        <v>2</v>
      </c>
      <c r="AD228">
        <v>0</v>
      </c>
      <c r="AE228" t="s">
        <v>62</v>
      </c>
      <c r="AF228">
        <v>88920</v>
      </c>
      <c r="AG228">
        <v>6840</v>
      </c>
      <c r="AH228">
        <v>13680</v>
      </c>
      <c r="AI228">
        <v>68400</v>
      </c>
      <c r="AJ228" t="s">
        <v>95</v>
      </c>
      <c r="AK228" t="s">
        <v>96</v>
      </c>
      <c r="AL228">
        <v>2010</v>
      </c>
      <c r="AM228" t="s">
        <v>82</v>
      </c>
      <c r="AN228" s="2">
        <f t="shared" si="21"/>
        <v>71.481398115695043</v>
      </c>
      <c r="AO228">
        <f t="shared" si="22"/>
        <v>-87677.04</v>
      </c>
      <c r="AP228" s="2">
        <f t="shared" si="23"/>
        <v>1.3978250357058512E-2</v>
      </c>
      <c r="AQ228" s="2">
        <f t="shared" si="27"/>
        <v>5</v>
      </c>
      <c r="AR228">
        <f t="shared" si="24"/>
        <v>371</v>
      </c>
      <c r="AS228" t="str">
        <f t="shared" si="25"/>
        <v>High Claim Ratio</v>
      </c>
      <c r="AT228" t="str">
        <f t="shared" si="26"/>
        <v>High Profit</v>
      </c>
    </row>
    <row r="229" spans="1:46" x14ac:dyDescent="0.2">
      <c r="A229">
        <v>343</v>
      </c>
      <c r="B229">
        <v>52</v>
      </c>
      <c r="C229">
        <v>629663</v>
      </c>
      <c r="D229" s="1">
        <v>37277</v>
      </c>
      <c r="E229" t="s">
        <v>83</v>
      </c>
      <c r="F229" t="s">
        <v>91</v>
      </c>
      <c r="G229">
        <v>1000</v>
      </c>
      <c r="H229">
        <v>1053.02</v>
      </c>
      <c r="I229">
        <v>0</v>
      </c>
      <c r="J229">
        <v>602402</v>
      </c>
      <c r="K229" t="s">
        <v>70</v>
      </c>
      <c r="L229" t="s">
        <v>92</v>
      </c>
      <c r="M229" t="s">
        <v>101</v>
      </c>
      <c r="N229" t="s">
        <v>98</v>
      </c>
      <c r="O229" t="s">
        <v>142</v>
      </c>
      <c r="P229">
        <v>0</v>
      </c>
      <c r="Q229">
        <v>0</v>
      </c>
      <c r="R229" s="1">
        <v>42051</v>
      </c>
      <c r="S229" t="s">
        <v>46</v>
      </c>
      <c r="T229" t="s">
        <v>86</v>
      </c>
      <c r="U229" t="s">
        <v>48</v>
      </c>
      <c r="V229" t="s">
        <v>120</v>
      </c>
      <c r="W229" t="s">
        <v>77</v>
      </c>
      <c r="X229" t="s">
        <v>87</v>
      </c>
      <c r="Y229" t="s">
        <v>406</v>
      </c>
      <c r="Z229">
        <v>2</v>
      </c>
      <c r="AA229">
        <v>1</v>
      </c>
      <c r="AB229" t="s">
        <v>62</v>
      </c>
      <c r="AC229">
        <v>0</v>
      </c>
      <c r="AD229">
        <v>2</v>
      </c>
      <c r="AE229" t="s">
        <v>79</v>
      </c>
      <c r="AF229">
        <v>47630</v>
      </c>
      <c r="AG229">
        <v>12990</v>
      </c>
      <c r="AH229">
        <v>4330</v>
      </c>
      <c r="AI229">
        <v>30310</v>
      </c>
      <c r="AJ229" t="s">
        <v>115</v>
      </c>
      <c r="AK229" t="s">
        <v>183</v>
      </c>
      <c r="AL229">
        <v>2005</v>
      </c>
      <c r="AM229" t="s">
        <v>56</v>
      </c>
      <c r="AN229" s="2">
        <f t="shared" si="21"/>
        <v>45.188895846378628</v>
      </c>
      <c r="AO229">
        <f t="shared" si="22"/>
        <v>-46576.98</v>
      </c>
      <c r="AP229" s="2">
        <f t="shared" si="23"/>
        <v>2.2107870924397977E-2</v>
      </c>
      <c r="AQ229" s="2">
        <f t="shared" si="27"/>
        <v>10</v>
      </c>
      <c r="AR229">
        <f t="shared" si="24"/>
        <v>343</v>
      </c>
      <c r="AS229" t="str">
        <f t="shared" si="25"/>
        <v>High Claim Ratio</v>
      </c>
      <c r="AT229" t="str">
        <f t="shared" si="26"/>
        <v>High Profit</v>
      </c>
    </row>
    <row r="230" spans="1:46" x14ac:dyDescent="0.2">
      <c r="A230">
        <v>377</v>
      </c>
      <c r="B230">
        <v>53</v>
      </c>
      <c r="C230">
        <v>839884</v>
      </c>
      <c r="D230" s="1">
        <v>35310</v>
      </c>
      <c r="E230" t="s">
        <v>83</v>
      </c>
      <c r="F230" t="s">
        <v>69</v>
      </c>
      <c r="G230">
        <v>500</v>
      </c>
      <c r="H230">
        <v>1693.63</v>
      </c>
      <c r="I230">
        <v>0</v>
      </c>
      <c r="J230">
        <v>452456</v>
      </c>
      <c r="K230" t="s">
        <v>70</v>
      </c>
      <c r="L230" t="s">
        <v>42</v>
      </c>
      <c r="M230" t="s">
        <v>43</v>
      </c>
      <c r="N230" t="s">
        <v>170</v>
      </c>
      <c r="O230" t="s">
        <v>85</v>
      </c>
      <c r="P230">
        <v>0</v>
      </c>
      <c r="Q230">
        <v>-64000</v>
      </c>
      <c r="R230" s="1">
        <v>42052</v>
      </c>
      <c r="S230" t="s">
        <v>75</v>
      </c>
      <c r="T230" t="s">
        <v>86</v>
      </c>
      <c r="U230" t="s">
        <v>107</v>
      </c>
      <c r="V230" t="s">
        <v>99</v>
      </c>
      <c r="W230" t="s">
        <v>113</v>
      </c>
      <c r="X230" t="s">
        <v>122</v>
      </c>
      <c r="Y230" t="s">
        <v>407</v>
      </c>
      <c r="Z230">
        <v>10</v>
      </c>
      <c r="AA230">
        <v>3</v>
      </c>
      <c r="AB230" t="s">
        <v>53</v>
      </c>
      <c r="AC230">
        <v>1</v>
      </c>
      <c r="AD230">
        <v>3</v>
      </c>
      <c r="AE230" t="s">
        <v>79</v>
      </c>
      <c r="AF230">
        <v>59040</v>
      </c>
      <c r="AG230">
        <v>6560</v>
      </c>
      <c r="AH230">
        <v>6560</v>
      </c>
      <c r="AI230">
        <v>45920</v>
      </c>
      <c r="AJ230" t="s">
        <v>54</v>
      </c>
      <c r="AK230">
        <v>93</v>
      </c>
      <c r="AL230">
        <v>2015</v>
      </c>
      <c r="AM230" t="s">
        <v>82</v>
      </c>
      <c r="AN230" s="2">
        <f t="shared" si="21"/>
        <v>34.839463481703966</v>
      </c>
      <c r="AO230">
        <f t="shared" si="22"/>
        <v>-57346.37</v>
      </c>
      <c r="AP230" s="2">
        <f t="shared" si="23"/>
        <v>2.8685659118239868E-2</v>
      </c>
      <c r="AQ230" s="2">
        <f t="shared" si="27"/>
        <v>0</v>
      </c>
      <c r="AR230">
        <f t="shared" si="24"/>
        <v>377</v>
      </c>
      <c r="AS230" t="str">
        <f t="shared" si="25"/>
        <v>High Claim Ratio</v>
      </c>
      <c r="AT230" t="str">
        <f t="shared" si="26"/>
        <v>High Profit</v>
      </c>
    </row>
    <row r="231" spans="1:46" x14ac:dyDescent="0.2">
      <c r="A231">
        <v>154</v>
      </c>
      <c r="B231">
        <v>37</v>
      </c>
      <c r="C231">
        <v>241562</v>
      </c>
      <c r="D231" s="1">
        <v>40206</v>
      </c>
      <c r="E231" t="s">
        <v>83</v>
      </c>
      <c r="F231" t="s">
        <v>40</v>
      </c>
      <c r="G231">
        <v>1000</v>
      </c>
      <c r="H231">
        <v>2047.59</v>
      </c>
      <c r="I231">
        <v>0</v>
      </c>
      <c r="J231">
        <v>439269</v>
      </c>
      <c r="K231" t="s">
        <v>70</v>
      </c>
      <c r="L231" t="s">
        <v>42</v>
      </c>
      <c r="M231" t="s">
        <v>189</v>
      </c>
      <c r="N231" t="s">
        <v>126</v>
      </c>
      <c r="O231" t="s">
        <v>60</v>
      </c>
      <c r="P231">
        <v>0</v>
      </c>
      <c r="Q231">
        <v>-67800</v>
      </c>
      <c r="R231" s="1">
        <v>42013</v>
      </c>
      <c r="S231" t="s">
        <v>46</v>
      </c>
      <c r="T231" t="s">
        <v>76</v>
      </c>
      <c r="U231" t="s">
        <v>63</v>
      </c>
      <c r="V231" t="s">
        <v>120</v>
      </c>
      <c r="W231" t="s">
        <v>50</v>
      </c>
      <c r="X231" t="s">
        <v>51</v>
      </c>
      <c r="Y231" t="s">
        <v>408</v>
      </c>
      <c r="Z231">
        <v>2</v>
      </c>
      <c r="AA231">
        <v>1</v>
      </c>
      <c r="AB231" t="s">
        <v>62</v>
      </c>
      <c r="AC231">
        <v>0</v>
      </c>
      <c r="AD231">
        <v>3</v>
      </c>
      <c r="AE231" t="s">
        <v>79</v>
      </c>
      <c r="AF231">
        <v>79530</v>
      </c>
      <c r="AG231">
        <v>14460</v>
      </c>
      <c r="AH231">
        <v>7230</v>
      </c>
      <c r="AI231">
        <v>57840</v>
      </c>
      <c r="AJ231" t="s">
        <v>95</v>
      </c>
      <c r="AK231" t="s">
        <v>148</v>
      </c>
      <c r="AL231">
        <v>2000</v>
      </c>
      <c r="AM231" t="s">
        <v>82</v>
      </c>
      <c r="AN231" s="2">
        <f t="shared" si="21"/>
        <v>38.821823790997705</v>
      </c>
      <c r="AO231">
        <f t="shared" si="22"/>
        <v>-77482.41</v>
      </c>
      <c r="AP231" s="2">
        <f t="shared" si="23"/>
        <v>2.5745809810011188E-2</v>
      </c>
      <c r="AQ231" s="2">
        <f t="shared" si="27"/>
        <v>15</v>
      </c>
      <c r="AR231">
        <f t="shared" si="24"/>
        <v>154</v>
      </c>
      <c r="AS231" t="str">
        <f t="shared" si="25"/>
        <v>High Claim Ratio</v>
      </c>
      <c r="AT231" t="str">
        <f t="shared" si="26"/>
        <v>High Profit</v>
      </c>
    </row>
    <row r="232" spans="1:46" x14ac:dyDescent="0.2">
      <c r="A232">
        <v>166</v>
      </c>
      <c r="B232">
        <v>34</v>
      </c>
      <c r="C232">
        <v>405533</v>
      </c>
      <c r="D232" s="1">
        <v>41915</v>
      </c>
      <c r="E232" t="s">
        <v>39</v>
      </c>
      <c r="F232" t="s">
        <v>69</v>
      </c>
      <c r="G232">
        <v>1000</v>
      </c>
      <c r="H232">
        <v>1083.72</v>
      </c>
      <c r="I232">
        <v>0</v>
      </c>
      <c r="J232">
        <v>617774</v>
      </c>
      <c r="K232" t="s">
        <v>70</v>
      </c>
      <c r="L232" t="s">
        <v>131</v>
      </c>
      <c r="M232" t="s">
        <v>58</v>
      </c>
      <c r="N232" t="s">
        <v>106</v>
      </c>
      <c r="O232" t="s">
        <v>119</v>
      </c>
      <c r="P232">
        <v>65600</v>
      </c>
      <c r="Q232">
        <v>-68200</v>
      </c>
      <c r="R232" s="1">
        <v>42044</v>
      </c>
      <c r="S232" t="s">
        <v>46</v>
      </c>
      <c r="T232" t="s">
        <v>47</v>
      </c>
      <c r="U232" t="s">
        <v>107</v>
      </c>
      <c r="V232" t="s">
        <v>120</v>
      </c>
      <c r="W232" t="s">
        <v>77</v>
      </c>
      <c r="X232" t="s">
        <v>51</v>
      </c>
      <c r="Y232" t="s">
        <v>409</v>
      </c>
      <c r="Z232">
        <v>18</v>
      </c>
      <c r="AA232">
        <v>1</v>
      </c>
      <c r="AB232" t="s">
        <v>79</v>
      </c>
      <c r="AC232">
        <v>0</v>
      </c>
      <c r="AD232">
        <v>2</v>
      </c>
      <c r="AE232" t="s">
        <v>53</v>
      </c>
      <c r="AF232">
        <v>53680</v>
      </c>
      <c r="AG232">
        <v>4880</v>
      </c>
      <c r="AH232">
        <v>4880</v>
      </c>
      <c r="AI232">
        <v>43920</v>
      </c>
      <c r="AJ232" t="s">
        <v>209</v>
      </c>
      <c r="AK232" t="s">
        <v>225</v>
      </c>
      <c r="AL232">
        <v>2005</v>
      </c>
      <c r="AM232" t="s">
        <v>82</v>
      </c>
      <c r="AN232" s="2">
        <f t="shared" si="21"/>
        <v>49.487425326351499</v>
      </c>
      <c r="AO232">
        <f t="shared" si="22"/>
        <v>-52596.28</v>
      </c>
      <c r="AP232" s="2">
        <f t="shared" si="23"/>
        <v>2.0188148506920512E-2</v>
      </c>
      <c r="AQ232" s="2">
        <f t="shared" si="27"/>
        <v>10</v>
      </c>
      <c r="AR232">
        <f t="shared" si="24"/>
        <v>166</v>
      </c>
      <c r="AS232" t="str">
        <f t="shared" si="25"/>
        <v>High Claim Ratio</v>
      </c>
      <c r="AT232" t="str">
        <f t="shared" si="26"/>
        <v>High Profit</v>
      </c>
    </row>
    <row r="233" spans="1:46" x14ac:dyDescent="0.2">
      <c r="A233">
        <v>298</v>
      </c>
      <c r="B233">
        <v>46</v>
      </c>
      <c r="C233">
        <v>667021</v>
      </c>
      <c r="D233" s="1">
        <v>39204</v>
      </c>
      <c r="E233" t="s">
        <v>39</v>
      </c>
      <c r="F233" t="s">
        <v>91</v>
      </c>
      <c r="G233">
        <v>1000</v>
      </c>
      <c r="H233">
        <v>1138.42</v>
      </c>
      <c r="I233">
        <v>6000000</v>
      </c>
      <c r="J233">
        <v>477678</v>
      </c>
      <c r="K233" t="s">
        <v>41</v>
      </c>
      <c r="L233" t="s">
        <v>161</v>
      </c>
      <c r="M233" t="s">
        <v>101</v>
      </c>
      <c r="N233" t="s">
        <v>126</v>
      </c>
      <c r="O233" t="s">
        <v>74</v>
      </c>
      <c r="P233">
        <v>36900</v>
      </c>
      <c r="Q233">
        <v>-55000</v>
      </c>
      <c r="R233" s="1">
        <v>42051</v>
      </c>
      <c r="S233" t="s">
        <v>46</v>
      </c>
      <c r="T233" t="s">
        <v>47</v>
      </c>
      <c r="U233" t="s">
        <v>63</v>
      </c>
      <c r="V233" t="s">
        <v>49</v>
      </c>
      <c r="W233" t="s">
        <v>50</v>
      </c>
      <c r="X233" t="s">
        <v>87</v>
      </c>
      <c r="Y233" t="s">
        <v>410</v>
      </c>
      <c r="Z233">
        <v>18</v>
      </c>
      <c r="AA233">
        <v>1</v>
      </c>
      <c r="AB233" t="s">
        <v>79</v>
      </c>
      <c r="AC233">
        <v>2</v>
      </c>
      <c r="AD233">
        <v>3</v>
      </c>
      <c r="AE233" t="s">
        <v>53</v>
      </c>
      <c r="AF233">
        <v>33550</v>
      </c>
      <c r="AG233">
        <v>3050</v>
      </c>
      <c r="AH233">
        <v>6100</v>
      </c>
      <c r="AI233">
        <v>24400</v>
      </c>
      <c r="AJ233" t="s">
        <v>214</v>
      </c>
      <c r="AK233" t="s">
        <v>215</v>
      </c>
      <c r="AL233">
        <v>2005</v>
      </c>
      <c r="AM233" t="s">
        <v>82</v>
      </c>
      <c r="AN233" s="2">
        <f t="shared" si="21"/>
        <v>29.444805251794772</v>
      </c>
      <c r="AO233">
        <f t="shared" si="22"/>
        <v>-32411.58</v>
      </c>
      <c r="AP233" s="2">
        <f t="shared" si="23"/>
        <v>3.3931030371672978E-2</v>
      </c>
      <c r="AQ233" s="2">
        <f t="shared" si="27"/>
        <v>10</v>
      </c>
      <c r="AR233">
        <f t="shared" si="24"/>
        <v>298</v>
      </c>
      <c r="AS233" t="str">
        <f t="shared" si="25"/>
        <v>High Claim Ratio</v>
      </c>
      <c r="AT233" t="str">
        <f t="shared" si="26"/>
        <v>High Profit</v>
      </c>
    </row>
    <row r="234" spans="1:46" x14ac:dyDescent="0.2">
      <c r="A234">
        <v>235</v>
      </c>
      <c r="B234">
        <v>42</v>
      </c>
      <c r="C234">
        <v>511621</v>
      </c>
      <c r="D234" s="1">
        <v>33138</v>
      </c>
      <c r="E234" t="s">
        <v>57</v>
      </c>
      <c r="F234" t="s">
        <v>40</v>
      </c>
      <c r="G234">
        <v>500</v>
      </c>
      <c r="H234">
        <v>1072.6199999999999</v>
      </c>
      <c r="I234">
        <v>0</v>
      </c>
      <c r="J234">
        <v>444913</v>
      </c>
      <c r="K234" t="s">
        <v>70</v>
      </c>
      <c r="L234" t="s">
        <v>124</v>
      </c>
      <c r="M234" t="s">
        <v>58</v>
      </c>
      <c r="N234" t="s">
        <v>264</v>
      </c>
      <c r="O234" t="s">
        <v>45</v>
      </c>
      <c r="P234">
        <v>39900</v>
      </c>
      <c r="Q234">
        <v>-60200</v>
      </c>
      <c r="R234" s="1">
        <v>42053</v>
      </c>
      <c r="S234" t="s">
        <v>75</v>
      </c>
      <c r="T234" t="s">
        <v>47</v>
      </c>
      <c r="U234" t="s">
        <v>107</v>
      </c>
      <c r="V234" t="s">
        <v>120</v>
      </c>
      <c r="W234" t="s">
        <v>113</v>
      </c>
      <c r="X234" t="s">
        <v>102</v>
      </c>
      <c r="Y234" t="s">
        <v>411</v>
      </c>
      <c r="Z234">
        <v>7</v>
      </c>
      <c r="AA234">
        <v>4</v>
      </c>
      <c r="AB234" t="s">
        <v>62</v>
      </c>
      <c r="AC234">
        <v>2</v>
      </c>
      <c r="AD234">
        <v>1</v>
      </c>
      <c r="AE234" t="s">
        <v>53</v>
      </c>
      <c r="AF234">
        <v>69100</v>
      </c>
      <c r="AG234">
        <v>6910</v>
      </c>
      <c r="AH234">
        <v>6910</v>
      </c>
      <c r="AI234">
        <v>55280</v>
      </c>
      <c r="AJ234" t="s">
        <v>115</v>
      </c>
      <c r="AK234" t="s">
        <v>140</v>
      </c>
      <c r="AL234">
        <v>2006</v>
      </c>
      <c r="AM234" t="s">
        <v>82</v>
      </c>
      <c r="AN234" s="2">
        <f t="shared" si="21"/>
        <v>64.36169221884839</v>
      </c>
      <c r="AO234">
        <f t="shared" si="22"/>
        <v>-68027.38</v>
      </c>
      <c r="AP234" s="2">
        <f t="shared" si="23"/>
        <v>1.552249605649701E-2</v>
      </c>
      <c r="AQ234" s="2">
        <f t="shared" si="27"/>
        <v>9</v>
      </c>
      <c r="AR234">
        <f t="shared" si="24"/>
        <v>235</v>
      </c>
      <c r="AS234" t="str">
        <f t="shared" si="25"/>
        <v>High Claim Ratio</v>
      </c>
      <c r="AT234" t="str">
        <f t="shared" si="26"/>
        <v>High Profit</v>
      </c>
    </row>
    <row r="235" spans="1:46" x14ac:dyDescent="0.2">
      <c r="A235">
        <v>172</v>
      </c>
      <c r="B235">
        <v>35</v>
      </c>
      <c r="C235">
        <v>476923</v>
      </c>
      <c r="D235" s="1">
        <v>38249</v>
      </c>
      <c r="E235" t="s">
        <v>83</v>
      </c>
      <c r="F235" t="s">
        <v>69</v>
      </c>
      <c r="G235">
        <v>2000</v>
      </c>
      <c r="H235">
        <v>1219.04</v>
      </c>
      <c r="I235">
        <v>0</v>
      </c>
      <c r="J235">
        <v>456602</v>
      </c>
      <c r="K235" t="s">
        <v>41</v>
      </c>
      <c r="L235" t="s">
        <v>42</v>
      </c>
      <c r="M235" t="s">
        <v>159</v>
      </c>
      <c r="N235" t="s">
        <v>165</v>
      </c>
      <c r="O235" t="s">
        <v>74</v>
      </c>
      <c r="P235">
        <v>63600</v>
      </c>
      <c r="Q235">
        <v>-68700</v>
      </c>
      <c r="R235" s="1">
        <v>42015</v>
      </c>
      <c r="S235" t="s">
        <v>75</v>
      </c>
      <c r="T235" t="s">
        <v>76</v>
      </c>
      <c r="U235" t="s">
        <v>48</v>
      </c>
      <c r="V235" t="s">
        <v>49</v>
      </c>
      <c r="W235" t="s">
        <v>39</v>
      </c>
      <c r="X235" t="s">
        <v>122</v>
      </c>
      <c r="Y235" t="s">
        <v>412</v>
      </c>
      <c r="Z235">
        <v>19</v>
      </c>
      <c r="AA235">
        <v>3</v>
      </c>
      <c r="AB235" t="s">
        <v>62</v>
      </c>
      <c r="AC235">
        <v>2</v>
      </c>
      <c r="AD235">
        <v>0</v>
      </c>
      <c r="AE235" t="s">
        <v>79</v>
      </c>
      <c r="AF235">
        <v>79750</v>
      </c>
      <c r="AG235">
        <v>14500</v>
      </c>
      <c r="AH235">
        <v>14500</v>
      </c>
      <c r="AI235">
        <v>50750</v>
      </c>
      <c r="AJ235" t="s">
        <v>104</v>
      </c>
      <c r="AK235" t="s">
        <v>105</v>
      </c>
      <c r="AL235">
        <v>1999</v>
      </c>
      <c r="AM235" t="s">
        <v>82</v>
      </c>
      <c r="AN235" s="2">
        <f t="shared" si="21"/>
        <v>65.366709288220065</v>
      </c>
      <c r="AO235">
        <f t="shared" si="22"/>
        <v>-78530.960000000006</v>
      </c>
      <c r="AP235" s="2">
        <f t="shared" si="23"/>
        <v>1.5285576356409324E-2</v>
      </c>
      <c r="AQ235" s="2">
        <f t="shared" si="27"/>
        <v>16</v>
      </c>
      <c r="AR235">
        <f t="shared" si="24"/>
        <v>172</v>
      </c>
      <c r="AS235" t="str">
        <f t="shared" si="25"/>
        <v>High Claim Ratio</v>
      </c>
      <c r="AT235" t="str">
        <f t="shared" si="26"/>
        <v>High Profit</v>
      </c>
    </row>
    <row r="236" spans="1:46" x14ac:dyDescent="0.2">
      <c r="A236">
        <v>27</v>
      </c>
      <c r="B236">
        <v>28</v>
      </c>
      <c r="C236">
        <v>735822</v>
      </c>
      <c r="D236" s="1">
        <v>34939</v>
      </c>
      <c r="E236" t="s">
        <v>57</v>
      </c>
      <c r="F236" t="s">
        <v>69</v>
      </c>
      <c r="G236">
        <v>2000</v>
      </c>
      <c r="H236">
        <v>1371.78</v>
      </c>
      <c r="I236">
        <v>0</v>
      </c>
      <c r="J236">
        <v>451560</v>
      </c>
      <c r="K236" t="s">
        <v>41</v>
      </c>
      <c r="L236" t="s">
        <v>161</v>
      </c>
      <c r="M236" t="s">
        <v>189</v>
      </c>
      <c r="N236" t="s">
        <v>173</v>
      </c>
      <c r="O236" t="s">
        <v>60</v>
      </c>
      <c r="P236">
        <v>0</v>
      </c>
      <c r="Q236">
        <v>-32500</v>
      </c>
      <c r="R236" s="1">
        <v>42039</v>
      </c>
      <c r="S236" t="s">
        <v>75</v>
      </c>
      <c r="T236" t="s">
        <v>86</v>
      </c>
      <c r="U236" t="s">
        <v>48</v>
      </c>
      <c r="V236" t="s">
        <v>120</v>
      </c>
      <c r="W236" t="s">
        <v>175</v>
      </c>
      <c r="X236" t="s">
        <v>65</v>
      </c>
      <c r="Y236" t="s">
        <v>413</v>
      </c>
      <c r="Z236">
        <v>10</v>
      </c>
      <c r="AA236">
        <v>3</v>
      </c>
      <c r="AB236" t="s">
        <v>62</v>
      </c>
      <c r="AC236">
        <v>0</v>
      </c>
      <c r="AD236">
        <v>2</v>
      </c>
      <c r="AE236" t="s">
        <v>53</v>
      </c>
      <c r="AF236">
        <v>53600</v>
      </c>
      <c r="AG236">
        <v>5360</v>
      </c>
      <c r="AH236">
        <v>10720</v>
      </c>
      <c r="AI236">
        <v>37520</v>
      </c>
      <c r="AJ236" t="s">
        <v>109</v>
      </c>
      <c r="AK236" t="s">
        <v>110</v>
      </c>
      <c r="AL236">
        <v>2015</v>
      </c>
      <c r="AM236" t="s">
        <v>56</v>
      </c>
      <c r="AN236" s="2">
        <f t="shared" si="21"/>
        <v>39.044857879631117</v>
      </c>
      <c r="AO236">
        <f t="shared" si="22"/>
        <v>-52228.22</v>
      </c>
      <c r="AP236" s="2">
        <f t="shared" si="23"/>
        <v>2.5592432976996697E-2</v>
      </c>
      <c r="AQ236" s="2">
        <f t="shared" si="27"/>
        <v>0</v>
      </c>
      <c r="AR236">
        <f t="shared" si="24"/>
        <v>27</v>
      </c>
      <c r="AS236" t="str">
        <f t="shared" si="25"/>
        <v>High Claim Ratio</v>
      </c>
      <c r="AT236" t="str">
        <f t="shared" si="26"/>
        <v>High Profit</v>
      </c>
    </row>
    <row r="237" spans="1:46" x14ac:dyDescent="0.2">
      <c r="A237">
        <v>428</v>
      </c>
      <c r="B237">
        <v>54</v>
      </c>
      <c r="C237">
        <v>492745</v>
      </c>
      <c r="D237" s="1">
        <v>38021</v>
      </c>
      <c r="E237" t="s">
        <v>57</v>
      </c>
      <c r="F237" t="s">
        <v>69</v>
      </c>
      <c r="G237">
        <v>2000</v>
      </c>
      <c r="H237">
        <v>1506.21</v>
      </c>
      <c r="I237">
        <v>0</v>
      </c>
      <c r="J237">
        <v>453407</v>
      </c>
      <c r="K237" t="s">
        <v>41</v>
      </c>
      <c r="L237" t="s">
        <v>124</v>
      </c>
      <c r="M237" t="s">
        <v>145</v>
      </c>
      <c r="N237" t="s">
        <v>170</v>
      </c>
      <c r="O237" t="s">
        <v>85</v>
      </c>
      <c r="P237">
        <v>0</v>
      </c>
      <c r="Q237">
        <v>-24400</v>
      </c>
      <c r="R237" s="1">
        <v>42026</v>
      </c>
      <c r="S237" t="s">
        <v>75</v>
      </c>
      <c r="T237" t="s">
        <v>47</v>
      </c>
      <c r="U237" t="s">
        <v>63</v>
      </c>
      <c r="V237" t="s">
        <v>99</v>
      </c>
      <c r="W237" t="s">
        <v>77</v>
      </c>
      <c r="X237" t="s">
        <v>65</v>
      </c>
      <c r="Y237" t="s">
        <v>414</v>
      </c>
      <c r="Z237">
        <v>16</v>
      </c>
      <c r="AA237">
        <v>3</v>
      </c>
      <c r="AB237" t="s">
        <v>79</v>
      </c>
      <c r="AC237">
        <v>1</v>
      </c>
      <c r="AD237">
        <v>0</v>
      </c>
      <c r="AE237" t="s">
        <v>62</v>
      </c>
      <c r="AF237">
        <v>76560</v>
      </c>
      <c r="AG237">
        <v>12760</v>
      </c>
      <c r="AH237">
        <v>6380</v>
      </c>
      <c r="AI237">
        <v>57420</v>
      </c>
      <c r="AJ237" t="s">
        <v>104</v>
      </c>
      <c r="AK237" t="s">
        <v>287</v>
      </c>
      <c r="AL237">
        <v>2009</v>
      </c>
      <c r="AM237" t="s">
        <v>82</v>
      </c>
      <c r="AN237" s="2">
        <f t="shared" si="21"/>
        <v>50.795841322708846</v>
      </c>
      <c r="AO237">
        <f t="shared" si="22"/>
        <v>-75053.789999999994</v>
      </c>
      <c r="AP237" s="2">
        <f t="shared" si="23"/>
        <v>1.9673332375491438E-2</v>
      </c>
      <c r="AQ237" s="2">
        <f t="shared" si="27"/>
        <v>6</v>
      </c>
      <c r="AR237">
        <f t="shared" si="24"/>
        <v>428</v>
      </c>
      <c r="AS237" t="str">
        <f t="shared" si="25"/>
        <v>High Claim Ratio</v>
      </c>
      <c r="AT237" t="str">
        <f t="shared" si="26"/>
        <v>High Profit</v>
      </c>
    </row>
    <row r="238" spans="1:46" x14ac:dyDescent="0.2">
      <c r="A238">
        <v>99</v>
      </c>
      <c r="B238">
        <v>32</v>
      </c>
      <c r="C238">
        <v>130930</v>
      </c>
      <c r="D238" s="1">
        <v>41843</v>
      </c>
      <c r="E238" t="s">
        <v>57</v>
      </c>
      <c r="F238" t="s">
        <v>69</v>
      </c>
      <c r="G238">
        <v>1000</v>
      </c>
      <c r="H238">
        <v>1058.21</v>
      </c>
      <c r="I238">
        <v>3000000</v>
      </c>
      <c r="J238">
        <v>618655</v>
      </c>
      <c r="K238" t="s">
        <v>41</v>
      </c>
      <c r="L238" t="s">
        <v>161</v>
      </c>
      <c r="M238" t="s">
        <v>43</v>
      </c>
      <c r="N238" t="s">
        <v>112</v>
      </c>
      <c r="O238" t="s">
        <v>85</v>
      </c>
      <c r="P238">
        <v>0</v>
      </c>
      <c r="Q238">
        <v>0</v>
      </c>
      <c r="R238" s="1">
        <v>42014</v>
      </c>
      <c r="S238" t="s">
        <v>46</v>
      </c>
      <c r="T238" t="s">
        <v>86</v>
      </c>
      <c r="U238" t="s">
        <v>107</v>
      </c>
      <c r="V238" t="s">
        <v>99</v>
      </c>
      <c r="W238" t="s">
        <v>77</v>
      </c>
      <c r="X238" t="s">
        <v>87</v>
      </c>
      <c r="Y238" t="s">
        <v>415</v>
      </c>
      <c r="Z238">
        <v>17</v>
      </c>
      <c r="AA238">
        <v>1</v>
      </c>
      <c r="AB238" t="s">
        <v>53</v>
      </c>
      <c r="AC238">
        <v>1</v>
      </c>
      <c r="AD238">
        <v>1</v>
      </c>
      <c r="AE238" t="s">
        <v>79</v>
      </c>
      <c r="AF238">
        <v>41130</v>
      </c>
      <c r="AG238">
        <v>4570</v>
      </c>
      <c r="AH238">
        <v>4570</v>
      </c>
      <c r="AI238">
        <v>31990</v>
      </c>
      <c r="AJ238" t="s">
        <v>80</v>
      </c>
      <c r="AK238" t="s">
        <v>81</v>
      </c>
      <c r="AL238">
        <v>1999</v>
      </c>
      <c r="AM238" t="s">
        <v>82</v>
      </c>
      <c r="AN238" s="2">
        <f t="shared" si="21"/>
        <v>38.830826748236895</v>
      </c>
      <c r="AO238">
        <f t="shared" si="22"/>
        <v>-40071.79</v>
      </c>
      <c r="AP238" s="2">
        <f t="shared" si="23"/>
        <v>2.5727796552478668E-2</v>
      </c>
      <c r="AQ238" s="2">
        <f t="shared" si="27"/>
        <v>16</v>
      </c>
      <c r="AR238">
        <f t="shared" si="24"/>
        <v>99</v>
      </c>
      <c r="AS238" t="str">
        <f t="shared" si="25"/>
        <v>High Claim Ratio</v>
      </c>
      <c r="AT238" t="str">
        <f t="shared" si="26"/>
        <v>High Profit</v>
      </c>
    </row>
    <row r="239" spans="1:46" x14ac:dyDescent="0.2">
      <c r="A239">
        <v>107</v>
      </c>
      <c r="B239">
        <v>26</v>
      </c>
      <c r="C239">
        <v>261119</v>
      </c>
      <c r="D239" s="1">
        <v>35510</v>
      </c>
      <c r="E239" t="s">
        <v>83</v>
      </c>
      <c r="F239" t="s">
        <v>91</v>
      </c>
      <c r="G239">
        <v>2000</v>
      </c>
      <c r="H239">
        <v>932.14</v>
      </c>
      <c r="I239">
        <v>0</v>
      </c>
      <c r="J239">
        <v>612550</v>
      </c>
      <c r="K239" t="s">
        <v>41</v>
      </c>
      <c r="L239" t="s">
        <v>42</v>
      </c>
      <c r="M239" t="s">
        <v>72</v>
      </c>
      <c r="N239" t="s">
        <v>242</v>
      </c>
      <c r="O239" t="s">
        <v>74</v>
      </c>
      <c r="P239">
        <v>40600</v>
      </c>
      <c r="Q239">
        <v>0</v>
      </c>
      <c r="R239" s="1">
        <v>42014</v>
      </c>
      <c r="S239" t="s">
        <v>75</v>
      </c>
      <c r="T239" t="s">
        <v>76</v>
      </c>
      <c r="U239" t="s">
        <v>107</v>
      </c>
      <c r="V239" t="s">
        <v>99</v>
      </c>
      <c r="W239" t="s">
        <v>50</v>
      </c>
      <c r="X239" t="s">
        <v>51</v>
      </c>
      <c r="Y239" t="s">
        <v>416</v>
      </c>
      <c r="Z239">
        <v>2</v>
      </c>
      <c r="AA239">
        <v>3</v>
      </c>
      <c r="AB239" t="s">
        <v>79</v>
      </c>
      <c r="AC239">
        <v>2</v>
      </c>
      <c r="AD239">
        <v>3</v>
      </c>
      <c r="AE239" t="s">
        <v>79</v>
      </c>
      <c r="AF239">
        <v>78650</v>
      </c>
      <c r="AG239">
        <v>14300</v>
      </c>
      <c r="AH239">
        <v>7150</v>
      </c>
      <c r="AI239">
        <v>57200</v>
      </c>
      <c r="AJ239" t="s">
        <v>109</v>
      </c>
      <c r="AK239" t="s">
        <v>134</v>
      </c>
      <c r="AL239">
        <v>1996</v>
      </c>
      <c r="AM239" t="s">
        <v>56</v>
      </c>
      <c r="AN239" s="2">
        <f t="shared" si="21"/>
        <v>84.285316244079127</v>
      </c>
      <c r="AO239">
        <f t="shared" si="22"/>
        <v>-77717.86</v>
      </c>
      <c r="AP239" s="2">
        <f t="shared" si="23"/>
        <v>1.1851597563921628E-2</v>
      </c>
      <c r="AQ239" s="2">
        <f t="shared" si="27"/>
        <v>19</v>
      </c>
      <c r="AR239">
        <f t="shared" si="24"/>
        <v>107</v>
      </c>
      <c r="AS239" t="str">
        <f t="shared" si="25"/>
        <v>High Claim Ratio</v>
      </c>
      <c r="AT239" t="str">
        <f t="shared" si="26"/>
        <v>High Profit</v>
      </c>
    </row>
    <row r="240" spans="1:46" x14ac:dyDescent="0.2">
      <c r="A240">
        <v>272</v>
      </c>
      <c r="B240">
        <v>41</v>
      </c>
      <c r="C240">
        <v>280709</v>
      </c>
      <c r="D240" s="1">
        <v>33364</v>
      </c>
      <c r="E240" t="s">
        <v>39</v>
      </c>
      <c r="F240" t="s">
        <v>91</v>
      </c>
      <c r="G240">
        <v>2000</v>
      </c>
      <c r="H240">
        <v>1608.34</v>
      </c>
      <c r="I240">
        <v>0</v>
      </c>
      <c r="J240">
        <v>466718</v>
      </c>
      <c r="K240" t="s">
        <v>70</v>
      </c>
      <c r="L240" t="s">
        <v>92</v>
      </c>
      <c r="M240" t="s">
        <v>189</v>
      </c>
      <c r="N240" t="s">
        <v>59</v>
      </c>
      <c r="O240" t="s">
        <v>74</v>
      </c>
      <c r="P240">
        <v>33300</v>
      </c>
      <c r="Q240">
        <v>-10600</v>
      </c>
      <c r="R240" s="1">
        <v>42051</v>
      </c>
      <c r="S240" t="s">
        <v>46</v>
      </c>
      <c r="T240" t="s">
        <v>47</v>
      </c>
      <c r="U240" t="s">
        <v>48</v>
      </c>
      <c r="V240" t="s">
        <v>120</v>
      </c>
      <c r="W240" t="s">
        <v>77</v>
      </c>
      <c r="X240" t="s">
        <v>102</v>
      </c>
      <c r="Y240" t="s">
        <v>417</v>
      </c>
      <c r="Z240">
        <v>19</v>
      </c>
      <c r="AA240">
        <v>1</v>
      </c>
      <c r="AB240" t="s">
        <v>62</v>
      </c>
      <c r="AC240">
        <v>1</v>
      </c>
      <c r="AD240">
        <v>1</v>
      </c>
      <c r="AE240" t="s">
        <v>62</v>
      </c>
      <c r="AF240">
        <v>71060</v>
      </c>
      <c r="AG240">
        <v>6460</v>
      </c>
      <c r="AH240">
        <v>12920</v>
      </c>
      <c r="AI240">
        <v>51680</v>
      </c>
      <c r="AJ240" t="s">
        <v>54</v>
      </c>
      <c r="AK240" t="s">
        <v>55</v>
      </c>
      <c r="AL240">
        <v>2010</v>
      </c>
      <c r="AM240" t="s">
        <v>82</v>
      </c>
      <c r="AN240" s="2">
        <f t="shared" si="21"/>
        <v>44.154746666335271</v>
      </c>
      <c r="AO240">
        <f t="shared" si="22"/>
        <v>-69451.66</v>
      </c>
      <c r="AP240" s="2">
        <f t="shared" si="23"/>
        <v>2.2633230604691742E-2</v>
      </c>
      <c r="AQ240" s="2">
        <f t="shared" si="27"/>
        <v>5</v>
      </c>
      <c r="AR240">
        <f t="shared" si="24"/>
        <v>272</v>
      </c>
      <c r="AS240" t="str">
        <f t="shared" si="25"/>
        <v>High Claim Ratio</v>
      </c>
      <c r="AT240" t="str">
        <f t="shared" si="26"/>
        <v>High Profit</v>
      </c>
    </row>
    <row r="241" spans="1:46" x14ac:dyDescent="0.2">
      <c r="A241">
        <v>151</v>
      </c>
      <c r="B241">
        <v>37</v>
      </c>
      <c r="C241">
        <v>898573</v>
      </c>
      <c r="D241" s="1">
        <v>33823</v>
      </c>
      <c r="E241" t="s">
        <v>57</v>
      </c>
      <c r="F241" t="s">
        <v>91</v>
      </c>
      <c r="G241">
        <v>1000</v>
      </c>
      <c r="H241">
        <v>1728.56</v>
      </c>
      <c r="I241">
        <v>0</v>
      </c>
      <c r="J241">
        <v>617947</v>
      </c>
      <c r="K241" t="s">
        <v>70</v>
      </c>
      <c r="L241" t="s">
        <v>124</v>
      </c>
      <c r="M241" t="s">
        <v>189</v>
      </c>
      <c r="N241" t="s">
        <v>126</v>
      </c>
      <c r="O241" t="s">
        <v>74</v>
      </c>
      <c r="P241">
        <v>54000</v>
      </c>
      <c r="Q241">
        <v>0</v>
      </c>
      <c r="R241" s="1">
        <v>42043</v>
      </c>
      <c r="S241" t="s">
        <v>46</v>
      </c>
      <c r="T241" t="s">
        <v>86</v>
      </c>
      <c r="U241" t="s">
        <v>63</v>
      </c>
      <c r="V241" t="s">
        <v>99</v>
      </c>
      <c r="W241" t="s">
        <v>113</v>
      </c>
      <c r="X241" t="s">
        <v>156</v>
      </c>
      <c r="Y241" t="s">
        <v>418</v>
      </c>
      <c r="Z241">
        <v>0</v>
      </c>
      <c r="AA241">
        <v>1</v>
      </c>
      <c r="AB241" t="s">
        <v>53</v>
      </c>
      <c r="AC241">
        <v>1</v>
      </c>
      <c r="AD241">
        <v>1</v>
      </c>
      <c r="AE241" t="s">
        <v>62</v>
      </c>
      <c r="AF241">
        <v>38830</v>
      </c>
      <c r="AG241">
        <v>3530</v>
      </c>
      <c r="AH241">
        <v>3530</v>
      </c>
      <c r="AI241">
        <v>31770</v>
      </c>
      <c r="AJ241" t="s">
        <v>153</v>
      </c>
      <c r="AK241" t="s">
        <v>154</v>
      </c>
      <c r="AL241">
        <v>1999</v>
      </c>
      <c r="AM241" t="s">
        <v>82</v>
      </c>
      <c r="AN241" s="2">
        <f t="shared" si="21"/>
        <v>22.450796734429566</v>
      </c>
      <c r="AO241">
        <f t="shared" si="22"/>
        <v>-37101.440000000002</v>
      </c>
      <c r="AP241" s="2">
        <f t="shared" si="23"/>
        <v>4.4514949396101053E-2</v>
      </c>
      <c r="AQ241" s="2">
        <f t="shared" si="27"/>
        <v>16</v>
      </c>
      <c r="AR241">
        <f t="shared" si="24"/>
        <v>151</v>
      </c>
      <c r="AS241" t="str">
        <f t="shared" si="25"/>
        <v>High Claim Ratio</v>
      </c>
      <c r="AT241" t="str">
        <f t="shared" si="26"/>
        <v>High Profit</v>
      </c>
    </row>
    <row r="242" spans="1:46" x14ac:dyDescent="0.2">
      <c r="A242">
        <v>249</v>
      </c>
      <c r="B242">
        <v>43</v>
      </c>
      <c r="C242">
        <v>547802</v>
      </c>
      <c r="D242" s="1">
        <v>41520</v>
      </c>
      <c r="E242" t="s">
        <v>83</v>
      </c>
      <c r="F242" t="s">
        <v>40</v>
      </c>
      <c r="G242">
        <v>1000</v>
      </c>
      <c r="H242">
        <v>1518.46</v>
      </c>
      <c r="I242">
        <v>0</v>
      </c>
      <c r="J242">
        <v>606238</v>
      </c>
      <c r="K242" t="s">
        <v>70</v>
      </c>
      <c r="L242" t="s">
        <v>42</v>
      </c>
      <c r="M242" t="s">
        <v>84</v>
      </c>
      <c r="N242" t="s">
        <v>242</v>
      </c>
      <c r="O242" t="s">
        <v>74</v>
      </c>
      <c r="P242">
        <v>0</v>
      </c>
      <c r="Q242">
        <v>0</v>
      </c>
      <c r="R242" s="1">
        <v>42030</v>
      </c>
      <c r="S242" t="s">
        <v>46</v>
      </c>
      <c r="T242" t="s">
        <v>86</v>
      </c>
      <c r="U242" t="s">
        <v>48</v>
      </c>
      <c r="V242" t="s">
        <v>99</v>
      </c>
      <c r="W242" t="s">
        <v>50</v>
      </c>
      <c r="X242" t="s">
        <v>65</v>
      </c>
      <c r="Y242" t="s">
        <v>419</v>
      </c>
      <c r="Z242">
        <v>16</v>
      </c>
      <c r="AA242">
        <v>1</v>
      </c>
      <c r="AB242" t="s">
        <v>62</v>
      </c>
      <c r="AC242">
        <v>0</v>
      </c>
      <c r="AD242">
        <v>0</v>
      </c>
      <c r="AE242" t="s">
        <v>53</v>
      </c>
      <c r="AF242">
        <v>53500</v>
      </c>
      <c r="AG242">
        <v>5350</v>
      </c>
      <c r="AH242">
        <v>5350</v>
      </c>
      <c r="AI242">
        <v>42800</v>
      </c>
      <c r="AJ242" t="s">
        <v>54</v>
      </c>
      <c r="AK242" t="s">
        <v>55</v>
      </c>
      <c r="AL242">
        <v>2015</v>
      </c>
      <c r="AM242" t="s">
        <v>82</v>
      </c>
      <c r="AN242" s="2">
        <f t="shared" si="21"/>
        <v>35.20987719321338</v>
      </c>
      <c r="AO242">
        <f t="shared" si="22"/>
        <v>-51981.54</v>
      </c>
      <c r="AP242" s="2">
        <f t="shared" si="23"/>
        <v>2.8381899403749463E-2</v>
      </c>
      <c r="AQ242" s="2">
        <f t="shared" si="27"/>
        <v>0</v>
      </c>
      <c r="AR242">
        <f t="shared" si="24"/>
        <v>249</v>
      </c>
      <c r="AS242" t="str">
        <f t="shared" si="25"/>
        <v>High Claim Ratio</v>
      </c>
      <c r="AT242" t="str">
        <f t="shared" si="26"/>
        <v>High Profit</v>
      </c>
    </row>
    <row r="243" spans="1:46" x14ac:dyDescent="0.2">
      <c r="A243">
        <v>177</v>
      </c>
      <c r="B243">
        <v>38</v>
      </c>
      <c r="C243">
        <v>600845</v>
      </c>
      <c r="D243" s="1">
        <v>40913</v>
      </c>
      <c r="E243" t="s">
        <v>83</v>
      </c>
      <c r="F243" t="s">
        <v>69</v>
      </c>
      <c r="G243">
        <v>2000</v>
      </c>
      <c r="H243">
        <v>1540.19</v>
      </c>
      <c r="I243">
        <v>0</v>
      </c>
      <c r="J243">
        <v>463842</v>
      </c>
      <c r="K243" t="s">
        <v>70</v>
      </c>
      <c r="L243" t="s">
        <v>141</v>
      </c>
      <c r="M243" t="s">
        <v>185</v>
      </c>
      <c r="N243" t="s">
        <v>132</v>
      </c>
      <c r="O243" t="s">
        <v>60</v>
      </c>
      <c r="P243">
        <v>0</v>
      </c>
      <c r="Q243">
        <v>-74500</v>
      </c>
      <c r="R243" s="1">
        <v>42036</v>
      </c>
      <c r="S243" t="s">
        <v>46</v>
      </c>
      <c r="T243" t="s">
        <v>86</v>
      </c>
      <c r="U243" t="s">
        <v>48</v>
      </c>
      <c r="V243" t="s">
        <v>120</v>
      </c>
      <c r="W243" t="s">
        <v>64</v>
      </c>
      <c r="X243" t="s">
        <v>51</v>
      </c>
      <c r="Y243" t="s">
        <v>420</v>
      </c>
      <c r="Z243">
        <v>20</v>
      </c>
      <c r="AA243">
        <v>1</v>
      </c>
      <c r="AB243" t="s">
        <v>53</v>
      </c>
      <c r="AC243">
        <v>2</v>
      </c>
      <c r="AD243">
        <v>0</v>
      </c>
      <c r="AE243" t="s">
        <v>79</v>
      </c>
      <c r="AF243">
        <v>73700</v>
      </c>
      <c r="AG243">
        <v>7370</v>
      </c>
      <c r="AH243">
        <v>7370</v>
      </c>
      <c r="AI243">
        <v>58960</v>
      </c>
      <c r="AJ243" t="s">
        <v>89</v>
      </c>
      <c r="AK243" t="s">
        <v>223</v>
      </c>
      <c r="AL243">
        <v>2001</v>
      </c>
      <c r="AM243" t="s">
        <v>56</v>
      </c>
      <c r="AN243" s="2">
        <f t="shared" si="21"/>
        <v>47.820190891454004</v>
      </c>
      <c r="AO243">
        <f t="shared" si="22"/>
        <v>-72159.81</v>
      </c>
      <c r="AP243" s="2">
        <f t="shared" si="23"/>
        <v>2.0897816854588133E-2</v>
      </c>
      <c r="AQ243" s="2">
        <f t="shared" si="27"/>
        <v>14</v>
      </c>
      <c r="AR243">
        <f t="shared" si="24"/>
        <v>177</v>
      </c>
      <c r="AS243" t="str">
        <f t="shared" si="25"/>
        <v>High Claim Ratio</v>
      </c>
      <c r="AT243" t="str">
        <f t="shared" si="26"/>
        <v>High Profit</v>
      </c>
    </row>
    <row r="244" spans="1:46" x14ac:dyDescent="0.2">
      <c r="A244">
        <v>190</v>
      </c>
      <c r="B244">
        <v>40</v>
      </c>
      <c r="C244">
        <v>390381</v>
      </c>
      <c r="D244" s="1">
        <v>39109</v>
      </c>
      <c r="E244" t="s">
        <v>39</v>
      </c>
      <c r="F244" t="s">
        <v>91</v>
      </c>
      <c r="G244">
        <v>2000</v>
      </c>
      <c r="H244">
        <v>965.21</v>
      </c>
      <c r="I244">
        <v>0</v>
      </c>
      <c r="J244">
        <v>610354</v>
      </c>
      <c r="K244" t="s">
        <v>70</v>
      </c>
      <c r="L244" t="s">
        <v>161</v>
      </c>
      <c r="M244" t="s">
        <v>125</v>
      </c>
      <c r="N244" t="s">
        <v>118</v>
      </c>
      <c r="O244" t="s">
        <v>60</v>
      </c>
      <c r="P244">
        <v>36900</v>
      </c>
      <c r="Q244">
        <v>-53700</v>
      </c>
      <c r="R244" s="1">
        <v>42037</v>
      </c>
      <c r="S244" t="s">
        <v>138</v>
      </c>
      <c r="T244" t="s">
        <v>62</v>
      </c>
      <c r="U244" t="s">
        <v>212</v>
      </c>
      <c r="V244" t="s">
        <v>93</v>
      </c>
      <c r="W244" t="s">
        <v>50</v>
      </c>
      <c r="X244" t="s">
        <v>122</v>
      </c>
      <c r="Y244" t="s">
        <v>421</v>
      </c>
      <c r="Z244">
        <v>10</v>
      </c>
      <c r="AA244">
        <v>1</v>
      </c>
      <c r="AB244" t="s">
        <v>62</v>
      </c>
      <c r="AC244">
        <v>2</v>
      </c>
      <c r="AD244">
        <v>1</v>
      </c>
      <c r="AE244" t="s">
        <v>53</v>
      </c>
      <c r="AF244">
        <v>6300</v>
      </c>
      <c r="AG244">
        <v>630</v>
      </c>
      <c r="AH244">
        <v>630</v>
      </c>
      <c r="AI244">
        <v>5040</v>
      </c>
      <c r="AJ244" t="s">
        <v>104</v>
      </c>
      <c r="AK244" t="s">
        <v>287</v>
      </c>
      <c r="AL244">
        <v>2001</v>
      </c>
      <c r="AM244" t="s">
        <v>82</v>
      </c>
      <c r="AN244" s="2">
        <f t="shared" si="21"/>
        <v>6.5203216692023469</v>
      </c>
      <c r="AO244">
        <f t="shared" si="22"/>
        <v>-5334.79</v>
      </c>
      <c r="AP244" s="2">
        <f t="shared" si="23"/>
        <v>0.15318362164735758</v>
      </c>
      <c r="AQ244" s="2">
        <f t="shared" si="27"/>
        <v>14</v>
      </c>
      <c r="AR244">
        <f t="shared" si="24"/>
        <v>190</v>
      </c>
      <c r="AS244" t="str">
        <f t="shared" si="25"/>
        <v>Medium Claim Ratio</v>
      </c>
      <c r="AT244" t="str">
        <f t="shared" si="26"/>
        <v>High Profit</v>
      </c>
    </row>
    <row r="245" spans="1:46" x14ac:dyDescent="0.2">
      <c r="A245">
        <v>174</v>
      </c>
      <c r="B245">
        <v>36</v>
      </c>
      <c r="C245">
        <v>629918</v>
      </c>
      <c r="D245" s="1">
        <v>38639</v>
      </c>
      <c r="E245" t="s">
        <v>83</v>
      </c>
      <c r="F245" t="s">
        <v>69</v>
      </c>
      <c r="G245">
        <v>2000</v>
      </c>
      <c r="H245">
        <v>1278.75</v>
      </c>
      <c r="I245">
        <v>0</v>
      </c>
      <c r="J245">
        <v>461328</v>
      </c>
      <c r="K245" t="s">
        <v>70</v>
      </c>
      <c r="L245" t="s">
        <v>141</v>
      </c>
      <c r="M245" t="s">
        <v>97</v>
      </c>
      <c r="N245" t="s">
        <v>165</v>
      </c>
      <c r="O245" t="s">
        <v>74</v>
      </c>
      <c r="P245">
        <v>53200</v>
      </c>
      <c r="Q245">
        <v>-53800</v>
      </c>
      <c r="R245" s="1">
        <v>42041</v>
      </c>
      <c r="S245" t="s">
        <v>75</v>
      </c>
      <c r="T245" t="s">
        <v>76</v>
      </c>
      <c r="U245" t="s">
        <v>107</v>
      </c>
      <c r="V245" t="s">
        <v>136</v>
      </c>
      <c r="W245" t="s">
        <v>77</v>
      </c>
      <c r="X245" t="s">
        <v>65</v>
      </c>
      <c r="Y245" t="s">
        <v>422</v>
      </c>
      <c r="Z245">
        <v>21</v>
      </c>
      <c r="AA245">
        <v>3</v>
      </c>
      <c r="AB245" t="s">
        <v>62</v>
      </c>
      <c r="AC245">
        <v>2</v>
      </c>
      <c r="AD245">
        <v>2</v>
      </c>
      <c r="AE245" t="s">
        <v>79</v>
      </c>
      <c r="AF245">
        <v>65400</v>
      </c>
      <c r="AG245">
        <v>10900</v>
      </c>
      <c r="AH245">
        <v>10900</v>
      </c>
      <c r="AI245">
        <v>43600</v>
      </c>
      <c r="AJ245" t="s">
        <v>80</v>
      </c>
      <c r="AK245" t="s">
        <v>81</v>
      </c>
      <c r="AL245">
        <v>2012</v>
      </c>
      <c r="AM245" t="s">
        <v>82</v>
      </c>
      <c r="AN245" s="2">
        <f t="shared" si="21"/>
        <v>51.103731197499513</v>
      </c>
      <c r="AO245">
        <f t="shared" si="22"/>
        <v>-64121.25</v>
      </c>
      <c r="AP245" s="2">
        <f t="shared" si="23"/>
        <v>1.9552453326401736E-2</v>
      </c>
      <c r="AQ245" s="2">
        <f t="shared" si="27"/>
        <v>3</v>
      </c>
      <c r="AR245">
        <f t="shared" si="24"/>
        <v>174</v>
      </c>
      <c r="AS245" t="str">
        <f t="shared" si="25"/>
        <v>High Claim Ratio</v>
      </c>
      <c r="AT245" t="str">
        <f t="shared" si="26"/>
        <v>High Profit</v>
      </c>
    </row>
    <row r="246" spans="1:46" x14ac:dyDescent="0.2">
      <c r="A246">
        <v>95</v>
      </c>
      <c r="B246">
        <v>28</v>
      </c>
      <c r="C246">
        <v>208298</v>
      </c>
      <c r="D246" s="1">
        <v>33180</v>
      </c>
      <c r="E246" t="s">
        <v>39</v>
      </c>
      <c r="F246" t="s">
        <v>40</v>
      </c>
      <c r="G246">
        <v>1000</v>
      </c>
      <c r="H246">
        <v>773.99</v>
      </c>
      <c r="I246">
        <v>0</v>
      </c>
      <c r="J246">
        <v>458727</v>
      </c>
      <c r="K246" t="s">
        <v>41</v>
      </c>
      <c r="L246" t="s">
        <v>92</v>
      </c>
      <c r="M246" t="s">
        <v>84</v>
      </c>
      <c r="N246" t="s">
        <v>73</v>
      </c>
      <c r="O246" t="s">
        <v>60</v>
      </c>
      <c r="P246">
        <v>0</v>
      </c>
      <c r="Q246">
        <v>-70300</v>
      </c>
      <c r="R246" s="1">
        <v>42005</v>
      </c>
      <c r="S246" t="s">
        <v>61</v>
      </c>
      <c r="T246" t="s">
        <v>62</v>
      </c>
      <c r="U246" t="s">
        <v>212</v>
      </c>
      <c r="V246" t="s">
        <v>93</v>
      </c>
      <c r="W246" t="s">
        <v>175</v>
      </c>
      <c r="X246" t="s">
        <v>102</v>
      </c>
      <c r="Y246" t="s">
        <v>423</v>
      </c>
      <c r="Z246">
        <v>3</v>
      </c>
      <c r="AA246">
        <v>1</v>
      </c>
      <c r="AB246" t="s">
        <v>53</v>
      </c>
      <c r="AC246">
        <v>1</v>
      </c>
      <c r="AD246">
        <v>2</v>
      </c>
      <c r="AE246" t="s">
        <v>79</v>
      </c>
      <c r="AF246">
        <v>3200</v>
      </c>
      <c r="AG246">
        <v>640</v>
      </c>
      <c r="AH246">
        <v>320</v>
      </c>
      <c r="AI246">
        <v>2240</v>
      </c>
      <c r="AJ246" t="s">
        <v>67</v>
      </c>
      <c r="AK246" t="s">
        <v>68</v>
      </c>
      <c r="AL246">
        <v>2014</v>
      </c>
      <c r="AM246" t="s">
        <v>82</v>
      </c>
      <c r="AN246" s="2">
        <f t="shared" si="21"/>
        <v>4.1290855365875689</v>
      </c>
      <c r="AO246">
        <f t="shared" si="22"/>
        <v>-2426.0100000000002</v>
      </c>
      <c r="AP246" s="2">
        <f t="shared" si="23"/>
        <v>0.24179631365198376</v>
      </c>
      <c r="AQ246" s="2">
        <f t="shared" si="27"/>
        <v>1</v>
      </c>
      <c r="AR246">
        <f t="shared" si="24"/>
        <v>95</v>
      </c>
      <c r="AS246" t="str">
        <f t="shared" si="25"/>
        <v>Low Claim Ratio</v>
      </c>
      <c r="AT246" t="str">
        <f t="shared" si="26"/>
        <v>Low Profit</v>
      </c>
    </row>
    <row r="247" spans="1:46" x14ac:dyDescent="0.2">
      <c r="A247">
        <v>371</v>
      </c>
      <c r="B247">
        <v>51</v>
      </c>
      <c r="C247">
        <v>513099</v>
      </c>
      <c r="D247" s="1">
        <v>38640</v>
      </c>
      <c r="E247" t="s">
        <v>57</v>
      </c>
      <c r="F247" t="s">
        <v>91</v>
      </c>
      <c r="G247">
        <v>1000</v>
      </c>
      <c r="H247">
        <v>1532.47</v>
      </c>
      <c r="I247">
        <v>0</v>
      </c>
      <c r="J247">
        <v>452587</v>
      </c>
      <c r="K247" t="s">
        <v>70</v>
      </c>
      <c r="L247" t="s">
        <v>92</v>
      </c>
      <c r="M247" t="s">
        <v>97</v>
      </c>
      <c r="N247" t="s">
        <v>112</v>
      </c>
      <c r="O247" t="s">
        <v>60</v>
      </c>
      <c r="P247">
        <v>60300</v>
      </c>
      <c r="Q247">
        <v>-24700</v>
      </c>
      <c r="R247" s="1">
        <v>42023</v>
      </c>
      <c r="S247" t="s">
        <v>46</v>
      </c>
      <c r="T247" t="s">
        <v>76</v>
      </c>
      <c r="U247" t="s">
        <v>48</v>
      </c>
      <c r="V247" t="s">
        <v>99</v>
      </c>
      <c r="W247" t="s">
        <v>77</v>
      </c>
      <c r="X247" t="s">
        <v>87</v>
      </c>
      <c r="Y247" t="s">
        <v>424</v>
      </c>
      <c r="Z247">
        <v>7</v>
      </c>
      <c r="AA247">
        <v>1</v>
      </c>
      <c r="AB247" t="s">
        <v>53</v>
      </c>
      <c r="AC247">
        <v>0</v>
      </c>
      <c r="AD247">
        <v>3</v>
      </c>
      <c r="AE247" t="s">
        <v>53</v>
      </c>
      <c r="AF247">
        <v>75400</v>
      </c>
      <c r="AG247">
        <v>7540</v>
      </c>
      <c r="AH247">
        <v>15080</v>
      </c>
      <c r="AI247">
        <v>52780</v>
      </c>
      <c r="AJ247" t="s">
        <v>80</v>
      </c>
      <c r="AK247" t="s">
        <v>81</v>
      </c>
      <c r="AL247">
        <v>2012</v>
      </c>
      <c r="AM247" t="s">
        <v>56</v>
      </c>
      <c r="AN247" s="2">
        <f t="shared" si="21"/>
        <v>49.16953054184301</v>
      </c>
      <c r="AO247">
        <f t="shared" si="22"/>
        <v>-73867.53</v>
      </c>
      <c r="AP247" s="2">
        <f t="shared" si="23"/>
        <v>2.0324266256415698E-2</v>
      </c>
      <c r="AQ247" s="2">
        <f t="shared" si="27"/>
        <v>3</v>
      </c>
      <c r="AR247">
        <f t="shared" si="24"/>
        <v>371</v>
      </c>
      <c r="AS247" t="str">
        <f t="shared" si="25"/>
        <v>High Claim Ratio</v>
      </c>
      <c r="AT247" t="str">
        <f t="shared" si="26"/>
        <v>High Profit</v>
      </c>
    </row>
    <row r="248" spans="1:46" x14ac:dyDescent="0.2">
      <c r="A248">
        <v>2</v>
      </c>
      <c r="B248">
        <v>28</v>
      </c>
      <c r="C248">
        <v>184938</v>
      </c>
      <c r="D248" s="1">
        <v>36302</v>
      </c>
      <c r="E248" t="s">
        <v>83</v>
      </c>
      <c r="F248" t="s">
        <v>40</v>
      </c>
      <c r="G248">
        <v>1000</v>
      </c>
      <c r="H248">
        <v>1340.56</v>
      </c>
      <c r="I248">
        <v>0</v>
      </c>
      <c r="J248">
        <v>433184</v>
      </c>
      <c r="K248" t="s">
        <v>70</v>
      </c>
      <c r="L248" t="s">
        <v>161</v>
      </c>
      <c r="M248" t="s">
        <v>58</v>
      </c>
      <c r="N248" t="s">
        <v>112</v>
      </c>
      <c r="O248" t="s">
        <v>142</v>
      </c>
      <c r="P248">
        <v>0</v>
      </c>
      <c r="Q248">
        <v>0</v>
      </c>
      <c r="R248" s="1">
        <v>42021</v>
      </c>
      <c r="S248" t="s">
        <v>46</v>
      </c>
      <c r="T248" t="s">
        <v>47</v>
      </c>
      <c r="U248" t="s">
        <v>63</v>
      </c>
      <c r="V248" t="s">
        <v>99</v>
      </c>
      <c r="W248" t="s">
        <v>77</v>
      </c>
      <c r="X248" t="s">
        <v>127</v>
      </c>
      <c r="Y248" t="s">
        <v>425</v>
      </c>
      <c r="Z248">
        <v>19</v>
      </c>
      <c r="AA248">
        <v>1</v>
      </c>
      <c r="AB248" t="s">
        <v>53</v>
      </c>
      <c r="AC248">
        <v>0</v>
      </c>
      <c r="AD248">
        <v>2</v>
      </c>
      <c r="AE248" t="s">
        <v>53</v>
      </c>
      <c r="AF248">
        <v>58140</v>
      </c>
      <c r="AG248">
        <v>6460</v>
      </c>
      <c r="AH248">
        <v>6460</v>
      </c>
      <c r="AI248">
        <v>45220</v>
      </c>
      <c r="AJ248" t="s">
        <v>54</v>
      </c>
      <c r="AK248" t="s">
        <v>55</v>
      </c>
      <c r="AL248">
        <v>2008</v>
      </c>
      <c r="AM248" t="s">
        <v>82</v>
      </c>
      <c r="AN248" s="2">
        <f t="shared" si="21"/>
        <v>43.337606965025792</v>
      </c>
      <c r="AO248">
        <f t="shared" si="22"/>
        <v>-56799.44</v>
      </c>
      <c r="AP248" s="2">
        <f t="shared" si="23"/>
        <v>2.3057050962315747E-2</v>
      </c>
      <c r="AQ248" s="2">
        <f t="shared" si="27"/>
        <v>7</v>
      </c>
      <c r="AR248">
        <f t="shared" si="24"/>
        <v>2</v>
      </c>
      <c r="AS248" t="str">
        <f t="shared" si="25"/>
        <v>High Claim Ratio</v>
      </c>
      <c r="AT248" t="str">
        <f t="shared" si="26"/>
        <v>High Profit</v>
      </c>
    </row>
    <row r="249" spans="1:46" x14ac:dyDescent="0.2">
      <c r="A249">
        <v>269</v>
      </c>
      <c r="B249">
        <v>44</v>
      </c>
      <c r="C249">
        <v>187775</v>
      </c>
      <c r="D249" s="1">
        <v>37611</v>
      </c>
      <c r="E249" t="s">
        <v>39</v>
      </c>
      <c r="F249" t="s">
        <v>69</v>
      </c>
      <c r="G249">
        <v>500</v>
      </c>
      <c r="H249">
        <v>1297.75</v>
      </c>
      <c r="I249">
        <v>4000000</v>
      </c>
      <c r="J249">
        <v>451280</v>
      </c>
      <c r="K249" t="s">
        <v>70</v>
      </c>
      <c r="L249" t="s">
        <v>161</v>
      </c>
      <c r="M249" t="s">
        <v>111</v>
      </c>
      <c r="N249" t="s">
        <v>168</v>
      </c>
      <c r="O249" t="s">
        <v>74</v>
      </c>
      <c r="P249">
        <v>0</v>
      </c>
      <c r="Q249">
        <v>-41400</v>
      </c>
      <c r="R249" s="1">
        <v>42036</v>
      </c>
      <c r="S249" t="s">
        <v>75</v>
      </c>
      <c r="T249" t="s">
        <v>76</v>
      </c>
      <c r="U249" t="s">
        <v>107</v>
      </c>
      <c r="V249" t="s">
        <v>136</v>
      </c>
      <c r="W249" t="s">
        <v>50</v>
      </c>
      <c r="X249" t="s">
        <v>51</v>
      </c>
      <c r="Y249" t="s">
        <v>426</v>
      </c>
      <c r="Z249">
        <v>15</v>
      </c>
      <c r="AA249">
        <v>3</v>
      </c>
      <c r="AB249" t="s">
        <v>62</v>
      </c>
      <c r="AC249">
        <v>0</v>
      </c>
      <c r="AD249">
        <v>1</v>
      </c>
      <c r="AE249" t="s">
        <v>62</v>
      </c>
      <c r="AF249">
        <v>98670</v>
      </c>
      <c r="AG249">
        <v>15180</v>
      </c>
      <c r="AH249">
        <v>15180</v>
      </c>
      <c r="AI249">
        <v>68310</v>
      </c>
      <c r="AJ249" t="s">
        <v>89</v>
      </c>
      <c r="AK249" t="s">
        <v>90</v>
      </c>
      <c r="AL249">
        <v>2010</v>
      </c>
      <c r="AM249" t="s">
        <v>56</v>
      </c>
      <c r="AN249" s="2">
        <f t="shared" si="21"/>
        <v>75.973051010587099</v>
      </c>
      <c r="AO249">
        <f t="shared" si="22"/>
        <v>-97372.25</v>
      </c>
      <c r="AP249" s="2">
        <f t="shared" si="23"/>
        <v>1.3152293987088405E-2</v>
      </c>
      <c r="AQ249" s="2">
        <f t="shared" si="27"/>
        <v>5</v>
      </c>
      <c r="AR249">
        <f t="shared" si="24"/>
        <v>269</v>
      </c>
      <c r="AS249" t="str">
        <f t="shared" si="25"/>
        <v>High Claim Ratio</v>
      </c>
      <c r="AT249" t="str">
        <f t="shared" si="26"/>
        <v>High Profit</v>
      </c>
    </row>
    <row r="250" spans="1:46" x14ac:dyDescent="0.2">
      <c r="A250">
        <v>101</v>
      </c>
      <c r="B250">
        <v>27</v>
      </c>
      <c r="C250">
        <v>326322</v>
      </c>
      <c r="D250" s="1">
        <v>39123</v>
      </c>
      <c r="E250" t="s">
        <v>83</v>
      </c>
      <c r="F250" t="s">
        <v>40</v>
      </c>
      <c r="G250">
        <v>1000</v>
      </c>
      <c r="H250">
        <v>433.33</v>
      </c>
      <c r="I250">
        <v>0</v>
      </c>
      <c r="J250">
        <v>603269</v>
      </c>
      <c r="K250" t="s">
        <v>41</v>
      </c>
      <c r="L250" t="s">
        <v>124</v>
      </c>
      <c r="M250" t="s">
        <v>58</v>
      </c>
      <c r="N250" t="s">
        <v>112</v>
      </c>
      <c r="O250" t="s">
        <v>60</v>
      </c>
      <c r="P250">
        <v>25900</v>
      </c>
      <c r="Q250">
        <v>0</v>
      </c>
      <c r="R250" s="1">
        <v>42006</v>
      </c>
      <c r="S250" t="s">
        <v>138</v>
      </c>
      <c r="T250" t="s">
        <v>62</v>
      </c>
      <c r="U250" t="s">
        <v>63</v>
      </c>
      <c r="V250" t="s">
        <v>93</v>
      </c>
      <c r="W250" t="s">
        <v>50</v>
      </c>
      <c r="X250" t="s">
        <v>122</v>
      </c>
      <c r="Y250" t="s">
        <v>427</v>
      </c>
      <c r="Z250">
        <v>7</v>
      </c>
      <c r="AA250">
        <v>1</v>
      </c>
      <c r="AB250" t="s">
        <v>62</v>
      </c>
      <c r="AC250">
        <v>0</v>
      </c>
      <c r="AD250">
        <v>3</v>
      </c>
      <c r="AE250" t="s">
        <v>79</v>
      </c>
      <c r="AF250">
        <v>5900</v>
      </c>
      <c r="AG250">
        <v>1180</v>
      </c>
      <c r="AH250">
        <v>590</v>
      </c>
      <c r="AI250">
        <v>4130</v>
      </c>
      <c r="AJ250" t="s">
        <v>67</v>
      </c>
      <c r="AK250" t="s">
        <v>68</v>
      </c>
      <c r="AL250">
        <v>2009</v>
      </c>
      <c r="AM250" t="s">
        <v>82</v>
      </c>
      <c r="AN250" s="2">
        <f t="shared" si="21"/>
        <v>13.584141090875603</v>
      </c>
      <c r="AO250">
        <f t="shared" si="22"/>
        <v>-5466.67</v>
      </c>
      <c r="AP250" s="2">
        <f t="shared" si="23"/>
        <v>7.3433316387053041E-2</v>
      </c>
      <c r="AQ250" s="2">
        <f t="shared" si="27"/>
        <v>6</v>
      </c>
      <c r="AR250">
        <f t="shared" si="24"/>
        <v>101</v>
      </c>
      <c r="AS250" t="str">
        <f t="shared" si="25"/>
        <v>Medium Claim Ratio</v>
      </c>
      <c r="AT250" t="str">
        <f t="shared" si="26"/>
        <v>High Profit</v>
      </c>
    </row>
    <row r="251" spans="1:46" x14ac:dyDescent="0.2">
      <c r="A251">
        <v>94</v>
      </c>
      <c r="B251">
        <v>30</v>
      </c>
      <c r="C251">
        <v>146138</v>
      </c>
      <c r="D251" s="1">
        <v>37316</v>
      </c>
      <c r="E251" t="s">
        <v>57</v>
      </c>
      <c r="F251" t="s">
        <v>40</v>
      </c>
      <c r="G251">
        <v>2000</v>
      </c>
      <c r="H251">
        <v>1025.54</v>
      </c>
      <c r="I251">
        <v>0</v>
      </c>
      <c r="J251">
        <v>442632</v>
      </c>
      <c r="K251" t="s">
        <v>70</v>
      </c>
      <c r="L251" t="s">
        <v>131</v>
      </c>
      <c r="M251" t="s">
        <v>84</v>
      </c>
      <c r="N251" t="s">
        <v>165</v>
      </c>
      <c r="O251" t="s">
        <v>60</v>
      </c>
      <c r="P251">
        <v>0</v>
      </c>
      <c r="Q251">
        <v>-52600</v>
      </c>
      <c r="R251" s="1">
        <v>42055</v>
      </c>
      <c r="S251" t="s">
        <v>46</v>
      </c>
      <c r="T251" t="s">
        <v>76</v>
      </c>
      <c r="U251" t="s">
        <v>48</v>
      </c>
      <c r="V251" t="s">
        <v>99</v>
      </c>
      <c r="W251" t="s">
        <v>121</v>
      </c>
      <c r="X251" t="s">
        <v>87</v>
      </c>
      <c r="Y251" t="s">
        <v>428</v>
      </c>
      <c r="Z251">
        <v>19</v>
      </c>
      <c r="AA251">
        <v>1</v>
      </c>
      <c r="AB251" t="s">
        <v>62</v>
      </c>
      <c r="AC251">
        <v>1</v>
      </c>
      <c r="AD251">
        <v>3</v>
      </c>
      <c r="AE251" t="s">
        <v>53</v>
      </c>
      <c r="AF251">
        <v>64100</v>
      </c>
      <c r="AG251">
        <v>6410</v>
      </c>
      <c r="AH251">
        <v>6410</v>
      </c>
      <c r="AI251">
        <v>51280</v>
      </c>
      <c r="AJ251" t="s">
        <v>89</v>
      </c>
      <c r="AK251" t="s">
        <v>245</v>
      </c>
      <c r="AL251">
        <v>2001</v>
      </c>
      <c r="AM251" t="s">
        <v>82</v>
      </c>
      <c r="AN251" s="2">
        <f t="shared" si="21"/>
        <v>62.442768913047715</v>
      </c>
      <c r="AO251">
        <f t="shared" si="22"/>
        <v>-63074.46</v>
      </c>
      <c r="AP251" s="2">
        <f t="shared" si="23"/>
        <v>1.5998814371070653E-2</v>
      </c>
      <c r="AQ251" s="2">
        <f t="shared" si="27"/>
        <v>14</v>
      </c>
      <c r="AR251">
        <f t="shared" si="24"/>
        <v>94</v>
      </c>
      <c r="AS251" t="str">
        <f t="shared" si="25"/>
        <v>High Claim Ratio</v>
      </c>
      <c r="AT251" t="str">
        <f t="shared" si="26"/>
        <v>High Profit</v>
      </c>
    </row>
    <row r="252" spans="1:46" x14ac:dyDescent="0.2">
      <c r="A252">
        <v>117</v>
      </c>
      <c r="B252">
        <v>28</v>
      </c>
      <c r="C252">
        <v>336047</v>
      </c>
      <c r="D252" s="1">
        <v>37732</v>
      </c>
      <c r="E252" t="s">
        <v>39</v>
      </c>
      <c r="F252" t="s">
        <v>40</v>
      </c>
      <c r="G252">
        <v>500</v>
      </c>
      <c r="H252">
        <v>1264.77</v>
      </c>
      <c r="I252">
        <v>0</v>
      </c>
      <c r="J252">
        <v>447300</v>
      </c>
      <c r="K252" t="s">
        <v>70</v>
      </c>
      <c r="L252" t="s">
        <v>92</v>
      </c>
      <c r="M252" t="s">
        <v>145</v>
      </c>
      <c r="N252" t="s">
        <v>155</v>
      </c>
      <c r="O252" t="s">
        <v>85</v>
      </c>
      <c r="P252">
        <v>47500</v>
      </c>
      <c r="Q252">
        <v>-32500</v>
      </c>
      <c r="R252" s="1">
        <v>42040</v>
      </c>
      <c r="S252" t="s">
        <v>75</v>
      </c>
      <c r="T252" t="s">
        <v>76</v>
      </c>
      <c r="U252" t="s">
        <v>107</v>
      </c>
      <c r="V252" t="s">
        <v>99</v>
      </c>
      <c r="W252" t="s">
        <v>50</v>
      </c>
      <c r="X252" t="s">
        <v>102</v>
      </c>
      <c r="Y252" t="s">
        <v>429</v>
      </c>
      <c r="Z252">
        <v>13</v>
      </c>
      <c r="AA252">
        <v>2</v>
      </c>
      <c r="AB252" t="s">
        <v>53</v>
      </c>
      <c r="AC252">
        <v>0</v>
      </c>
      <c r="AD252">
        <v>1</v>
      </c>
      <c r="AE252" t="s">
        <v>62</v>
      </c>
      <c r="AF252">
        <v>55440</v>
      </c>
      <c r="AG252">
        <v>5040</v>
      </c>
      <c r="AH252">
        <v>10080</v>
      </c>
      <c r="AI252">
        <v>40320</v>
      </c>
      <c r="AJ252" t="s">
        <v>153</v>
      </c>
      <c r="AK252" t="s">
        <v>167</v>
      </c>
      <c r="AL252">
        <v>2009</v>
      </c>
      <c r="AM252" t="s">
        <v>56</v>
      </c>
      <c r="AN252" s="2">
        <f t="shared" si="21"/>
        <v>43.799426436082385</v>
      </c>
      <c r="AO252">
        <f t="shared" si="22"/>
        <v>-54175.23</v>
      </c>
      <c r="AP252" s="2">
        <f t="shared" si="23"/>
        <v>2.281290020021284E-2</v>
      </c>
      <c r="AQ252" s="2">
        <f t="shared" si="27"/>
        <v>6</v>
      </c>
      <c r="AR252">
        <f t="shared" si="24"/>
        <v>117</v>
      </c>
      <c r="AS252" t="str">
        <f t="shared" si="25"/>
        <v>High Claim Ratio</v>
      </c>
      <c r="AT252" t="str">
        <f t="shared" si="26"/>
        <v>High Profit</v>
      </c>
    </row>
    <row r="253" spans="1:46" x14ac:dyDescent="0.2">
      <c r="A253">
        <v>111</v>
      </c>
      <c r="B253">
        <v>27</v>
      </c>
      <c r="C253">
        <v>532330</v>
      </c>
      <c r="D253" s="1">
        <v>37521</v>
      </c>
      <c r="E253" t="s">
        <v>39</v>
      </c>
      <c r="F253" t="s">
        <v>40</v>
      </c>
      <c r="G253">
        <v>500</v>
      </c>
      <c r="H253">
        <v>1459.97</v>
      </c>
      <c r="I253">
        <v>5000000</v>
      </c>
      <c r="J253">
        <v>441783</v>
      </c>
      <c r="K253" t="s">
        <v>41</v>
      </c>
      <c r="L253" t="s">
        <v>42</v>
      </c>
      <c r="M253" t="s">
        <v>72</v>
      </c>
      <c r="N253" t="s">
        <v>155</v>
      </c>
      <c r="O253" t="s">
        <v>60</v>
      </c>
      <c r="P253">
        <v>0</v>
      </c>
      <c r="Q253">
        <v>0</v>
      </c>
      <c r="R253" s="1">
        <v>42062</v>
      </c>
      <c r="S253" t="s">
        <v>75</v>
      </c>
      <c r="T253" t="s">
        <v>47</v>
      </c>
      <c r="U253" t="s">
        <v>48</v>
      </c>
      <c r="V253" t="s">
        <v>49</v>
      </c>
      <c r="W253" t="s">
        <v>50</v>
      </c>
      <c r="X253" t="s">
        <v>127</v>
      </c>
      <c r="Y253" t="s">
        <v>430</v>
      </c>
      <c r="Z253">
        <v>2</v>
      </c>
      <c r="AA253">
        <v>3</v>
      </c>
      <c r="AB253" t="s">
        <v>79</v>
      </c>
      <c r="AC253">
        <v>1</v>
      </c>
      <c r="AD253">
        <v>2</v>
      </c>
      <c r="AE253" t="s">
        <v>79</v>
      </c>
      <c r="AF253">
        <v>80850</v>
      </c>
      <c r="AG253">
        <v>7350</v>
      </c>
      <c r="AH253">
        <v>14700</v>
      </c>
      <c r="AI253">
        <v>58800</v>
      </c>
      <c r="AJ253" t="s">
        <v>129</v>
      </c>
      <c r="AK253" t="s">
        <v>130</v>
      </c>
      <c r="AL253">
        <v>2011</v>
      </c>
      <c r="AM253" t="s">
        <v>56</v>
      </c>
      <c r="AN253" s="2">
        <f t="shared" si="21"/>
        <v>55.33994537875521</v>
      </c>
      <c r="AO253">
        <f t="shared" si="22"/>
        <v>-79390.03</v>
      </c>
      <c r="AP253" s="2">
        <f t="shared" si="23"/>
        <v>1.805753794016153E-2</v>
      </c>
      <c r="AQ253" s="2">
        <f t="shared" si="27"/>
        <v>4</v>
      </c>
      <c r="AR253">
        <f t="shared" si="24"/>
        <v>111</v>
      </c>
      <c r="AS253" t="str">
        <f t="shared" si="25"/>
        <v>High Claim Ratio</v>
      </c>
      <c r="AT253" t="str">
        <f t="shared" si="26"/>
        <v>High Profit</v>
      </c>
    </row>
    <row r="254" spans="1:46" x14ac:dyDescent="0.2">
      <c r="A254">
        <v>242</v>
      </c>
      <c r="B254">
        <v>40</v>
      </c>
      <c r="C254">
        <v>118137</v>
      </c>
      <c r="D254" s="1">
        <v>35836</v>
      </c>
      <c r="E254" t="s">
        <v>39</v>
      </c>
      <c r="F254" t="s">
        <v>69</v>
      </c>
      <c r="G254">
        <v>500</v>
      </c>
      <c r="H254">
        <v>1238.6500000000001</v>
      </c>
      <c r="I254">
        <v>0</v>
      </c>
      <c r="J254">
        <v>468702</v>
      </c>
      <c r="K254" t="s">
        <v>70</v>
      </c>
      <c r="L254" t="s">
        <v>131</v>
      </c>
      <c r="M254" t="s">
        <v>145</v>
      </c>
      <c r="N254" t="s">
        <v>98</v>
      </c>
      <c r="O254" t="s">
        <v>45</v>
      </c>
      <c r="P254">
        <v>0</v>
      </c>
      <c r="Q254">
        <v>-44600</v>
      </c>
      <c r="R254" s="1">
        <v>42031</v>
      </c>
      <c r="S254" t="s">
        <v>61</v>
      </c>
      <c r="T254" t="s">
        <v>62</v>
      </c>
      <c r="U254" t="s">
        <v>212</v>
      </c>
      <c r="V254" t="s">
        <v>49</v>
      </c>
      <c r="W254" t="s">
        <v>113</v>
      </c>
      <c r="X254" t="s">
        <v>102</v>
      </c>
      <c r="Y254" t="s">
        <v>431</v>
      </c>
      <c r="Z254">
        <v>5</v>
      </c>
      <c r="AA254">
        <v>1</v>
      </c>
      <c r="AB254" t="s">
        <v>53</v>
      </c>
      <c r="AC254">
        <v>1</v>
      </c>
      <c r="AD254">
        <v>1</v>
      </c>
      <c r="AE254" t="s">
        <v>79</v>
      </c>
      <c r="AF254">
        <v>7480</v>
      </c>
      <c r="AG254">
        <v>680</v>
      </c>
      <c r="AH254">
        <v>680</v>
      </c>
      <c r="AI254">
        <v>6120</v>
      </c>
      <c r="AJ254" t="s">
        <v>54</v>
      </c>
      <c r="AK254">
        <v>95</v>
      </c>
      <c r="AL254">
        <v>1998</v>
      </c>
      <c r="AM254" t="s">
        <v>82</v>
      </c>
      <c r="AN254" s="2">
        <f t="shared" si="21"/>
        <v>6.0339611987254465</v>
      </c>
      <c r="AO254">
        <f t="shared" si="22"/>
        <v>-6241.35</v>
      </c>
      <c r="AP254" s="2">
        <f t="shared" si="23"/>
        <v>0.16557278438711404</v>
      </c>
      <c r="AQ254" s="2">
        <f t="shared" si="27"/>
        <v>17</v>
      </c>
      <c r="AR254">
        <f t="shared" si="24"/>
        <v>242</v>
      </c>
      <c r="AS254" t="str">
        <f t="shared" si="25"/>
        <v>Medium Claim Ratio</v>
      </c>
      <c r="AT254" t="str">
        <f t="shared" si="26"/>
        <v>High Profit</v>
      </c>
    </row>
    <row r="255" spans="1:46" x14ac:dyDescent="0.2">
      <c r="A255">
        <v>440</v>
      </c>
      <c r="B255">
        <v>61</v>
      </c>
      <c r="C255">
        <v>212674</v>
      </c>
      <c r="D255" s="1">
        <v>33848</v>
      </c>
      <c r="E255" t="s">
        <v>39</v>
      </c>
      <c r="F255" t="s">
        <v>40</v>
      </c>
      <c r="G255">
        <v>500</v>
      </c>
      <c r="H255">
        <v>1050.76</v>
      </c>
      <c r="I255">
        <v>0</v>
      </c>
      <c r="J255">
        <v>467942</v>
      </c>
      <c r="K255" t="s">
        <v>41</v>
      </c>
      <c r="L255" t="s">
        <v>71</v>
      </c>
      <c r="M255" t="s">
        <v>145</v>
      </c>
      <c r="N255" t="s">
        <v>146</v>
      </c>
      <c r="O255" t="s">
        <v>119</v>
      </c>
      <c r="P255">
        <v>41500</v>
      </c>
      <c r="Q255">
        <v>-70200</v>
      </c>
      <c r="R255" s="1">
        <v>42030</v>
      </c>
      <c r="S255" t="s">
        <v>46</v>
      </c>
      <c r="T255" t="s">
        <v>47</v>
      </c>
      <c r="U255" t="s">
        <v>48</v>
      </c>
      <c r="V255" t="s">
        <v>99</v>
      </c>
      <c r="W255" t="s">
        <v>39</v>
      </c>
      <c r="X255" t="s">
        <v>65</v>
      </c>
      <c r="Y255" t="s">
        <v>432</v>
      </c>
      <c r="Z255">
        <v>21</v>
      </c>
      <c r="AA255">
        <v>1</v>
      </c>
      <c r="AB255" t="s">
        <v>62</v>
      </c>
      <c r="AC255">
        <v>2</v>
      </c>
      <c r="AD255">
        <v>3</v>
      </c>
      <c r="AE255" t="s">
        <v>79</v>
      </c>
      <c r="AF255">
        <v>53640</v>
      </c>
      <c r="AG255">
        <v>5960</v>
      </c>
      <c r="AH255">
        <v>5960</v>
      </c>
      <c r="AI255">
        <v>41720</v>
      </c>
      <c r="AJ255" t="s">
        <v>104</v>
      </c>
      <c r="AK255" t="s">
        <v>151</v>
      </c>
      <c r="AL255">
        <v>2004</v>
      </c>
      <c r="AM255" t="s">
        <v>56</v>
      </c>
      <c r="AN255" s="2">
        <f t="shared" si="21"/>
        <v>51.00022818894044</v>
      </c>
      <c r="AO255">
        <f t="shared" si="22"/>
        <v>-52589.24</v>
      </c>
      <c r="AP255" s="2">
        <f t="shared" si="23"/>
        <v>1.9588747413359184E-2</v>
      </c>
      <c r="AQ255" s="2">
        <f t="shared" si="27"/>
        <v>11</v>
      </c>
      <c r="AR255">
        <f t="shared" si="24"/>
        <v>440</v>
      </c>
      <c r="AS255" t="str">
        <f t="shared" si="25"/>
        <v>High Claim Ratio</v>
      </c>
      <c r="AT255" t="str">
        <f t="shared" si="26"/>
        <v>High Profit</v>
      </c>
    </row>
    <row r="256" spans="1:46" x14ac:dyDescent="0.2">
      <c r="A256">
        <v>20</v>
      </c>
      <c r="B256">
        <v>23</v>
      </c>
      <c r="C256">
        <v>935596</v>
      </c>
      <c r="D256" s="1">
        <v>36281</v>
      </c>
      <c r="E256" t="s">
        <v>39</v>
      </c>
      <c r="F256" t="s">
        <v>91</v>
      </c>
      <c r="G256">
        <v>1000</v>
      </c>
      <c r="H256">
        <v>1711.72</v>
      </c>
      <c r="I256">
        <v>0</v>
      </c>
      <c r="J256">
        <v>463678</v>
      </c>
      <c r="K256" t="s">
        <v>70</v>
      </c>
      <c r="L256" t="s">
        <v>161</v>
      </c>
      <c r="M256" t="s">
        <v>97</v>
      </c>
      <c r="N256" t="s">
        <v>106</v>
      </c>
      <c r="O256" t="s">
        <v>119</v>
      </c>
      <c r="P256">
        <v>0</v>
      </c>
      <c r="Q256">
        <v>0</v>
      </c>
      <c r="R256" s="1">
        <v>42017</v>
      </c>
      <c r="S256" t="s">
        <v>75</v>
      </c>
      <c r="T256" t="s">
        <v>76</v>
      </c>
      <c r="U256" t="s">
        <v>48</v>
      </c>
      <c r="V256" t="s">
        <v>99</v>
      </c>
      <c r="W256" t="s">
        <v>50</v>
      </c>
      <c r="X256" t="s">
        <v>156</v>
      </c>
      <c r="Y256" t="s">
        <v>433</v>
      </c>
      <c r="Z256">
        <v>21</v>
      </c>
      <c r="AA256">
        <v>3</v>
      </c>
      <c r="AB256" t="s">
        <v>79</v>
      </c>
      <c r="AC256">
        <v>2</v>
      </c>
      <c r="AD256">
        <v>2</v>
      </c>
      <c r="AE256" t="s">
        <v>79</v>
      </c>
      <c r="AF256">
        <v>63250</v>
      </c>
      <c r="AG256">
        <v>5750</v>
      </c>
      <c r="AH256">
        <v>11500</v>
      </c>
      <c r="AI256">
        <v>46000</v>
      </c>
      <c r="AJ256" t="s">
        <v>89</v>
      </c>
      <c r="AK256" t="s">
        <v>90</v>
      </c>
      <c r="AL256">
        <v>2002</v>
      </c>
      <c r="AM256" t="s">
        <v>56</v>
      </c>
      <c r="AN256" s="2">
        <f t="shared" si="21"/>
        <v>36.929562333598021</v>
      </c>
      <c r="AO256">
        <f t="shared" si="22"/>
        <v>-61538.28</v>
      </c>
      <c r="AP256" s="2">
        <f t="shared" si="23"/>
        <v>2.70623389353528E-2</v>
      </c>
      <c r="AQ256" s="2">
        <f t="shared" si="27"/>
        <v>13</v>
      </c>
      <c r="AR256">
        <f t="shared" si="24"/>
        <v>20</v>
      </c>
      <c r="AS256" t="str">
        <f t="shared" si="25"/>
        <v>High Claim Ratio</v>
      </c>
      <c r="AT256" t="str">
        <f t="shared" si="26"/>
        <v>High Profit</v>
      </c>
    </row>
    <row r="257" spans="1:46" x14ac:dyDescent="0.2">
      <c r="A257">
        <v>461</v>
      </c>
      <c r="B257">
        <v>57</v>
      </c>
      <c r="C257">
        <v>737593</v>
      </c>
      <c r="D257" s="1">
        <v>35783</v>
      </c>
      <c r="E257" t="s">
        <v>83</v>
      </c>
      <c r="F257" t="s">
        <v>69</v>
      </c>
      <c r="G257">
        <v>500</v>
      </c>
      <c r="H257">
        <v>865.33</v>
      </c>
      <c r="I257">
        <v>7000000</v>
      </c>
      <c r="J257">
        <v>615220</v>
      </c>
      <c r="K257" t="s">
        <v>70</v>
      </c>
      <c r="L257" t="s">
        <v>131</v>
      </c>
      <c r="M257" t="s">
        <v>189</v>
      </c>
      <c r="N257" t="s">
        <v>112</v>
      </c>
      <c r="O257" t="s">
        <v>74</v>
      </c>
      <c r="P257">
        <v>0</v>
      </c>
      <c r="Q257">
        <v>0</v>
      </c>
      <c r="R257" s="1">
        <v>42018</v>
      </c>
      <c r="S257" t="s">
        <v>75</v>
      </c>
      <c r="T257" t="s">
        <v>47</v>
      </c>
      <c r="U257" t="s">
        <v>48</v>
      </c>
      <c r="V257" t="s">
        <v>136</v>
      </c>
      <c r="W257" t="s">
        <v>77</v>
      </c>
      <c r="X257" t="s">
        <v>122</v>
      </c>
      <c r="Y257" t="s">
        <v>434</v>
      </c>
      <c r="Z257">
        <v>7</v>
      </c>
      <c r="AA257">
        <v>3</v>
      </c>
      <c r="AB257" t="s">
        <v>79</v>
      </c>
      <c r="AC257">
        <v>0</v>
      </c>
      <c r="AD257">
        <v>1</v>
      </c>
      <c r="AE257" t="s">
        <v>62</v>
      </c>
      <c r="AF257">
        <v>59040</v>
      </c>
      <c r="AG257">
        <v>9840</v>
      </c>
      <c r="AH257">
        <v>9840</v>
      </c>
      <c r="AI257">
        <v>39360</v>
      </c>
      <c r="AJ257" t="s">
        <v>80</v>
      </c>
      <c r="AK257" t="s">
        <v>81</v>
      </c>
      <c r="AL257">
        <v>1995</v>
      </c>
      <c r="AM257" t="s">
        <v>82</v>
      </c>
      <c r="AN257" s="2">
        <f t="shared" si="21"/>
        <v>68.149550402271643</v>
      </c>
      <c r="AO257">
        <f t="shared" si="22"/>
        <v>-58174.67</v>
      </c>
      <c r="AP257" s="2">
        <f t="shared" si="23"/>
        <v>1.4656425196050203E-2</v>
      </c>
      <c r="AQ257" s="2">
        <f t="shared" si="27"/>
        <v>20</v>
      </c>
      <c r="AR257">
        <f t="shared" si="24"/>
        <v>461</v>
      </c>
      <c r="AS257" t="str">
        <f t="shared" si="25"/>
        <v>High Claim Ratio</v>
      </c>
      <c r="AT257" t="str">
        <f t="shared" si="26"/>
        <v>High Profit</v>
      </c>
    </row>
    <row r="258" spans="1:46" x14ac:dyDescent="0.2">
      <c r="A258">
        <v>208</v>
      </c>
      <c r="B258">
        <v>36</v>
      </c>
      <c r="C258">
        <v>812025</v>
      </c>
      <c r="D258" s="1">
        <v>36695</v>
      </c>
      <c r="E258" t="s">
        <v>83</v>
      </c>
      <c r="F258" t="s">
        <v>40</v>
      </c>
      <c r="G258">
        <v>500</v>
      </c>
      <c r="H258">
        <v>1153.49</v>
      </c>
      <c r="I258">
        <v>0</v>
      </c>
      <c r="J258">
        <v>432711</v>
      </c>
      <c r="K258" t="s">
        <v>41</v>
      </c>
      <c r="L258" t="s">
        <v>92</v>
      </c>
      <c r="M258" t="s">
        <v>43</v>
      </c>
      <c r="N258" t="s">
        <v>106</v>
      </c>
      <c r="O258" t="s">
        <v>60</v>
      </c>
      <c r="P258">
        <v>0</v>
      </c>
      <c r="Q258">
        <v>0</v>
      </c>
      <c r="R258" s="1">
        <v>42057</v>
      </c>
      <c r="S258" t="s">
        <v>75</v>
      </c>
      <c r="T258" t="s">
        <v>47</v>
      </c>
      <c r="U258" t="s">
        <v>107</v>
      </c>
      <c r="V258" t="s">
        <v>120</v>
      </c>
      <c r="W258" t="s">
        <v>50</v>
      </c>
      <c r="X258" t="s">
        <v>87</v>
      </c>
      <c r="Y258" t="s">
        <v>435</v>
      </c>
      <c r="Z258">
        <v>16</v>
      </c>
      <c r="AA258">
        <v>3</v>
      </c>
      <c r="AB258" t="s">
        <v>53</v>
      </c>
      <c r="AC258">
        <v>1</v>
      </c>
      <c r="AD258">
        <v>0</v>
      </c>
      <c r="AE258" t="s">
        <v>53</v>
      </c>
      <c r="AF258">
        <v>50500</v>
      </c>
      <c r="AG258">
        <v>10100</v>
      </c>
      <c r="AH258">
        <v>5050</v>
      </c>
      <c r="AI258">
        <v>35350</v>
      </c>
      <c r="AJ258" t="s">
        <v>95</v>
      </c>
      <c r="AK258" t="s">
        <v>158</v>
      </c>
      <c r="AL258">
        <v>2004</v>
      </c>
      <c r="AM258" t="s">
        <v>82</v>
      </c>
      <c r="AN258" s="2">
        <f t="shared" si="21"/>
        <v>43.74225848643124</v>
      </c>
      <c r="AO258">
        <f t="shared" si="22"/>
        <v>-49346.51</v>
      </c>
      <c r="AP258" s="2">
        <f t="shared" si="23"/>
        <v>2.28409338428942E-2</v>
      </c>
      <c r="AQ258" s="2">
        <f t="shared" si="27"/>
        <v>11</v>
      </c>
      <c r="AR258">
        <f t="shared" si="24"/>
        <v>208</v>
      </c>
      <c r="AS258" t="str">
        <f t="shared" si="25"/>
        <v>High Claim Ratio</v>
      </c>
      <c r="AT258" t="str">
        <f t="shared" si="26"/>
        <v>High Profit</v>
      </c>
    </row>
    <row r="259" spans="1:46" x14ac:dyDescent="0.2">
      <c r="A259">
        <v>279</v>
      </c>
      <c r="B259">
        <v>43</v>
      </c>
      <c r="C259">
        <v>168151</v>
      </c>
      <c r="D259" s="1">
        <v>34813</v>
      </c>
      <c r="E259" t="s">
        <v>39</v>
      </c>
      <c r="F259" t="s">
        <v>91</v>
      </c>
      <c r="G259">
        <v>2000</v>
      </c>
      <c r="H259">
        <v>1281.25</v>
      </c>
      <c r="I259">
        <v>0</v>
      </c>
      <c r="J259">
        <v>463583</v>
      </c>
      <c r="K259" t="s">
        <v>41</v>
      </c>
      <c r="L259" t="s">
        <v>92</v>
      </c>
      <c r="M259" t="s">
        <v>58</v>
      </c>
      <c r="N259" t="s">
        <v>242</v>
      </c>
      <c r="O259" t="s">
        <v>60</v>
      </c>
      <c r="P259">
        <v>0</v>
      </c>
      <c r="Q259">
        <v>0</v>
      </c>
      <c r="R259" s="1">
        <v>42021</v>
      </c>
      <c r="S259" t="s">
        <v>46</v>
      </c>
      <c r="T259" t="s">
        <v>47</v>
      </c>
      <c r="U259" t="s">
        <v>48</v>
      </c>
      <c r="V259" t="s">
        <v>49</v>
      </c>
      <c r="W259" t="s">
        <v>50</v>
      </c>
      <c r="X259" t="s">
        <v>51</v>
      </c>
      <c r="Y259" t="s">
        <v>436</v>
      </c>
      <c r="Z259">
        <v>13</v>
      </c>
      <c r="AA259">
        <v>1</v>
      </c>
      <c r="AB259" t="s">
        <v>53</v>
      </c>
      <c r="AC259">
        <v>0</v>
      </c>
      <c r="AD259">
        <v>1</v>
      </c>
      <c r="AE259" t="s">
        <v>79</v>
      </c>
      <c r="AF259">
        <v>57690</v>
      </c>
      <c r="AG259">
        <v>6410</v>
      </c>
      <c r="AH259">
        <v>12820</v>
      </c>
      <c r="AI259">
        <v>38460</v>
      </c>
      <c r="AJ259" t="s">
        <v>67</v>
      </c>
      <c r="AK259" t="s">
        <v>193</v>
      </c>
      <c r="AL259">
        <v>2010</v>
      </c>
      <c r="AM259" t="s">
        <v>56</v>
      </c>
      <c r="AN259" s="2">
        <f t="shared" ref="AN259:AN322" si="28">AF259/(H259+1)</f>
        <v>44.991226359914215</v>
      </c>
      <c r="AO259">
        <f t="shared" ref="AO259:AO322" si="29">H259-AF259</f>
        <v>-56408.75</v>
      </c>
      <c r="AP259" s="2">
        <f t="shared" ref="AP259:AP322" si="30">H259/(AF259+1)</f>
        <v>2.220883673363263E-2</v>
      </c>
      <c r="AQ259" s="2">
        <f t="shared" si="27"/>
        <v>5</v>
      </c>
      <c r="AR259">
        <f t="shared" ref="AR259:AR322" si="31">A259</f>
        <v>279</v>
      </c>
      <c r="AS259" t="str">
        <f t="shared" ref="AS259:AS322" si="32">IF(AN259&lt;5,"Low Claim Ratio",
 IF(AN259&lt;20,"Medium Claim Ratio",
 "High Claim Ratio"))</f>
        <v>High Claim Ratio</v>
      </c>
      <c r="AT259" t="str">
        <f t="shared" ref="AT259:AT322" si="33">IF(-AO259&lt;0,"Loss Making",
 IF(-AO259&lt;5000,"Low Profit",
 "High Profit"))</f>
        <v>High Profit</v>
      </c>
    </row>
    <row r="260" spans="1:46" x14ac:dyDescent="0.2">
      <c r="A260">
        <v>244</v>
      </c>
      <c r="B260">
        <v>40</v>
      </c>
      <c r="C260">
        <v>594739</v>
      </c>
      <c r="D260" s="1">
        <v>38884</v>
      </c>
      <c r="E260" t="s">
        <v>83</v>
      </c>
      <c r="F260" t="s">
        <v>69</v>
      </c>
      <c r="G260">
        <v>500</v>
      </c>
      <c r="H260">
        <v>1342.8</v>
      </c>
      <c r="I260">
        <v>0</v>
      </c>
      <c r="J260">
        <v>439502</v>
      </c>
      <c r="K260" t="s">
        <v>70</v>
      </c>
      <c r="L260" t="s">
        <v>42</v>
      </c>
      <c r="M260" t="s">
        <v>72</v>
      </c>
      <c r="N260" t="s">
        <v>106</v>
      </c>
      <c r="O260" t="s">
        <v>45</v>
      </c>
      <c r="P260">
        <v>0</v>
      </c>
      <c r="Q260">
        <v>0</v>
      </c>
      <c r="R260" s="1">
        <v>42037</v>
      </c>
      <c r="S260" t="s">
        <v>61</v>
      </c>
      <c r="T260" t="s">
        <v>62</v>
      </c>
      <c r="U260" t="s">
        <v>212</v>
      </c>
      <c r="V260" t="s">
        <v>49</v>
      </c>
      <c r="W260" t="s">
        <v>77</v>
      </c>
      <c r="X260" t="s">
        <v>102</v>
      </c>
      <c r="Y260" t="s">
        <v>437</v>
      </c>
      <c r="Z260">
        <v>2</v>
      </c>
      <c r="AA260">
        <v>1</v>
      </c>
      <c r="AB260" t="s">
        <v>53</v>
      </c>
      <c r="AC260">
        <v>1</v>
      </c>
      <c r="AD260">
        <v>3</v>
      </c>
      <c r="AE260" t="s">
        <v>53</v>
      </c>
      <c r="AF260">
        <v>5940</v>
      </c>
      <c r="AG260">
        <v>660</v>
      </c>
      <c r="AH260">
        <v>660</v>
      </c>
      <c r="AI260">
        <v>4620</v>
      </c>
      <c r="AJ260" t="s">
        <v>115</v>
      </c>
      <c r="AK260" t="s">
        <v>116</v>
      </c>
      <c r="AL260">
        <v>2014</v>
      </c>
      <c r="AM260" t="s">
        <v>82</v>
      </c>
      <c r="AN260" s="2">
        <f t="shared" si="28"/>
        <v>4.4203006399761868</v>
      </c>
      <c r="AO260">
        <f t="shared" si="29"/>
        <v>-4597.2</v>
      </c>
      <c r="AP260" s="2">
        <f t="shared" si="30"/>
        <v>0.22602255512539976</v>
      </c>
      <c r="AQ260" s="2">
        <f t="shared" ref="AQ260:AQ323" si="34">YEAR(R260)-(AL260)</f>
        <v>1</v>
      </c>
      <c r="AR260">
        <f t="shared" si="31"/>
        <v>244</v>
      </c>
      <c r="AS260" t="str">
        <f t="shared" si="32"/>
        <v>Low Claim Ratio</v>
      </c>
      <c r="AT260" t="str">
        <f t="shared" si="33"/>
        <v>Low Profit</v>
      </c>
    </row>
    <row r="261" spans="1:46" x14ac:dyDescent="0.2">
      <c r="A261">
        <v>134</v>
      </c>
      <c r="B261">
        <v>30</v>
      </c>
      <c r="C261">
        <v>843227</v>
      </c>
      <c r="D261" s="1">
        <v>39353</v>
      </c>
      <c r="E261" t="s">
        <v>39</v>
      </c>
      <c r="F261" t="s">
        <v>40</v>
      </c>
      <c r="G261">
        <v>2000</v>
      </c>
      <c r="H261">
        <v>1443.32</v>
      </c>
      <c r="I261">
        <v>0</v>
      </c>
      <c r="J261">
        <v>613287</v>
      </c>
      <c r="K261" t="s">
        <v>70</v>
      </c>
      <c r="L261" t="s">
        <v>71</v>
      </c>
      <c r="M261" t="s">
        <v>125</v>
      </c>
      <c r="N261" t="s">
        <v>126</v>
      </c>
      <c r="O261" t="s">
        <v>85</v>
      </c>
      <c r="P261">
        <v>0</v>
      </c>
      <c r="Q261">
        <v>0</v>
      </c>
      <c r="R261" s="1">
        <v>42011</v>
      </c>
      <c r="S261" t="s">
        <v>75</v>
      </c>
      <c r="T261" t="s">
        <v>76</v>
      </c>
      <c r="U261" t="s">
        <v>48</v>
      </c>
      <c r="V261" t="s">
        <v>99</v>
      </c>
      <c r="W261" t="s">
        <v>50</v>
      </c>
      <c r="X261" t="s">
        <v>127</v>
      </c>
      <c r="Y261" t="s">
        <v>438</v>
      </c>
      <c r="Z261">
        <v>19</v>
      </c>
      <c r="AA261">
        <v>3</v>
      </c>
      <c r="AB261" t="s">
        <v>62</v>
      </c>
      <c r="AC261">
        <v>0</v>
      </c>
      <c r="AD261">
        <v>2</v>
      </c>
      <c r="AE261" t="s">
        <v>53</v>
      </c>
      <c r="AF261">
        <v>47790</v>
      </c>
      <c r="AG261">
        <v>5310</v>
      </c>
      <c r="AH261">
        <v>5310</v>
      </c>
      <c r="AI261">
        <v>37170</v>
      </c>
      <c r="AJ261" t="s">
        <v>153</v>
      </c>
      <c r="AK261" t="s">
        <v>163</v>
      </c>
      <c r="AL261">
        <v>1995</v>
      </c>
      <c r="AM261" t="s">
        <v>56</v>
      </c>
      <c r="AN261" s="2">
        <f t="shared" si="28"/>
        <v>33.088235294117645</v>
      </c>
      <c r="AO261">
        <f t="shared" si="29"/>
        <v>-46346.68</v>
      </c>
      <c r="AP261" s="2">
        <f t="shared" si="30"/>
        <v>3.0200665397250526E-2</v>
      </c>
      <c r="AQ261" s="2">
        <f t="shared" si="34"/>
        <v>20</v>
      </c>
      <c r="AR261">
        <f t="shared" si="31"/>
        <v>134</v>
      </c>
      <c r="AS261" t="str">
        <f t="shared" si="32"/>
        <v>High Claim Ratio</v>
      </c>
      <c r="AT261" t="str">
        <f t="shared" si="33"/>
        <v>High Profit</v>
      </c>
    </row>
    <row r="262" spans="1:46" x14ac:dyDescent="0.2">
      <c r="A262">
        <v>122</v>
      </c>
      <c r="B262">
        <v>29</v>
      </c>
      <c r="C262">
        <v>283925</v>
      </c>
      <c r="D262" s="1">
        <v>33563</v>
      </c>
      <c r="E262" t="s">
        <v>39</v>
      </c>
      <c r="F262" t="s">
        <v>40</v>
      </c>
      <c r="G262">
        <v>1000</v>
      </c>
      <c r="H262">
        <v>1629.94</v>
      </c>
      <c r="I262">
        <v>0</v>
      </c>
      <c r="J262">
        <v>620104</v>
      </c>
      <c r="K262" t="s">
        <v>70</v>
      </c>
      <c r="L262" t="s">
        <v>124</v>
      </c>
      <c r="M262" t="s">
        <v>117</v>
      </c>
      <c r="N262" t="s">
        <v>132</v>
      </c>
      <c r="O262" t="s">
        <v>60</v>
      </c>
      <c r="P262">
        <v>0</v>
      </c>
      <c r="Q262">
        <v>-47100</v>
      </c>
      <c r="R262" s="1">
        <v>42037</v>
      </c>
      <c r="S262" t="s">
        <v>138</v>
      </c>
      <c r="T262" t="s">
        <v>62</v>
      </c>
      <c r="U262" t="s">
        <v>212</v>
      </c>
      <c r="V262" t="s">
        <v>93</v>
      </c>
      <c r="W262" t="s">
        <v>50</v>
      </c>
      <c r="X262" t="s">
        <v>65</v>
      </c>
      <c r="Y262" t="s">
        <v>439</v>
      </c>
      <c r="Z262">
        <v>17</v>
      </c>
      <c r="AA262">
        <v>1</v>
      </c>
      <c r="AB262" t="s">
        <v>62</v>
      </c>
      <c r="AC262">
        <v>0</v>
      </c>
      <c r="AD262">
        <v>1</v>
      </c>
      <c r="AE262" t="s">
        <v>79</v>
      </c>
      <c r="AF262">
        <v>3850</v>
      </c>
      <c r="AG262">
        <v>350</v>
      </c>
      <c r="AH262">
        <v>350</v>
      </c>
      <c r="AI262">
        <v>3150</v>
      </c>
      <c r="AJ262" t="s">
        <v>80</v>
      </c>
      <c r="AK262" t="s">
        <v>144</v>
      </c>
      <c r="AL262">
        <v>2014</v>
      </c>
      <c r="AM262" t="s">
        <v>82</v>
      </c>
      <c r="AN262" s="2">
        <f t="shared" si="28"/>
        <v>2.3606018615031821</v>
      </c>
      <c r="AO262">
        <f t="shared" si="29"/>
        <v>-2220.06</v>
      </c>
      <c r="AP262" s="2">
        <f t="shared" si="30"/>
        <v>0.42325110360945212</v>
      </c>
      <c r="AQ262" s="2">
        <f t="shared" si="34"/>
        <v>1</v>
      </c>
      <c r="AR262">
        <f t="shared" si="31"/>
        <v>122</v>
      </c>
      <c r="AS262" t="str">
        <f t="shared" si="32"/>
        <v>Low Claim Ratio</v>
      </c>
      <c r="AT262" t="str">
        <f t="shared" si="33"/>
        <v>Low Profit</v>
      </c>
    </row>
    <row r="263" spans="1:46" x14ac:dyDescent="0.2">
      <c r="A263">
        <v>156</v>
      </c>
      <c r="B263">
        <v>31</v>
      </c>
      <c r="C263">
        <v>475588</v>
      </c>
      <c r="D263" s="1">
        <v>35329</v>
      </c>
      <c r="E263" t="s">
        <v>83</v>
      </c>
      <c r="F263" t="s">
        <v>69</v>
      </c>
      <c r="G263">
        <v>2000</v>
      </c>
      <c r="H263">
        <v>1134.08</v>
      </c>
      <c r="I263">
        <v>0</v>
      </c>
      <c r="J263">
        <v>446895</v>
      </c>
      <c r="K263" t="s">
        <v>41</v>
      </c>
      <c r="L263" t="s">
        <v>71</v>
      </c>
      <c r="M263" t="s">
        <v>111</v>
      </c>
      <c r="N263" t="s">
        <v>59</v>
      </c>
      <c r="O263" t="s">
        <v>45</v>
      </c>
      <c r="P263">
        <v>0</v>
      </c>
      <c r="Q263">
        <v>0</v>
      </c>
      <c r="R263" s="1">
        <v>42042</v>
      </c>
      <c r="S263" t="s">
        <v>46</v>
      </c>
      <c r="T263" t="s">
        <v>86</v>
      </c>
      <c r="U263" t="s">
        <v>48</v>
      </c>
      <c r="V263" t="s">
        <v>49</v>
      </c>
      <c r="W263" t="s">
        <v>121</v>
      </c>
      <c r="X263" t="s">
        <v>87</v>
      </c>
      <c r="Y263" t="s">
        <v>440</v>
      </c>
      <c r="Z263">
        <v>3</v>
      </c>
      <c r="AA263">
        <v>1</v>
      </c>
      <c r="AB263" t="s">
        <v>62</v>
      </c>
      <c r="AC263">
        <v>2</v>
      </c>
      <c r="AD263">
        <v>0</v>
      </c>
      <c r="AE263" t="s">
        <v>62</v>
      </c>
      <c r="AF263">
        <v>59000</v>
      </c>
      <c r="AG263">
        <v>5900</v>
      </c>
      <c r="AH263">
        <v>5900</v>
      </c>
      <c r="AI263">
        <v>47200</v>
      </c>
      <c r="AJ263" t="s">
        <v>129</v>
      </c>
      <c r="AK263" t="s">
        <v>249</v>
      </c>
      <c r="AL263">
        <v>2013</v>
      </c>
      <c r="AM263" t="s">
        <v>56</v>
      </c>
      <c r="AN263" s="2">
        <f t="shared" si="28"/>
        <v>51.978715156640945</v>
      </c>
      <c r="AO263">
        <f t="shared" si="29"/>
        <v>-57865.919999999998</v>
      </c>
      <c r="AP263" s="2">
        <f t="shared" si="30"/>
        <v>1.922136912933679E-2</v>
      </c>
      <c r="AQ263" s="2">
        <f t="shared" si="34"/>
        <v>2</v>
      </c>
      <c r="AR263">
        <f t="shared" si="31"/>
        <v>156</v>
      </c>
      <c r="AS263" t="str">
        <f t="shared" si="32"/>
        <v>High Claim Ratio</v>
      </c>
      <c r="AT263" t="str">
        <f t="shared" si="33"/>
        <v>High Profit</v>
      </c>
    </row>
    <row r="264" spans="1:46" x14ac:dyDescent="0.2">
      <c r="A264">
        <v>232</v>
      </c>
      <c r="B264">
        <v>43</v>
      </c>
      <c r="C264">
        <v>751905</v>
      </c>
      <c r="D264" s="1">
        <v>37027</v>
      </c>
      <c r="E264" t="s">
        <v>39</v>
      </c>
      <c r="F264" t="s">
        <v>40</v>
      </c>
      <c r="G264">
        <v>500</v>
      </c>
      <c r="H264">
        <v>1483.91</v>
      </c>
      <c r="I264">
        <v>8000000</v>
      </c>
      <c r="J264">
        <v>431531</v>
      </c>
      <c r="K264" t="s">
        <v>41</v>
      </c>
      <c r="L264" t="s">
        <v>141</v>
      </c>
      <c r="M264" t="s">
        <v>58</v>
      </c>
      <c r="N264" t="s">
        <v>112</v>
      </c>
      <c r="O264" t="s">
        <v>45</v>
      </c>
      <c r="P264">
        <v>0</v>
      </c>
      <c r="Q264">
        <v>-33600</v>
      </c>
      <c r="R264" s="1">
        <v>42022</v>
      </c>
      <c r="S264" t="s">
        <v>75</v>
      </c>
      <c r="T264" t="s">
        <v>76</v>
      </c>
      <c r="U264" t="s">
        <v>48</v>
      </c>
      <c r="V264" t="s">
        <v>136</v>
      </c>
      <c r="W264" t="s">
        <v>77</v>
      </c>
      <c r="X264" t="s">
        <v>87</v>
      </c>
      <c r="Y264" t="s">
        <v>441</v>
      </c>
      <c r="Z264">
        <v>17</v>
      </c>
      <c r="AA264">
        <v>3</v>
      </c>
      <c r="AB264" t="s">
        <v>79</v>
      </c>
      <c r="AC264">
        <v>0</v>
      </c>
      <c r="AD264">
        <v>1</v>
      </c>
      <c r="AE264" t="s">
        <v>62</v>
      </c>
      <c r="AF264">
        <v>70600</v>
      </c>
      <c r="AG264">
        <v>7060</v>
      </c>
      <c r="AH264">
        <v>14120</v>
      </c>
      <c r="AI264">
        <v>49420</v>
      </c>
      <c r="AJ264" t="s">
        <v>214</v>
      </c>
      <c r="AK264" t="s">
        <v>215</v>
      </c>
      <c r="AL264">
        <v>2013</v>
      </c>
      <c r="AM264" t="s">
        <v>56</v>
      </c>
      <c r="AN264" s="2">
        <f t="shared" si="28"/>
        <v>47.544969055363623</v>
      </c>
      <c r="AO264">
        <f t="shared" si="29"/>
        <v>-69116.09</v>
      </c>
      <c r="AP264" s="2">
        <f t="shared" si="30"/>
        <v>2.1018257531763007E-2</v>
      </c>
      <c r="AQ264" s="2">
        <f t="shared" si="34"/>
        <v>2</v>
      </c>
      <c r="AR264">
        <f t="shared" si="31"/>
        <v>232</v>
      </c>
      <c r="AS264" t="str">
        <f t="shared" si="32"/>
        <v>High Claim Ratio</v>
      </c>
      <c r="AT264" t="str">
        <f t="shared" si="33"/>
        <v>High Profit</v>
      </c>
    </row>
    <row r="265" spans="1:46" x14ac:dyDescent="0.2">
      <c r="A265">
        <v>244</v>
      </c>
      <c r="B265">
        <v>40</v>
      </c>
      <c r="C265">
        <v>226725</v>
      </c>
      <c r="D265" s="1">
        <v>36383</v>
      </c>
      <c r="E265" t="s">
        <v>57</v>
      </c>
      <c r="F265" t="s">
        <v>91</v>
      </c>
      <c r="G265">
        <v>2000</v>
      </c>
      <c r="H265">
        <v>1304.67</v>
      </c>
      <c r="I265">
        <v>7000000</v>
      </c>
      <c r="J265">
        <v>605408</v>
      </c>
      <c r="K265" t="s">
        <v>41</v>
      </c>
      <c r="L265" t="s">
        <v>124</v>
      </c>
      <c r="M265" t="s">
        <v>84</v>
      </c>
      <c r="N265" t="s">
        <v>106</v>
      </c>
      <c r="O265" t="s">
        <v>60</v>
      </c>
      <c r="P265">
        <v>0</v>
      </c>
      <c r="Q265">
        <v>-45000</v>
      </c>
      <c r="R265" s="1">
        <v>42014</v>
      </c>
      <c r="S265" t="s">
        <v>75</v>
      </c>
      <c r="T265" t="s">
        <v>47</v>
      </c>
      <c r="U265" t="s">
        <v>63</v>
      </c>
      <c r="V265" t="s">
        <v>49</v>
      </c>
      <c r="W265" t="s">
        <v>50</v>
      </c>
      <c r="X265" t="s">
        <v>122</v>
      </c>
      <c r="Y265" t="s">
        <v>442</v>
      </c>
      <c r="Z265">
        <v>5</v>
      </c>
      <c r="AA265">
        <v>3</v>
      </c>
      <c r="AB265" t="s">
        <v>62</v>
      </c>
      <c r="AC265">
        <v>1</v>
      </c>
      <c r="AD265">
        <v>1</v>
      </c>
      <c r="AE265" t="s">
        <v>62</v>
      </c>
      <c r="AF265">
        <v>61490</v>
      </c>
      <c r="AG265">
        <v>5590</v>
      </c>
      <c r="AH265">
        <v>11180</v>
      </c>
      <c r="AI265">
        <v>44720</v>
      </c>
      <c r="AJ265" t="s">
        <v>80</v>
      </c>
      <c r="AK265" t="s">
        <v>81</v>
      </c>
      <c r="AL265">
        <v>2001</v>
      </c>
      <c r="AM265" t="s">
        <v>82</v>
      </c>
      <c r="AN265" s="2">
        <f t="shared" si="28"/>
        <v>47.094595112088044</v>
      </c>
      <c r="AO265">
        <f t="shared" si="29"/>
        <v>-60185.33</v>
      </c>
      <c r="AP265" s="2">
        <f t="shared" si="30"/>
        <v>2.1217251305069035E-2</v>
      </c>
      <c r="AQ265" s="2">
        <f t="shared" si="34"/>
        <v>14</v>
      </c>
      <c r="AR265">
        <f t="shared" si="31"/>
        <v>244</v>
      </c>
      <c r="AS265" t="str">
        <f t="shared" si="32"/>
        <v>High Claim Ratio</v>
      </c>
      <c r="AT265" t="str">
        <f t="shared" si="33"/>
        <v>High Profit</v>
      </c>
    </row>
    <row r="266" spans="1:46" x14ac:dyDescent="0.2">
      <c r="A266">
        <v>84</v>
      </c>
      <c r="B266">
        <v>30</v>
      </c>
      <c r="C266">
        <v>942504</v>
      </c>
      <c r="D266" s="1">
        <v>37788</v>
      </c>
      <c r="E266" t="s">
        <v>83</v>
      </c>
      <c r="F266" t="s">
        <v>91</v>
      </c>
      <c r="G266">
        <v>2000</v>
      </c>
      <c r="H266">
        <v>1035.79</v>
      </c>
      <c r="I266">
        <v>0</v>
      </c>
      <c r="J266">
        <v>457551</v>
      </c>
      <c r="K266" t="s">
        <v>70</v>
      </c>
      <c r="L266" t="s">
        <v>42</v>
      </c>
      <c r="M266" t="s">
        <v>135</v>
      </c>
      <c r="N266" t="s">
        <v>170</v>
      </c>
      <c r="O266" t="s">
        <v>119</v>
      </c>
      <c r="P266">
        <v>44400</v>
      </c>
      <c r="Q266">
        <v>-51500</v>
      </c>
      <c r="R266" s="1">
        <v>42034</v>
      </c>
      <c r="S266" t="s">
        <v>46</v>
      </c>
      <c r="T266" t="s">
        <v>47</v>
      </c>
      <c r="U266" t="s">
        <v>63</v>
      </c>
      <c r="V266" t="s">
        <v>49</v>
      </c>
      <c r="W266" t="s">
        <v>50</v>
      </c>
      <c r="X266" t="s">
        <v>127</v>
      </c>
      <c r="Y266" t="s">
        <v>443</v>
      </c>
      <c r="Z266">
        <v>9</v>
      </c>
      <c r="AA266">
        <v>1</v>
      </c>
      <c r="AB266" t="s">
        <v>79</v>
      </c>
      <c r="AC266">
        <v>1</v>
      </c>
      <c r="AD266">
        <v>0</v>
      </c>
      <c r="AE266" t="s">
        <v>53</v>
      </c>
      <c r="AF266">
        <v>57640</v>
      </c>
      <c r="AG266">
        <v>5240</v>
      </c>
      <c r="AH266">
        <v>10480</v>
      </c>
      <c r="AI266">
        <v>41920</v>
      </c>
      <c r="AJ266" t="s">
        <v>214</v>
      </c>
      <c r="AK266" t="s">
        <v>215</v>
      </c>
      <c r="AL266">
        <v>2010</v>
      </c>
      <c r="AM266" t="s">
        <v>82</v>
      </c>
      <c r="AN266" s="2">
        <f t="shared" si="28"/>
        <v>55.594672016512504</v>
      </c>
      <c r="AO266">
        <f t="shared" si="29"/>
        <v>-56604.21</v>
      </c>
      <c r="AP266" s="2">
        <f t="shared" si="30"/>
        <v>1.7969674363734148E-2</v>
      </c>
      <c r="AQ266" s="2">
        <f t="shared" si="34"/>
        <v>5</v>
      </c>
      <c r="AR266">
        <f t="shared" si="31"/>
        <v>84</v>
      </c>
      <c r="AS266" t="str">
        <f t="shared" si="32"/>
        <v>High Claim Ratio</v>
      </c>
      <c r="AT266" t="str">
        <f t="shared" si="33"/>
        <v>High Profit</v>
      </c>
    </row>
    <row r="267" spans="1:46" x14ac:dyDescent="0.2">
      <c r="A267">
        <v>394</v>
      </c>
      <c r="B267">
        <v>57</v>
      </c>
      <c r="C267">
        <v>395572</v>
      </c>
      <c r="D267" s="1">
        <v>36249</v>
      </c>
      <c r="E267" t="s">
        <v>83</v>
      </c>
      <c r="F267" t="s">
        <v>40</v>
      </c>
      <c r="G267">
        <v>500</v>
      </c>
      <c r="H267">
        <v>1401.2</v>
      </c>
      <c r="I267">
        <v>0</v>
      </c>
      <c r="J267">
        <v>619892</v>
      </c>
      <c r="K267" t="s">
        <v>70</v>
      </c>
      <c r="L267" t="s">
        <v>131</v>
      </c>
      <c r="M267" t="s">
        <v>43</v>
      </c>
      <c r="N267" t="s">
        <v>146</v>
      </c>
      <c r="O267" t="s">
        <v>74</v>
      </c>
      <c r="P267">
        <v>51500</v>
      </c>
      <c r="Q267">
        <v>0</v>
      </c>
      <c r="R267" s="1">
        <v>42029</v>
      </c>
      <c r="S267" t="s">
        <v>61</v>
      </c>
      <c r="T267" t="s">
        <v>62</v>
      </c>
      <c r="U267" t="s">
        <v>212</v>
      </c>
      <c r="V267" t="s">
        <v>49</v>
      </c>
      <c r="W267" t="s">
        <v>121</v>
      </c>
      <c r="X267" t="s">
        <v>122</v>
      </c>
      <c r="Y267" t="s">
        <v>444</v>
      </c>
      <c r="Z267">
        <v>9</v>
      </c>
      <c r="AA267">
        <v>1</v>
      </c>
      <c r="AB267" t="s">
        <v>79</v>
      </c>
      <c r="AC267">
        <v>1</v>
      </c>
      <c r="AD267">
        <v>0</v>
      </c>
      <c r="AE267" t="s">
        <v>79</v>
      </c>
      <c r="AF267">
        <v>6890</v>
      </c>
      <c r="AG267">
        <v>1060</v>
      </c>
      <c r="AH267">
        <v>1060</v>
      </c>
      <c r="AI267">
        <v>4770</v>
      </c>
      <c r="AJ267" t="s">
        <v>109</v>
      </c>
      <c r="AK267" t="s">
        <v>110</v>
      </c>
      <c r="AL267">
        <v>1999</v>
      </c>
      <c r="AM267" t="s">
        <v>82</v>
      </c>
      <c r="AN267" s="2">
        <f t="shared" si="28"/>
        <v>4.9137070318071601</v>
      </c>
      <c r="AO267">
        <f t="shared" si="29"/>
        <v>-5488.8</v>
      </c>
      <c r="AP267" s="2">
        <f t="shared" si="30"/>
        <v>0.20333768683790451</v>
      </c>
      <c r="AQ267" s="2">
        <f t="shared" si="34"/>
        <v>16</v>
      </c>
      <c r="AR267">
        <f t="shared" si="31"/>
        <v>394</v>
      </c>
      <c r="AS267" t="str">
        <f t="shared" si="32"/>
        <v>Low Claim Ratio</v>
      </c>
      <c r="AT267" t="str">
        <f t="shared" si="33"/>
        <v>High Profit</v>
      </c>
    </row>
    <row r="268" spans="1:46" x14ac:dyDescent="0.2">
      <c r="A268">
        <v>246</v>
      </c>
      <c r="B268">
        <v>45</v>
      </c>
      <c r="C268">
        <v>889883</v>
      </c>
      <c r="D268" s="1">
        <v>36194</v>
      </c>
      <c r="E268" t="s">
        <v>83</v>
      </c>
      <c r="F268" t="s">
        <v>40</v>
      </c>
      <c r="G268">
        <v>1000</v>
      </c>
      <c r="H268">
        <v>1665.45</v>
      </c>
      <c r="I268">
        <v>0</v>
      </c>
      <c r="J268">
        <v>445853</v>
      </c>
      <c r="K268" t="s">
        <v>41</v>
      </c>
      <c r="L268" t="s">
        <v>161</v>
      </c>
      <c r="M268" t="s">
        <v>58</v>
      </c>
      <c r="N268" t="s">
        <v>149</v>
      </c>
      <c r="O268" t="s">
        <v>119</v>
      </c>
      <c r="P268">
        <v>34400</v>
      </c>
      <c r="Q268">
        <v>-33100</v>
      </c>
      <c r="R268" s="1">
        <v>42033</v>
      </c>
      <c r="S268" t="s">
        <v>75</v>
      </c>
      <c r="T268" t="s">
        <v>47</v>
      </c>
      <c r="U268" t="s">
        <v>48</v>
      </c>
      <c r="V268" t="s">
        <v>99</v>
      </c>
      <c r="W268" t="s">
        <v>175</v>
      </c>
      <c r="X268" t="s">
        <v>51</v>
      </c>
      <c r="Y268" t="s">
        <v>445</v>
      </c>
      <c r="Z268">
        <v>9</v>
      </c>
      <c r="AA268">
        <v>3</v>
      </c>
      <c r="AB268" t="s">
        <v>62</v>
      </c>
      <c r="AC268">
        <v>2</v>
      </c>
      <c r="AD268">
        <v>2</v>
      </c>
      <c r="AE268" t="s">
        <v>62</v>
      </c>
      <c r="AF268">
        <v>53280</v>
      </c>
      <c r="AG268">
        <v>11840</v>
      </c>
      <c r="AH268">
        <v>5920</v>
      </c>
      <c r="AI268">
        <v>35520</v>
      </c>
      <c r="AJ268" t="s">
        <v>115</v>
      </c>
      <c r="AK268" t="s">
        <v>116</v>
      </c>
      <c r="AL268">
        <v>2006</v>
      </c>
      <c r="AM268" t="s">
        <v>56</v>
      </c>
      <c r="AN268" s="2">
        <f t="shared" si="28"/>
        <v>31.972156380329441</v>
      </c>
      <c r="AO268">
        <f t="shared" si="29"/>
        <v>-51614.55</v>
      </c>
      <c r="AP268" s="2">
        <f t="shared" si="30"/>
        <v>3.1257859274413019E-2</v>
      </c>
      <c r="AQ268" s="2">
        <f t="shared" si="34"/>
        <v>9</v>
      </c>
      <c r="AR268">
        <f t="shared" si="31"/>
        <v>246</v>
      </c>
      <c r="AS268" t="str">
        <f t="shared" si="32"/>
        <v>High Claim Ratio</v>
      </c>
      <c r="AT268" t="str">
        <f t="shared" si="33"/>
        <v>High Profit</v>
      </c>
    </row>
    <row r="269" spans="1:46" x14ac:dyDescent="0.2">
      <c r="A269">
        <v>35</v>
      </c>
      <c r="B269">
        <v>29</v>
      </c>
      <c r="C269">
        <v>818167</v>
      </c>
      <c r="D269" s="1">
        <v>40780</v>
      </c>
      <c r="E269" t="s">
        <v>57</v>
      </c>
      <c r="F269" t="s">
        <v>91</v>
      </c>
      <c r="G269">
        <v>2000</v>
      </c>
      <c r="H269">
        <v>653.66</v>
      </c>
      <c r="I269">
        <v>0</v>
      </c>
      <c r="J269">
        <v>475483</v>
      </c>
      <c r="K269" t="s">
        <v>70</v>
      </c>
      <c r="L269" t="s">
        <v>161</v>
      </c>
      <c r="M269" t="s">
        <v>159</v>
      </c>
      <c r="N269" t="s">
        <v>181</v>
      </c>
      <c r="O269" t="s">
        <v>85</v>
      </c>
      <c r="P269">
        <v>52100</v>
      </c>
      <c r="Q269">
        <v>-46900</v>
      </c>
      <c r="R269" s="1">
        <v>42059</v>
      </c>
      <c r="S269" t="s">
        <v>75</v>
      </c>
      <c r="T269" t="s">
        <v>76</v>
      </c>
      <c r="U269" t="s">
        <v>63</v>
      </c>
      <c r="V269" t="s">
        <v>99</v>
      </c>
      <c r="W269" t="s">
        <v>50</v>
      </c>
      <c r="X269" t="s">
        <v>102</v>
      </c>
      <c r="Y269" t="s">
        <v>446</v>
      </c>
      <c r="Z269">
        <v>22</v>
      </c>
      <c r="AA269">
        <v>3</v>
      </c>
      <c r="AB269" t="s">
        <v>79</v>
      </c>
      <c r="AC269">
        <v>0</v>
      </c>
      <c r="AD269">
        <v>0</v>
      </c>
      <c r="AE269" t="s">
        <v>62</v>
      </c>
      <c r="AF269">
        <v>78300</v>
      </c>
      <c r="AG269">
        <v>15660</v>
      </c>
      <c r="AH269">
        <v>7830</v>
      </c>
      <c r="AI269">
        <v>54810</v>
      </c>
      <c r="AJ269" t="s">
        <v>187</v>
      </c>
      <c r="AK269" t="s">
        <v>203</v>
      </c>
      <c r="AL269">
        <v>2009</v>
      </c>
      <c r="AM269" t="s">
        <v>82</v>
      </c>
      <c r="AN269" s="2">
        <f t="shared" si="28"/>
        <v>119.60406928787462</v>
      </c>
      <c r="AO269">
        <f t="shared" si="29"/>
        <v>-77646.34</v>
      </c>
      <c r="AP269" s="2">
        <f t="shared" si="30"/>
        <v>8.348041532036627E-3</v>
      </c>
      <c r="AQ269" s="2">
        <f t="shared" si="34"/>
        <v>6</v>
      </c>
      <c r="AR269">
        <f t="shared" si="31"/>
        <v>35</v>
      </c>
      <c r="AS269" t="str">
        <f t="shared" si="32"/>
        <v>High Claim Ratio</v>
      </c>
      <c r="AT269" t="str">
        <f t="shared" si="33"/>
        <v>High Profit</v>
      </c>
    </row>
    <row r="270" spans="1:46" x14ac:dyDescent="0.2">
      <c r="A270">
        <v>156</v>
      </c>
      <c r="B270">
        <v>37</v>
      </c>
      <c r="C270">
        <v>277767</v>
      </c>
      <c r="D270" s="1">
        <v>40357</v>
      </c>
      <c r="E270" t="s">
        <v>39</v>
      </c>
      <c r="F270" t="s">
        <v>69</v>
      </c>
      <c r="G270">
        <v>500</v>
      </c>
      <c r="H270">
        <v>1080.1300000000001</v>
      </c>
      <c r="I270">
        <v>0</v>
      </c>
      <c r="J270">
        <v>606290</v>
      </c>
      <c r="K270" t="s">
        <v>41</v>
      </c>
      <c r="L270" t="s">
        <v>92</v>
      </c>
      <c r="M270" t="s">
        <v>135</v>
      </c>
      <c r="N270" t="s">
        <v>59</v>
      </c>
      <c r="O270" t="s">
        <v>60</v>
      </c>
      <c r="P270">
        <v>0</v>
      </c>
      <c r="Q270">
        <v>-61000</v>
      </c>
      <c r="R270" s="1">
        <v>42008</v>
      </c>
      <c r="S270" t="s">
        <v>75</v>
      </c>
      <c r="T270" t="s">
        <v>76</v>
      </c>
      <c r="U270" t="s">
        <v>48</v>
      </c>
      <c r="V270" t="s">
        <v>136</v>
      </c>
      <c r="W270" t="s">
        <v>175</v>
      </c>
      <c r="X270" t="s">
        <v>102</v>
      </c>
      <c r="Y270" t="s">
        <v>447</v>
      </c>
      <c r="Z270">
        <v>15</v>
      </c>
      <c r="AA270">
        <v>3</v>
      </c>
      <c r="AB270" t="s">
        <v>53</v>
      </c>
      <c r="AC270">
        <v>0</v>
      </c>
      <c r="AD270">
        <v>3</v>
      </c>
      <c r="AE270" t="s">
        <v>79</v>
      </c>
      <c r="AF270">
        <v>41490</v>
      </c>
      <c r="AG270">
        <v>4610</v>
      </c>
      <c r="AH270">
        <v>4610</v>
      </c>
      <c r="AI270">
        <v>32270</v>
      </c>
      <c r="AJ270" t="s">
        <v>104</v>
      </c>
      <c r="AK270" t="s">
        <v>105</v>
      </c>
      <c r="AL270">
        <v>2001</v>
      </c>
      <c r="AM270" t="s">
        <v>82</v>
      </c>
      <c r="AN270" s="2">
        <f t="shared" si="28"/>
        <v>38.376513462765807</v>
      </c>
      <c r="AO270">
        <f t="shared" si="29"/>
        <v>-40409.870000000003</v>
      </c>
      <c r="AP270" s="2">
        <f t="shared" si="30"/>
        <v>2.6032874599310696E-2</v>
      </c>
      <c r="AQ270" s="2">
        <f t="shared" si="34"/>
        <v>14</v>
      </c>
      <c r="AR270">
        <f t="shared" si="31"/>
        <v>156</v>
      </c>
      <c r="AS270" t="str">
        <f t="shared" si="32"/>
        <v>High Claim Ratio</v>
      </c>
      <c r="AT270" t="str">
        <f t="shared" si="33"/>
        <v>High Profit</v>
      </c>
    </row>
    <row r="271" spans="1:46" x14ac:dyDescent="0.2">
      <c r="A271">
        <v>195</v>
      </c>
      <c r="B271">
        <v>36</v>
      </c>
      <c r="C271">
        <v>842618</v>
      </c>
      <c r="D271" s="1">
        <v>37201</v>
      </c>
      <c r="E271" t="s">
        <v>57</v>
      </c>
      <c r="F271" t="s">
        <v>69</v>
      </c>
      <c r="G271">
        <v>2000</v>
      </c>
      <c r="H271">
        <v>1346.18</v>
      </c>
      <c r="I271">
        <v>0</v>
      </c>
      <c r="J271">
        <v>611852</v>
      </c>
      <c r="K271" t="s">
        <v>70</v>
      </c>
      <c r="L271" t="s">
        <v>92</v>
      </c>
      <c r="M271" t="s">
        <v>58</v>
      </c>
      <c r="N271" t="s">
        <v>118</v>
      </c>
      <c r="O271" t="s">
        <v>119</v>
      </c>
      <c r="P271">
        <v>57800</v>
      </c>
      <c r="Q271">
        <v>-53300</v>
      </c>
      <c r="R271" s="1">
        <v>42060</v>
      </c>
      <c r="S271" t="s">
        <v>75</v>
      </c>
      <c r="T271" t="s">
        <v>86</v>
      </c>
      <c r="U271" t="s">
        <v>107</v>
      </c>
      <c r="V271" t="s">
        <v>99</v>
      </c>
      <c r="W271" t="s">
        <v>50</v>
      </c>
      <c r="X271" t="s">
        <v>122</v>
      </c>
      <c r="Y271" t="s">
        <v>448</v>
      </c>
      <c r="Z271">
        <v>14</v>
      </c>
      <c r="AA271">
        <v>3</v>
      </c>
      <c r="AB271" t="s">
        <v>53</v>
      </c>
      <c r="AC271">
        <v>2</v>
      </c>
      <c r="AD271">
        <v>3</v>
      </c>
      <c r="AE271" t="s">
        <v>53</v>
      </c>
      <c r="AF271">
        <v>68970</v>
      </c>
      <c r="AG271">
        <v>12540</v>
      </c>
      <c r="AH271">
        <v>6270</v>
      </c>
      <c r="AI271">
        <v>50160</v>
      </c>
      <c r="AJ271" t="s">
        <v>89</v>
      </c>
      <c r="AK271" t="s">
        <v>90</v>
      </c>
      <c r="AL271">
        <v>2007</v>
      </c>
      <c r="AM271" t="s">
        <v>82</v>
      </c>
      <c r="AN271" s="2">
        <f t="shared" si="28"/>
        <v>51.195831292032246</v>
      </c>
      <c r="AO271">
        <f t="shared" si="29"/>
        <v>-67623.820000000007</v>
      </c>
      <c r="AP271" s="2">
        <f t="shared" si="30"/>
        <v>1.9518058314364008E-2</v>
      </c>
      <c r="AQ271" s="2">
        <f t="shared" si="34"/>
        <v>8</v>
      </c>
      <c r="AR271">
        <f t="shared" si="31"/>
        <v>195</v>
      </c>
      <c r="AS271" t="str">
        <f t="shared" si="32"/>
        <v>High Claim Ratio</v>
      </c>
      <c r="AT271" t="str">
        <f t="shared" si="33"/>
        <v>High Profit</v>
      </c>
    </row>
    <row r="272" spans="1:46" x14ac:dyDescent="0.2">
      <c r="A272">
        <v>369</v>
      </c>
      <c r="B272">
        <v>55</v>
      </c>
      <c r="C272">
        <v>577810</v>
      </c>
      <c r="D272" s="1">
        <v>41379</v>
      </c>
      <c r="E272" t="s">
        <v>39</v>
      </c>
      <c r="F272" t="s">
        <v>40</v>
      </c>
      <c r="G272">
        <v>2000</v>
      </c>
      <c r="H272">
        <v>1589.54</v>
      </c>
      <c r="I272">
        <v>0</v>
      </c>
      <c r="J272">
        <v>444734</v>
      </c>
      <c r="K272" t="s">
        <v>41</v>
      </c>
      <c r="L272" t="s">
        <v>141</v>
      </c>
      <c r="M272" t="s">
        <v>159</v>
      </c>
      <c r="N272" t="s">
        <v>118</v>
      </c>
      <c r="O272" t="s">
        <v>45</v>
      </c>
      <c r="P272">
        <v>55400</v>
      </c>
      <c r="Q272">
        <v>0</v>
      </c>
      <c r="R272" s="1">
        <v>42031</v>
      </c>
      <c r="S272" t="s">
        <v>75</v>
      </c>
      <c r="T272" t="s">
        <v>76</v>
      </c>
      <c r="U272" t="s">
        <v>63</v>
      </c>
      <c r="V272" t="s">
        <v>49</v>
      </c>
      <c r="W272" t="s">
        <v>64</v>
      </c>
      <c r="X272" t="s">
        <v>87</v>
      </c>
      <c r="Y272" t="s">
        <v>449</v>
      </c>
      <c r="Z272">
        <v>6</v>
      </c>
      <c r="AA272">
        <v>3</v>
      </c>
      <c r="AB272" t="s">
        <v>62</v>
      </c>
      <c r="AC272">
        <v>2</v>
      </c>
      <c r="AD272">
        <v>0</v>
      </c>
      <c r="AE272" t="s">
        <v>53</v>
      </c>
      <c r="AF272">
        <v>85300</v>
      </c>
      <c r="AG272">
        <v>17060</v>
      </c>
      <c r="AH272">
        <v>8530</v>
      </c>
      <c r="AI272">
        <v>59710</v>
      </c>
      <c r="AJ272" t="s">
        <v>115</v>
      </c>
      <c r="AK272" t="s">
        <v>140</v>
      </c>
      <c r="AL272">
        <v>2003</v>
      </c>
      <c r="AM272" t="s">
        <v>82</v>
      </c>
      <c r="AN272" s="2">
        <f t="shared" si="28"/>
        <v>53.629584920844493</v>
      </c>
      <c r="AO272">
        <f t="shared" si="29"/>
        <v>-83710.460000000006</v>
      </c>
      <c r="AP272" s="2">
        <f t="shared" si="30"/>
        <v>1.8634482596921489E-2</v>
      </c>
      <c r="AQ272" s="2">
        <f t="shared" si="34"/>
        <v>12</v>
      </c>
      <c r="AR272">
        <f t="shared" si="31"/>
        <v>369</v>
      </c>
      <c r="AS272" t="str">
        <f t="shared" si="32"/>
        <v>High Claim Ratio</v>
      </c>
      <c r="AT272" t="str">
        <f t="shared" si="33"/>
        <v>High Profit</v>
      </c>
    </row>
    <row r="273" spans="1:46" x14ac:dyDescent="0.2">
      <c r="A273">
        <v>271</v>
      </c>
      <c r="B273">
        <v>40</v>
      </c>
      <c r="C273">
        <v>873114</v>
      </c>
      <c r="D273" s="1">
        <v>35040</v>
      </c>
      <c r="E273" t="s">
        <v>83</v>
      </c>
      <c r="F273" t="s">
        <v>69</v>
      </c>
      <c r="G273">
        <v>1000</v>
      </c>
      <c r="H273">
        <v>1251.6500000000001</v>
      </c>
      <c r="I273">
        <v>0</v>
      </c>
      <c r="J273">
        <v>433683</v>
      </c>
      <c r="K273" t="s">
        <v>70</v>
      </c>
      <c r="L273" t="s">
        <v>92</v>
      </c>
      <c r="M273" t="s">
        <v>111</v>
      </c>
      <c r="N273" t="s">
        <v>118</v>
      </c>
      <c r="O273" t="s">
        <v>119</v>
      </c>
      <c r="P273">
        <v>71200</v>
      </c>
      <c r="Q273">
        <v>0</v>
      </c>
      <c r="R273" s="1">
        <v>42054</v>
      </c>
      <c r="S273" t="s">
        <v>138</v>
      </c>
      <c r="T273" t="s">
        <v>62</v>
      </c>
      <c r="U273" t="s">
        <v>63</v>
      </c>
      <c r="V273" t="s">
        <v>93</v>
      </c>
      <c r="W273" t="s">
        <v>77</v>
      </c>
      <c r="X273" t="s">
        <v>122</v>
      </c>
      <c r="Y273" t="s">
        <v>450</v>
      </c>
      <c r="Z273">
        <v>6</v>
      </c>
      <c r="AA273">
        <v>1</v>
      </c>
      <c r="AB273" t="s">
        <v>79</v>
      </c>
      <c r="AC273">
        <v>0</v>
      </c>
      <c r="AD273">
        <v>0</v>
      </c>
      <c r="AE273" t="s">
        <v>79</v>
      </c>
      <c r="AF273">
        <v>3080</v>
      </c>
      <c r="AG273">
        <v>560</v>
      </c>
      <c r="AH273">
        <v>280</v>
      </c>
      <c r="AI273">
        <v>2240</v>
      </c>
      <c r="AJ273" t="s">
        <v>109</v>
      </c>
      <c r="AK273" t="s">
        <v>134</v>
      </c>
      <c r="AL273">
        <v>2012</v>
      </c>
      <c r="AM273" t="s">
        <v>82</v>
      </c>
      <c r="AN273" s="2">
        <f t="shared" si="28"/>
        <v>2.4587873707739591</v>
      </c>
      <c r="AO273">
        <f t="shared" si="29"/>
        <v>-1828.35</v>
      </c>
      <c r="AP273" s="2">
        <f t="shared" si="30"/>
        <v>0.40624797143784491</v>
      </c>
      <c r="AQ273" s="2">
        <f t="shared" si="34"/>
        <v>3</v>
      </c>
      <c r="AR273">
        <f t="shared" si="31"/>
        <v>271</v>
      </c>
      <c r="AS273" t="str">
        <f t="shared" si="32"/>
        <v>Low Claim Ratio</v>
      </c>
      <c r="AT273" t="str">
        <f t="shared" si="33"/>
        <v>Low Profit</v>
      </c>
    </row>
    <row r="274" spans="1:46" x14ac:dyDescent="0.2">
      <c r="A274">
        <v>332</v>
      </c>
      <c r="B274">
        <v>47</v>
      </c>
      <c r="C274">
        <v>994538</v>
      </c>
      <c r="D274" s="1">
        <v>33543</v>
      </c>
      <c r="E274" t="s">
        <v>83</v>
      </c>
      <c r="F274" t="s">
        <v>69</v>
      </c>
      <c r="G274">
        <v>2000</v>
      </c>
      <c r="H274">
        <v>1083.01</v>
      </c>
      <c r="I274">
        <v>0</v>
      </c>
      <c r="J274">
        <v>448882</v>
      </c>
      <c r="K274" t="s">
        <v>41</v>
      </c>
      <c r="L274" t="s">
        <v>42</v>
      </c>
      <c r="M274" t="s">
        <v>43</v>
      </c>
      <c r="N274" t="s">
        <v>165</v>
      </c>
      <c r="O274" t="s">
        <v>60</v>
      </c>
      <c r="P274">
        <v>91900</v>
      </c>
      <c r="Q274">
        <v>0</v>
      </c>
      <c r="R274" s="1">
        <v>42035</v>
      </c>
      <c r="S274" t="s">
        <v>75</v>
      </c>
      <c r="T274" t="s">
        <v>86</v>
      </c>
      <c r="U274" t="s">
        <v>48</v>
      </c>
      <c r="V274" t="s">
        <v>49</v>
      </c>
      <c r="W274" t="s">
        <v>113</v>
      </c>
      <c r="X274" t="s">
        <v>87</v>
      </c>
      <c r="Y274" t="s">
        <v>451</v>
      </c>
      <c r="Z274">
        <v>22</v>
      </c>
      <c r="AA274">
        <v>4</v>
      </c>
      <c r="AB274" t="s">
        <v>53</v>
      </c>
      <c r="AC274">
        <v>2</v>
      </c>
      <c r="AD274">
        <v>0</v>
      </c>
      <c r="AE274" t="s">
        <v>62</v>
      </c>
      <c r="AF274">
        <v>71760</v>
      </c>
      <c r="AG274">
        <v>11040</v>
      </c>
      <c r="AH274">
        <v>11040</v>
      </c>
      <c r="AI274">
        <v>49680</v>
      </c>
      <c r="AJ274" t="s">
        <v>197</v>
      </c>
      <c r="AK274" t="s">
        <v>375</v>
      </c>
      <c r="AL274">
        <v>2010</v>
      </c>
      <c r="AM274" t="s">
        <v>56</v>
      </c>
      <c r="AN274" s="2">
        <f t="shared" si="28"/>
        <v>66.198651303954762</v>
      </c>
      <c r="AO274">
        <f t="shared" si="29"/>
        <v>-70676.990000000005</v>
      </c>
      <c r="AP274" s="2">
        <f t="shared" si="30"/>
        <v>1.5091902286757431E-2</v>
      </c>
      <c r="AQ274" s="2">
        <f t="shared" si="34"/>
        <v>5</v>
      </c>
      <c r="AR274">
        <f t="shared" si="31"/>
        <v>332</v>
      </c>
      <c r="AS274" t="str">
        <f t="shared" si="32"/>
        <v>High Claim Ratio</v>
      </c>
      <c r="AT274" t="str">
        <f t="shared" si="33"/>
        <v>High Profit</v>
      </c>
    </row>
    <row r="275" spans="1:46" x14ac:dyDescent="0.2">
      <c r="A275">
        <v>107</v>
      </c>
      <c r="B275">
        <v>26</v>
      </c>
      <c r="C275">
        <v>727792</v>
      </c>
      <c r="D275" s="1">
        <v>41778</v>
      </c>
      <c r="E275" t="s">
        <v>39</v>
      </c>
      <c r="F275" t="s">
        <v>69</v>
      </c>
      <c r="G275">
        <v>500</v>
      </c>
      <c r="H275">
        <v>974.59</v>
      </c>
      <c r="I275">
        <v>0</v>
      </c>
      <c r="J275">
        <v>466838</v>
      </c>
      <c r="K275" t="s">
        <v>70</v>
      </c>
      <c r="L275" t="s">
        <v>161</v>
      </c>
      <c r="M275" t="s">
        <v>84</v>
      </c>
      <c r="N275" t="s">
        <v>132</v>
      </c>
      <c r="O275" t="s">
        <v>119</v>
      </c>
      <c r="P275">
        <v>62800</v>
      </c>
      <c r="Q275">
        <v>0</v>
      </c>
      <c r="R275" s="1">
        <v>42022</v>
      </c>
      <c r="S275" t="s">
        <v>75</v>
      </c>
      <c r="T275" t="s">
        <v>76</v>
      </c>
      <c r="U275" t="s">
        <v>63</v>
      </c>
      <c r="V275" t="s">
        <v>136</v>
      </c>
      <c r="W275" t="s">
        <v>77</v>
      </c>
      <c r="X275" t="s">
        <v>87</v>
      </c>
      <c r="Y275" t="s">
        <v>452</v>
      </c>
      <c r="Z275">
        <v>14</v>
      </c>
      <c r="AA275">
        <v>3</v>
      </c>
      <c r="AB275" t="s">
        <v>62</v>
      </c>
      <c r="AC275">
        <v>1</v>
      </c>
      <c r="AD275">
        <v>0</v>
      </c>
      <c r="AE275" t="s">
        <v>79</v>
      </c>
      <c r="AF275">
        <v>59700</v>
      </c>
      <c r="AG275">
        <v>11940</v>
      </c>
      <c r="AH275">
        <v>11940</v>
      </c>
      <c r="AI275">
        <v>35820</v>
      </c>
      <c r="AJ275" t="s">
        <v>104</v>
      </c>
      <c r="AK275" t="s">
        <v>287</v>
      </c>
      <c r="AL275">
        <v>2002</v>
      </c>
      <c r="AM275" t="s">
        <v>82</v>
      </c>
      <c r="AN275" s="2">
        <f t="shared" si="28"/>
        <v>61.193739173218255</v>
      </c>
      <c r="AO275">
        <f t="shared" si="29"/>
        <v>-58725.41</v>
      </c>
      <c r="AP275" s="2">
        <f t="shared" si="30"/>
        <v>1.6324517177266712E-2</v>
      </c>
      <c r="AQ275" s="2">
        <f t="shared" si="34"/>
        <v>13</v>
      </c>
      <c r="AR275">
        <f t="shared" si="31"/>
        <v>107</v>
      </c>
      <c r="AS275" t="str">
        <f t="shared" si="32"/>
        <v>High Claim Ratio</v>
      </c>
      <c r="AT275" t="str">
        <f t="shared" si="33"/>
        <v>High Profit</v>
      </c>
    </row>
    <row r="276" spans="1:46" x14ac:dyDescent="0.2">
      <c r="A276">
        <v>217</v>
      </c>
      <c r="B276">
        <v>39</v>
      </c>
      <c r="C276">
        <v>522506</v>
      </c>
      <c r="D276" s="1">
        <v>33678</v>
      </c>
      <c r="E276" t="s">
        <v>83</v>
      </c>
      <c r="F276" t="s">
        <v>91</v>
      </c>
      <c r="G276">
        <v>2000</v>
      </c>
      <c r="H276">
        <v>1399.85</v>
      </c>
      <c r="I276">
        <v>0</v>
      </c>
      <c r="J276">
        <v>605490</v>
      </c>
      <c r="K276" t="s">
        <v>70</v>
      </c>
      <c r="L276" t="s">
        <v>124</v>
      </c>
      <c r="M276" t="s">
        <v>111</v>
      </c>
      <c r="N276" t="s">
        <v>132</v>
      </c>
      <c r="O276" t="s">
        <v>60</v>
      </c>
      <c r="P276">
        <v>49900</v>
      </c>
      <c r="Q276">
        <v>-19800</v>
      </c>
      <c r="R276" s="1">
        <v>42014</v>
      </c>
      <c r="S276" t="s">
        <v>75</v>
      </c>
      <c r="T276" t="s">
        <v>86</v>
      </c>
      <c r="U276" t="s">
        <v>63</v>
      </c>
      <c r="V276" t="s">
        <v>99</v>
      </c>
      <c r="W276" t="s">
        <v>77</v>
      </c>
      <c r="X276" t="s">
        <v>51</v>
      </c>
      <c r="Y276" t="s">
        <v>453</v>
      </c>
      <c r="Z276">
        <v>16</v>
      </c>
      <c r="AA276">
        <v>3</v>
      </c>
      <c r="AB276" t="s">
        <v>79</v>
      </c>
      <c r="AC276">
        <v>0</v>
      </c>
      <c r="AD276">
        <v>2</v>
      </c>
      <c r="AE276" t="s">
        <v>62</v>
      </c>
      <c r="AF276">
        <v>64920</v>
      </c>
      <c r="AG276">
        <v>10820</v>
      </c>
      <c r="AH276">
        <v>10820</v>
      </c>
      <c r="AI276">
        <v>43280</v>
      </c>
      <c r="AJ276" t="s">
        <v>129</v>
      </c>
      <c r="AK276" t="s">
        <v>249</v>
      </c>
      <c r="AL276">
        <v>1997</v>
      </c>
      <c r="AM276" t="s">
        <v>82</v>
      </c>
      <c r="AN276" s="2">
        <f t="shared" si="28"/>
        <v>46.343291572973556</v>
      </c>
      <c r="AO276">
        <f t="shared" si="29"/>
        <v>-63520.15</v>
      </c>
      <c r="AP276" s="2">
        <f t="shared" si="30"/>
        <v>2.1562360407264211E-2</v>
      </c>
      <c r="AQ276" s="2">
        <f t="shared" si="34"/>
        <v>18</v>
      </c>
      <c r="AR276">
        <f t="shared" si="31"/>
        <v>217</v>
      </c>
      <c r="AS276" t="str">
        <f t="shared" si="32"/>
        <v>High Claim Ratio</v>
      </c>
      <c r="AT276" t="str">
        <f t="shared" si="33"/>
        <v>High Profit</v>
      </c>
    </row>
    <row r="277" spans="1:46" x14ac:dyDescent="0.2">
      <c r="A277">
        <v>243</v>
      </c>
      <c r="B277">
        <v>43</v>
      </c>
      <c r="C277">
        <v>367595</v>
      </c>
      <c r="D277" s="1">
        <v>38751</v>
      </c>
      <c r="E277" t="s">
        <v>57</v>
      </c>
      <c r="F277" t="s">
        <v>91</v>
      </c>
      <c r="G277">
        <v>500</v>
      </c>
      <c r="H277">
        <v>1307.74</v>
      </c>
      <c r="I277">
        <v>0</v>
      </c>
      <c r="J277">
        <v>466137</v>
      </c>
      <c r="K277" t="s">
        <v>70</v>
      </c>
      <c r="L277" t="s">
        <v>92</v>
      </c>
      <c r="M277" t="s">
        <v>58</v>
      </c>
      <c r="N277" t="s">
        <v>73</v>
      </c>
      <c r="O277" t="s">
        <v>74</v>
      </c>
      <c r="P277">
        <v>0</v>
      </c>
      <c r="Q277">
        <v>-75700</v>
      </c>
      <c r="R277" s="1">
        <v>42032</v>
      </c>
      <c r="S277" t="s">
        <v>75</v>
      </c>
      <c r="T277" t="s">
        <v>86</v>
      </c>
      <c r="U277" t="s">
        <v>48</v>
      </c>
      <c r="V277" t="s">
        <v>136</v>
      </c>
      <c r="W277" t="s">
        <v>50</v>
      </c>
      <c r="X277" t="s">
        <v>65</v>
      </c>
      <c r="Y277" t="s">
        <v>454</v>
      </c>
      <c r="Z277">
        <v>10</v>
      </c>
      <c r="AA277">
        <v>3</v>
      </c>
      <c r="AB277" t="s">
        <v>62</v>
      </c>
      <c r="AC277">
        <v>0</v>
      </c>
      <c r="AD277">
        <v>1</v>
      </c>
      <c r="AE277" t="s">
        <v>79</v>
      </c>
      <c r="AF277">
        <v>37530</v>
      </c>
      <c r="AG277">
        <v>4170</v>
      </c>
      <c r="AH277">
        <v>4170</v>
      </c>
      <c r="AI277">
        <v>29190</v>
      </c>
      <c r="AJ277" t="s">
        <v>197</v>
      </c>
      <c r="AK277" t="s">
        <v>198</v>
      </c>
      <c r="AL277">
        <v>2008</v>
      </c>
      <c r="AM277" t="s">
        <v>82</v>
      </c>
      <c r="AN277" s="2">
        <f t="shared" si="28"/>
        <v>28.676436878218745</v>
      </c>
      <c r="AO277">
        <f t="shared" si="29"/>
        <v>-36222.26</v>
      </c>
      <c r="AP277" s="2">
        <f t="shared" si="30"/>
        <v>3.4844262076683279E-2</v>
      </c>
      <c r="AQ277" s="2">
        <f t="shared" si="34"/>
        <v>7</v>
      </c>
      <c r="AR277">
        <f t="shared" si="31"/>
        <v>243</v>
      </c>
      <c r="AS277" t="str">
        <f t="shared" si="32"/>
        <v>High Claim Ratio</v>
      </c>
      <c r="AT277" t="str">
        <f t="shared" si="33"/>
        <v>High Profit</v>
      </c>
    </row>
    <row r="278" spans="1:46" x14ac:dyDescent="0.2">
      <c r="A278">
        <v>296</v>
      </c>
      <c r="B278">
        <v>42</v>
      </c>
      <c r="C278">
        <v>586104</v>
      </c>
      <c r="D278" s="1">
        <v>37696</v>
      </c>
      <c r="E278" t="s">
        <v>57</v>
      </c>
      <c r="F278" t="s">
        <v>40</v>
      </c>
      <c r="G278">
        <v>2000</v>
      </c>
      <c r="H278">
        <v>1219.27</v>
      </c>
      <c r="I278">
        <v>0</v>
      </c>
      <c r="J278">
        <v>466970</v>
      </c>
      <c r="K278" t="s">
        <v>41</v>
      </c>
      <c r="L278" t="s">
        <v>92</v>
      </c>
      <c r="M278" t="s">
        <v>97</v>
      </c>
      <c r="N278" t="s">
        <v>165</v>
      </c>
      <c r="O278" t="s">
        <v>45</v>
      </c>
      <c r="P278">
        <v>53100</v>
      </c>
      <c r="Q278">
        <v>-63400</v>
      </c>
      <c r="R278" s="1">
        <v>42051</v>
      </c>
      <c r="S278" t="s">
        <v>75</v>
      </c>
      <c r="T278" t="s">
        <v>47</v>
      </c>
      <c r="U278" t="s">
        <v>107</v>
      </c>
      <c r="V278" t="s">
        <v>136</v>
      </c>
      <c r="W278" t="s">
        <v>113</v>
      </c>
      <c r="X278" t="s">
        <v>51</v>
      </c>
      <c r="Y278" t="s">
        <v>455</v>
      </c>
      <c r="Z278">
        <v>9</v>
      </c>
      <c r="AA278">
        <v>3</v>
      </c>
      <c r="AB278" t="s">
        <v>53</v>
      </c>
      <c r="AC278">
        <v>1</v>
      </c>
      <c r="AD278">
        <v>2</v>
      </c>
      <c r="AE278" t="s">
        <v>79</v>
      </c>
      <c r="AF278">
        <v>64080</v>
      </c>
      <c r="AG278">
        <v>7120</v>
      </c>
      <c r="AH278">
        <v>7120</v>
      </c>
      <c r="AI278">
        <v>49840</v>
      </c>
      <c r="AJ278" t="s">
        <v>54</v>
      </c>
      <c r="AK278">
        <v>93</v>
      </c>
      <c r="AL278">
        <v>2012</v>
      </c>
      <c r="AM278" t="s">
        <v>82</v>
      </c>
      <c r="AN278" s="2">
        <f t="shared" si="28"/>
        <v>52.512968441410507</v>
      </c>
      <c r="AO278">
        <f t="shared" si="29"/>
        <v>-62860.73</v>
      </c>
      <c r="AP278" s="2">
        <f t="shared" si="30"/>
        <v>1.902701268706793E-2</v>
      </c>
      <c r="AQ278" s="2">
        <f t="shared" si="34"/>
        <v>3</v>
      </c>
      <c r="AR278">
        <f t="shared" si="31"/>
        <v>296</v>
      </c>
      <c r="AS278" t="str">
        <f t="shared" si="32"/>
        <v>High Claim Ratio</v>
      </c>
      <c r="AT278" t="str">
        <f t="shared" si="33"/>
        <v>High Profit</v>
      </c>
    </row>
    <row r="279" spans="1:46" x14ac:dyDescent="0.2">
      <c r="A279">
        <v>264</v>
      </c>
      <c r="B279">
        <v>41</v>
      </c>
      <c r="C279">
        <v>424862</v>
      </c>
      <c r="D279" s="1">
        <v>37545</v>
      </c>
      <c r="E279" t="s">
        <v>39</v>
      </c>
      <c r="F279" t="s">
        <v>69</v>
      </c>
      <c r="G279">
        <v>500</v>
      </c>
      <c r="H279">
        <v>1411.3</v>
      </c>
      <c r="I279">
        <v>0</v>
      </c>
      <c r="J279">
        <v>474801</v>
      </c>
      <c r="K279" t="s">
        <v>41</v>
      </c>
      <c r="L279" t="s">
        <v>71</v>
      </c>
      <c r="M279" t="s">
        <v>101</v>
      </c>
      <c r="N279" t="s">
        <v>242</v>
      </c>
      <c r="O279" t="s">
        <v>85</v>
      </c>
      <c r="P279">
        <v>55600</v>
      </c>
      <c r="Q279">
        <v>0</v>
      </c>
      <c r="R279" s="1">
        <v>42043</v>
      </c>
      <c r="S279" t="s">
        <v>46</v>
      </c>
      <c r="T279" t="s">
        <v>76</v>
      </c>
      <c r="U279" t="s">
        <v>63</v>
      </c>
      <c r="V279" t="s">
        <v>120</v>
      </c>
      <c r="W279" t="s">
        <v>175</v>
      </c>
      <c r="X279" t="s">
        <v>156</v>
      </c>
      <c r="Y279" t="s">
        <v>456</v>
      </c>
      <c r="Z279">
        <v>4</v>
      </c>
      <c r="AA279">
        <v>1</v>
      </c>
      <c r="AB279" t="s">
        <v>79</v>
      </c>
      <c r="AC279">
        <v>1</v>
      </c>
      <c r="AD279">
        <v>0</v>
      </c>
      <c r="AE279" t="s">
        <v>62</v>
      </c>
      <c r="AF279">
        <v>60390</v>
      </c>
      <c r="AG279">
        <v>10980</v>
      </c>
      <c r="AH279">
        <v>5490</v>
      </c>
      <c r="AI279">
        <v>43920</v>
      </c>
      <c r="AJ279" t="s">
        <v>187</v>
      </c>
      <c r="AK279" t="s">
        <v>201</v>
      </c>
      <c r="AL279">
        <v>2004</v>
      </c>
      <c r="AM279" t="s">
        <v>56</v>
      </c>
      <c r="AN279" s="2">
        <f t="shared" si="28"/>
        <v>42.760036819372658</v>
      </c>
      <c r="AO279">
        <f t="shared" si="29"/>
        <v>-58978.7</v>
      </c>
      <c r="AP279" s="2">
        <f t="shared" si="30"/>
        <v>2.336937623155768E-2</v>
      </c>
      <c r="AQ279" s="2">
        <f t="shared" si="34"/>
        <v>11</v>
      </c>
      <c r="AR279">
        <f t="shared" si="31"/>
        <v>264</v>
      </c>
      <c r="AS279" t="str">
        <f t="shared" si="32"/>
        <v>High Claim Ratio</v>
      </c>
      <c r="AT279" t="str">
        <f t="shared" si="33"/>
        <v>High Profit</v>
      </c>
    </row>
    <row r="280" spans="1:46" x14ac:dyDescent="0.2">
      <c r="A280">
        <v>108</v>
      </c>
      <c r="B280">
        <v>33</v>
      </c>
      <c r="C280">
        <v>512813</v>
      </c>
      <c r="D280" s="1">
        <v>32900</v>
      </c>
      <c r="E280" t="s">
        <v>83</v>
      </c>
      <c r="F280" t="s">
        <v>69</v>
      </c>
      <c r="G280">
        <v>2000</v>
      </c>
      <c r="H280">
        <v>694.45</v>
      </c>
      <c r="I280">
        <v>0</v>
      </c>
      <c r="J280">
        <v>450703</v>
      </c>
      <c r="K280" t="s">
        <v>70</v>
      </c>
      <c r="L280" t="s">
        <v>161</v>
      </c>
      <c r="M280" t="s">
        <v>84</v>
      </c>
      <c r="N280" t="s">
        <v>264</v>
      </c>
      <c r="O280" t="s">
        <v>142</v>
      </c>
      <c r="P280">
        <v>0</v>
      </c>
      <c r="Q280">
        <v>0</v>
      </c>
      <c r="R280" s="1">
        <v>42024</v>
      </c>
      <c r="S280" t="s">
        <v>75</v>
      </c>
      <c r="T280" t="s">
        <v>47</v>
      </c>
      <c r="U280" t="s">
        <v>48</v>
      </c>
      <c r="V280" t="s">
        <v>49</v>
      </c>
      <c r="W280" t="s">
        <v>113</v>
      </c>
      <c r="X280" t="s">
        <v>127</v>
      </c>
      <c r="Y280" t="s">
        <v>457</v>
      </c>
      <c r="Z280">
        <v>6</v>
      </c>
      <c r="AA280">
        <v>3</v>
      </c>
      <c r="AB280" t="s">
        <v>62</v>
      </c>
      <c r="AC280">
        <v>0</v>
      </c>
      <c r="AD280">
        <v>1</v>
      </c>
      <c r="AE280" t="s">
        <v>53</v>
      </c>
      <c r="AF280">
        <v>64350</v>
      </c>
      <c r="AG280">
        <v>5850</v>
      </c>
      <c r="AH280">
        <v>11700</v>
      </c>
      <c r="AI280">
        <v>46800</v>
      </c>
      <c r="AJ280" t="s">
        <v>104</v>
      </c>
      <c r="AK280" t="s">
        <v>105</v>
      </c>
      <c r="AL280">
        <v>2011</v>
      </c>
      <c r="AM280" t="s">
        <v>56</v>
      </c>
      <c r="AN280" s="2">
        <f t="shared" si="28"/>
        <v>92.530016536055783</v>
      </c>
      <c r="AO280">
        <f t="shared" si="29"/>
        <v>-63655.55</v>
      </c>
      <c r="AP280" s="2">
        <f t="shared" si="30"/>
        <v>1.0791596090192849E-2</v>
      </c>
      <c r="AQ280" s="2">
        <f t="shared" si="34"/>
        <v>4</v>
      </c>
      <c r="AR280">
        <f t="shared" si="31"/>
        <v>108</v>
      </c>
      <c r="AS280" t="str">
        <f t="shared" si="32"/>
        <v>High Claim Ratio</v>
      </c>
      <c r="AT280" t="str">
        <f t="shared" si="33"/>
        <v>High Profit</v>
      </c>
    </row>
    <row r="281" spans="1:46" x14ac:dyDescent="0.2">
      <c r="A281">
        <v>32</v>
      </c>
      <c r="B281">
        <v>38</v>
      </c>
      <c r="C281">
        <v>356768</v>
      </c>
      <c r="D281" s="1">
        <v>40248</v>
      </c>
      <c r="E281" t="s">
        <v>83</v>
      </c>
      <c r="F281" t="s">
        <v>69</v>
      </c>
      <c r="G281">
        <v>500</v>
      </c>
      <c r="H281">
        <v>1006.77</v>
      </c>
      <c r="I281">
        <v>6000000</v>
      </c>
      <c r="J281">
        <v>478172</v>
      </c>
      <c r="K281" t="s">
        <v>70</v>
      </c>
      <c r="L281" t="s">
        <v>141</v>
      </c>
      <c r="M281" t="s">
        <v>111</v>
      </c>
      <c r="N281" t="s">
        <v>44</v>
      </c>
      <c r="O281" t="s">
        <v>74</v>
      </c>
      <c r="P281">
        <v>0</v>
      </c>
      <c r="Q281">
        <v>0</v>
      </c>
      <c r="R281" s="1">
        <v>42041</v>
      </c>
      <c r="S281" t="s">
        <v>75</v>
      </c>
      <c r="T281" t="s">
        <v>47</v>
      </c>
      <c r="U281" t="s">
        <v>63</v>
      </c>
      <c r="V281" t="s">
        <v>49</v>
      </c>
      <c r="W281" t="s">
        <v>50</v>
      </c>
      <c r="X281" t="s">
        <v>127</v>
      </c>
      <c r="Y281" t="s">
        <v>458</v>
      </c>
      <c r="Z281">
        <v>15</v>
      </c>
      <c r="AA281">
        <v>3</v>
      </c>
      <c r="AB281" t="s">
        <v>53</v>
      </c>
      <c r="AC281">
        <v>2</v>
      </c>
      <c r="AD281">
        <v>1</v>
      </c>
      <c r="AE281" t="s">
        <v>53</v>
      </c>
      <c r="AF281">
        <v>70900</v>
      </c>
      <c r="AG281">
        <v>14180</v>
      </c>
      <c r="AH281">
        <v>7090</v>
      </c>
      <c r="AI281">
        <v>49630</v>
      </c>
      <c r="AJ281" t="s">
        <v>187</v>
      </c>
      <c r="AK281" t="s">
        <v>238</v>
      </c>
      <c r="AL281">
        <v>1997</v>
      </c>
      <c r="AM281" t="s">
        <v>82</v>
      </c>
      <c r="AN281" s="2">
        <f t="shared" si="28"/>
        <v>70.353354436032035</v>
      </c>
      <c r="AO281">
        <f t="shared" si="29"/>
        <v>-69893.23</v>
      </c>
      <c r="AP281" s="2">
        <f t="shared" si="30"/>
        <v>1.4199658679003116E-2</v>
      </c>
      <c r="AQ281" s="2">
        <f t="shared" si="34"/>
        <v>18</v>
      </c>
      <c r="AR281">
        <f t="shared" si="31"/>
        <v>32</v>
      </c>
      <c r="AS281" t="str">
        <f t="shared" si="32"/>
        <v>High Claim Ratio</v>
      </c>
      <c r="AT281" t="str">
        <f t="shared" si="33"/>
        <v>High Profit</v>
      </c>
    </row>
    <row r="282" spans="1:46" x14ac:dyDescent="0.2">
      <c r="A282">
        <v>259</v>
      </c>
      <c r="B282">
        <v>39</v>
      </c>
      <c r="C282">
        <v>330506</v>
      </c>
      <c r="D282" s="1">
        <v>34961</v>
      </c>
      <c r="E282" t="s">
        <v>39</v>
      </c>
      <c r="F282" t="s">
        <v>40</v>
      </c>
      <c r="G282">
        <v>1000</v>
      </c>
      <c r="H282">
        <v>1422.36</v>
      </c>
      <c r="I282">
        <v>0</v>
      </c>
      <c r="J282">
        <v>604668</v>
      </c>
      <c r="K282" t="s">
        <v>70</v>
      </c>
      <c r="L282" t="s">
        <v>161</v>
      </c>
      <c r="M282" t="s">
        <v>43</v>
      </c>
      <c r="N282" t="s">
        <v>146</v>
      </c>
      <c r="O282" t="s">
        <v>85</v>
      </c>
      <c r="P282">
        <v>0</v>
      </c>
      <c r="Q282">
        <v>-83900</v>
      </c>
      <c r="R282" s="1">
        <v>42028</v>
      </c>
      <c r="S282" t="s">
        <v>75</v>
      </c>
      <c r="T282" t="s">
        <v>47</v>
      </c>
      <c r="U282" t="s">
        <v>63</v>
      </c>
      <c r="V282" t="s">
        <v>99</v>
      </c>
      <c r="W282" t="s">
        <v>175</v>
      </c>
      <c r="X282" t="s">
        <v>51</v>
      </c>
      <c r="Y282" t="s">
        <v>459</v>
      </c>
      <c r="Z282">
        <v>12</v>
      </c>
      <c r="AA282">
        <v>3</v>
      </c>
      <c r="AB282" t="s">
        <v>79</v>
      </c>
      <c r="AC282">
        <v>1</v>
      </c>
      <c r="AD282">
        <v>3</v>
      </c>
      <c r="AE282" t="s">
        <v>62</v>
      </c>
      <c r="AF282">
        <v>46560</v>
      </c>
      <c r="AG282">
        <v>7760</v>
      </c>
      <c r="AH282">
        <v>7760</v>
      </c>
      <c r="AI282">
        <v>31040</v>
      </c>
      <c r="AJ282" t="s">
        <v>104</v>
      </c>
      <c r="AK282" t="s">
        <v>287</v>
      </c>
      <c r="AL282">
        <v>2012</v>
      </c>
      <c r="AM282" t="s">
        <v>82</v>
      </c>
      <c r="AN282" s="2">
        <f t="shared" si="28"/>
        <v>32.711330935251802</v>
      </c>
      <c r="AO282">
        <f t="shared" si="29"/>
        <v>-45137.64</v>
      </c>
      <c r="AP282" s="2">
        <f t="shared" si="30"/>
        <v>3.0548312965786816E-2</v>
      </c>
      <c r="AQ282" s="2">
        <f t="shared" si="34"/>
        <v>3</v>
      </c>
      <c r="AR282">
        <f t="shared" si="31"/>
        <v>259</v>
      </c>
      <c r="AS282" t="str">
        <f t="shared" si="32"/>
        <v>High Claim Ratio</v>
      </c>
      <c r="AT282" t="str">
        <f t="shared" si="33"/>
        <v>High Profit</v>
      </c>
    </row>
    <row r="283" spans="1:46" x14ac:dyDescent="0.2">
      <c r="A283">
        <v>186</v>
      </c>
      <c r="B283">
        <v>33</v>
      </c>
      <c r="C283">
        <v>779075</v>
      </c>
      <c r="D283" s="1">
        <v>40236</v>
      </c>
      <c r="E283" t="s">
        <v>57</v>
      </c>
      <c r="F283" t="s">
        <v>69</v>
      </c>
      <c r="G283">
        <v>1000</v>
      </c>
      <c r="H283">
        <v>1348.32</v>
      </c>
      <c r="I283">
        <v>0</v>
      </c>
      <c r="J283">
        <v>469429</v>
      </c>
      <c r="K283" t="s">
        <v>70</v>
      </c>
      <c r="L283" t="s">
        <v>92</v>
      </c>
      <c r="M283" t="s">
        <v>43</v>
      </c>
      <c r="N283" t="s">
        <v>242</v>
      </c>
      <c r="O283" t="s">
        <v>119</v>
      </c>
      <c r="P283">
        <v>37600</v>
      </c>
      <c r="Q283">
        <v>-37600</v>
      </c>
      <c r="R283" s="1">
        <v>42018</v>
      </c>
      <c r="S283" t="s">
        <v>61</v>
      </c>
      <c r="T283" t="s">
        <v>62</v>
      </c>
      <c r="U283" t="s">
        <v>212</v>
      </c>
      <c r="V283" t="s">
        <v>49</v>
      </c>
      <c r="W283" t="s">
        <v>77</v>
      </c>
      <c r="X283" t="s">
        <v>87</v>
      </c>
      <c r="Y283" t="s">
        <v>460</v>
      </c>
      <c r="Z283">
        <v>3</v>
      </c>
      <c r="AA283">
        <v>1</v>
      </c>
      <c r="AB283" t="s">
        <v>79</v>
      </c>
      <c r="AC283">
        <v>2</v>
      </c>
      <c r="AD283">
        <v>1</v>
      </c>
      <c r="AE283" t="s">
        <v>62</v>
      </c>
      <c r="AF283">
        <v>4730</v>
      </c>
      <c r="AG283">
        <v>860</v>
      </c>
      <c r="AH283">
        <v>860</v>
      </c>
      <c r="AI283">
        <v>3010</v>
      </c>
      <c r="AJ283" t="s">
        <v>89</v>
      </c>
      <c r="AK283" t="s">
        <v>245</v>
      </c>
      <c r="AL283">
        <v>2013</v>
      </c>
      <c r="AM283" t="s">
        <v>56</v>
      </c>
      <c r="AN283" s="2">
        <f t="shared" si="28"/>
        <v>3.5054694216346012</v>
      </c>
      <c r="AO283">
        <f t="shared" si="29"/>
        <v>-3381.6800000000003</v>
      </c>
      <c r="AP283" s="2">
        <f t="shared" si="30"/>
        <v>0.28499682942295496</v>
      </c>
      <c r="AQ283" s="2">
        <f t="shared" si="34"/>
        <v>2</v>
      </c>
      <c r="AR283">
        <f t="shared" si="31"/>
        <v>186</v>
      </c>
      <c r="AS283" t="str">
        <f t="shared" si="32"/>
        <v>Low Claim Ratio</v>
      </c>
      <c r="AT283" t="str">
        <f t="shared" si="33"/>
        <v>Low Profit</v>
      </c>
    </row>
    <row r="284" spans="1:46" x14ac:dyDescent="0.2">
      <c r="A284">
        <v>201</v>
      </c>
      <c r="B284">
        <v>40</v>
      </c>
      <c r="C284">
        <v>799501</v>
      </c>
      <c r="D284" s="1">
        <v>33600</v>
      </c>
      <c r="E284" t="s">
        <v>39</v>
      </c>
      <c r="F284" t="s">
        <v>40</v>
      </c>
      <c r="G284">
        <v>2000</v>
      </c>
      <c r="H284">
        <v>1315.56</v>
      </c>
      <c r="I284">
        <v>0</v>
      </c>
      <c r="J284">
        <v>471806</v>
      </c>
      <c r="K284" t="s">
        <v>70</v>
      </c>
      <c r="L284" t="s">
        <v>71</v>
      </c>
      <c r="M284" t="s">
        <v>145</v>
      </c>
      <c r="N284" t="s">
        <v>181</v>
      </c>
      <c r="O284" t="s">
        <v>142</v>
      </c>
      <c r="P284">
        <v>0</v>
      </c>
      <c r="Q284">
        <v>0</v>
      </c>
      <c r="R284" s="1">
        <v>42053</v>
      </c>
      <c r="S284" t="s">
        <v>61</v>
      </c>
      <c r="T284" t="s">
        <v>62</v>
      </c>
      <c r="U284" t="s">
        <v>63</v>
      </c>
      <c r="V284" t="s">
        <v>49</v>
      </c>
      <c r="W284" t="s">
        <v>50</v>
      </c>
      <c r="X284" t="s">
        <v>156</v>
      </c>
      <c r="Y284" t="s">
        <v>461</v>
      </c>
      <c r="Z284">
        <v>14</v>
      </c>
      <c r="AA284">
        <v>1</v>
      </c>
      <c r="AB284" t="s">
        <v>53</v>
      </c>
      <c r="AC284">
        <v>0</v>
      </c>
      <c r="AD284">
        <v>0</v>
      </c>
      <c r="AE284" t="s">
        <v>53</v>
      </c>
      <c r="AF284">
        <v>6820</v>
      </c>
      <c r="AG284">
        <v>1240</v>
      </c>
      <c r="AH284">
        <v>1240</v>
      </c>
      <c r="AI284">
        <v>4340</v>
      </c>
      <c r="AJ284" t="s">
        <v>197</v>
      </c>
      <c r="AK284" t="s">
        <v>375</v>
      </c>
      <c r="AL284">
        <v>2003</v>
      </c>
      <c r="AM284" t="s">
        <v>82</v>
      </c>
      <c r="AN284" s="2">
        <f t="shared" si="28"/>
        <v>5.1801664945008206</v>
      </c>
      <c r="AO284">
        <f t="shared" si="29"/>
        <v>-5504.4400000000005</v>
      </c>
      <c r="AP284" s="2">
        <f t="shared" si="30"/>
        <v>0.19286908077994427</v>
      </c>
      <c r="AQ284" s="2">
        <f t="shared" si="34"/>
        <v>12</v>
      </c>
      <c r="AR284">
        <f t="shared" si="31"/>
        <v>201</v>
      </c>
      <c r="AS284" t="str">
        <f t="shared" si="32"/>
        <v>Medium Claim Ratio</v>
      </c>
      <c r="AT284" t="str">
        <f t="shared" si="33"/>
        <v>High Profit</v>
      </c>
    </row>
    <row r="285" spans="1:46" x14ac:dyDescent="0.2">
      <c r="A285">
        <v>436</v>
      </c>
      <c r="B285">
        <v>58</v>
      </c>
      <c r="C285">
        <v>987905</v>
      </c>
      <c r="D285" s="1">
        <v>37376</v>
      </c>
      <c r="E285" t="s">
        <v>39</v>
      </c>
      <c r="F285" t="s">
        <v>40</v>
      </c>
      <c r="G285">
        <v>2000</v>
      </c>
      <c r="H285">
        <v>1407.01</v>
      </c>
      <c r="I285">
        <v>5000000</v>
      </c>
      <c r="J285">
        <v>475705</v>
      </c>
      <c r="K285" t="s">
        <v>41</v>
      </c>
      <c r="L285" t="s">
        <v>71</v>
      </c>
      <c r="M285" t="s">
        <v>97</v>
      </c>
      <c r="N285" t="s">
        <v>44</v>
      </c>
      <c r="O285" t="s">
        <v>60</v>
      </c>
      <c r="P285">
        <v>47400</v>
      </c>
      <c r="Q285">
        <v>-27600</v>
      </c>
      <c r="R285" s="1">
        <v>42014</v>
      </c>
      <c r="S285" t="s">
        <v>46</v>
      </c>
      <c r="T285" t="s">
        <v>76</v>
      </c>
      <c r="U285" t="s">
        <v>48</v>
      </c>
      <c r="V285" t="s">
        <v>49</v>
      </c>
      <c r="W285" t="s">
        <v>113</v>
      </c>
      <c r="X285" t="s">
        <v>65</v>
      </c>
      <c r="Y285" t="s">
        <v>462</v>
      </c>
      <c r="Z285">
        <v>10</v>
      </c>
      <c r="AA285">
        <v>1</v>
      </c>
      <c r="AB285" t="s">
        <v>62</v>
      </c>
      <c r="AC285">
        <v>0</v>
      </c>
      <c r="AD285">
        <v>2</v>
      </c>
      <c r="AE285" t="s">
        <v>62</v>
      </c>
      <c r="AF285">
        <v>59900</v>
      </c>
      <c r="AG285">
        <v>11980</v>
      </c>
      <c r="AH285">
        <v>5990</v>
      </c>
      <c r="AI285">
        <v>41930</v>
      </c>
      <c r="AJ285" t="s">
        <v>187</v>
      </c>
      <c r="AK285" t="s">
        <v>203</v>
      </c>
      <c r="AL285">
        <v>1997</v>
      </c>
      <c r="AM285" t="s">
        <v>56</v>
      </c>
      <c r="AN285" s="2">
        <f t="shared" si="28"/>
        <v>42.542311489264989</v>
      </c>
      <c r="AO285">
        <f t="shared" si="29"/>
        <v>-58492.99</v>
      </c>
      <c r="AP285" s="2">
        <f t="shared" si="30"/>
        <v>2.3488923390260597E-2</v>
      </c>
      <c r="AQ285" s="2">
        <f t="shared" si="34"/>
        <v>18</v>
      </c>
      <c r="AR285">
        <f t="shared" si="31"/>
        <v>436</v>
      </c>
      <c r="AS285" t="str">
        <f t="shared" si="32"/>
        <v>High Claim Ratio</v>
      </c>
      <c r="AT285" t="str">
        <f t="shared" si="33"/>
        <v>High Profit</v>
      </c>
    </row>
    <row r="286" spans="1:46" x14ac:dyDescent="0.2">
      <c r="A286">
        <v>189</v>
      </c>
      <c r="B286">
        <v>36</v>
      </c>
      <c r="C286">
        <v>967756</v>
      </c>
      <c r="D286" s="1">
        <v>39200</v>
      </c>
      <c r="E286" t="s">
        <v>39</v>
      </c>
      <c r="F286" t="s">
        <v>40</v>
      </c>
      <c r="G286">
        <v>2000</v>
      </c>
      <c r="H286">
        <v>1388.58</v>
      </c>
      <c r="I286">
        <v>0</v>
      </c>
      <c r="J286">
        <v>459122</v>
      </c>
      <c r="K286" t="s">
        <v>70</v>
      </c>
      <c r="L286" t="s">
        <v>42</v>
      </c>
      <c r="M286" t="s">
        <v>117</v>
      </c>
      <c r="N286" t="s">
        <v>179</v>
      </c>
      <c r="O286" t="s">
        <v>74</v>
      </c>
      <c r="P286">
        <v>0</v>
      </c>
      <c r="Q286">
        <v>-49400</v>
      </c>
      <c r="R286" s="1">
        <v>42048</v>
      </c>
      <c r="S286" t="s">
        <v>75</v>
      </c>
      <c r="T286" t="s">
        <v>47</v>
      </c>
      <c r="U286" t="s">
        <v>48</v>
      </c>
      <c r="V286" t="s">
        <v>49</v>
      </c>
      <c r="W286" t="s">
        <v>113</v>
      </c>
      <c r="X286" t="s">
        <v>65</v>
      </c>
      <c r="Y286" t="s">
        <v>463</v>
      </c>
      <c r="Z286">
        <v>17</v>
      </c>
      <c r="AA286">
        <v>3</v>
      </c>
      <c r="AB286" t="s">
        <v>62</v>
      </c>
      <c r="AC286">
        <v>1</v>
      </c>
      <c r="AD286">
        <v>3</v>
      </c>
      <c r="AE286" t="s">
        <v>53</v>
      </c>
      <c r="AF286">
        <v>79560</v>
      </c>
      <c r="AG286">
        <v>13260</v>
      </c>
      <c r="AH286">
        <v>13260</v>
      </c>
      <c r="AI286">
        <v>53040</v>
      </c>
      <c r="AJ286" t="s">
        <v>129</v>
      </c>
      <c r="AK286" t="s">
        <v>172</v>
      </c>
      <c r="AL286">
        <v>2009</v>
      </c>
      <c r="AM286" t="s">
        <v>82</v>
      </c>
      <c r="AN286" s="2">
        <f t="shared" si="28"/>
        <v>57.254710056275997</v>
      </c>
      <c r="AO286">
        <f t="shared" si="29"/>
        <v>-78171.42</v>
      </c>
      <c r="AP286" s="2">
        <f t="shared" si="30"/>
        <v>1.7453023466271162E-2</v>
      </c>
      <c r="AQ286" s="2">
        <f t="shared" si="34"/>
        <v>6</v>
      </c>
      <c r="AR286">
        <f t="shared" si="31"/>
        <v>189</v>
      </c>
      <c r="AS286" t="str">
        <f t="shared" si="32"/>
        <v>High Claim Ratio</v>
      </c>
      <c r="AT286" t="str">
        <f t="shared" si="33"/>
        <v>High Profit</v>
      </c>
    </row>
    <row r="287" spans="1:46" x14ac:dyDescent="0.2">
      <c r="A287">
        <v>105</v>
      </c>
      <c r="B287">
        <v>33</v>
      </c>
      <c r="C287">
        <v>830414</v>
      </c>
      <c r="D287" s="1">
        <v>35254</v>
      </c>
      <c r="E287" t="s">
        <v>83</v>
      </c>
      <c r="F287" t="s">
        <v>91</v>
      </c>
      <c r="G287">
        <v>500</v>
      </c>
      <c r="H287">
        <v>1310.76</v>
      </c>
      <c r="I287">
        <v>0</v>
      </c>
      <c r="J287">
        <v>476737</v>
      </c>
      <c r="K287" t="s">
        <v>70</v>
      </c>
      <c r="L287" t="s">
        <v>131</v>
      </c>
      <c r="M287" t="s">
        <v>185</v>
      </c>
      <c r="N287" t="s">
        <v>170</v>
      </c>
      <c r="O287" t="s">
        <v>142</v>
      </c>
      <c r="P287">
        <v>0</v>
      </c>
      <c r="Q287">
        <v>-40900</v>
      </c>
      <c r="R287" s="1">
        <v>42052</v>
      </c>
      <c r="S287" t="s">
        <v>46</v>
      </c>
      <c r="T287" t="s">
        <v>86</v>
      </c>
      <c r="U287" t="s">
        <v>107</v>
      </c>
      <c r="V287" t="s">
        <v>120</v>
      </c>
      <c r="W287" t="s">
        <v>64</v>
      </c>
      <c r="X287" t="s">
        <v>156</v>
      </c>
      <c r="Y287" t="s">
        <v>464</v>
      </c>
      <c r="Z287">
        <v>8</v>
      </c>
      <c r="AA287">
        <v>1</v>
      </c>
      <c r="AB287" t="s">
        <v>53</v>
      </c>
      <c r="AC287">
        <v>0</v>
      </c>
      <c r="AD287">
        <v>1</v>
      </c>
      <c r="AE287" t="s">
        <v>62</v>
      </c>
      <c r="AF287">
        <v>70290</v>
      </c>
      <c r="AG287">
        <v>12780</v>
      </c>
      <c r="AH287">
        <v>6390</v>
      </c>
      <c r="AI287">
        <v>51120</v>
      </c>
      <c r="AJ287" t="s">
        <v>95</v>
      </c>
      <c r="AK287" t="s">
        <v>148</v>
      </c>
      <c r="AL287">
        <v>2008</v>
      </c>
      <c r="AM287" t="s">
        <v>82</v>
      </c>
      <c r="AN287" s="2">
        <f t="shared" si="28"/>
        <v>53.58449716411539</v>
      </c>
      <c r="AO287">
        <f t="shared" si="29"/>
        <v>-68979.240000000005</v>
      </c>
      <c r="AP287" s="2">
        <f t="shared" si="30"/>
        <v>1.8647622028424692E-2</v>
      </c>
      <c r="AQ287" s="2">
        <f t="shared" si="34"/>
        <v>7</v>
      </c>
      <c r="AR287">
        <f t="shared" si="31"/>
        <v>105</v>
      </c>
      <c r="AS287" t="str">
        <f t="shared" si="32"/>
        <v>High Claim Ratio</v>
      </c>
      <c r="AT287" t="str">
        <f t="shared" si="33"/>
        <v>High Profit</v>
      </c>
    </row>
    <row r="288" spans="1:46" x14ac:dyDescent="0.2">
      <c r="A288">
        <v>163</v>
      </c>
      <c r="B288">
        <v>31</v>
      </c>
      <c r="C288">
        <v>127313</v>
      </c>
      <c r="D288" s="1">
        <v>37347</v>
      </c>
      <c r="E288" t="s">
        <v>57</v>
      </c>
      <c r="F288" t="s">
        <v>69</v>
      </c>
      <c r="G288">
        <v>1000</v>
      </c>
      <c r="H288">
        <v>1004.63</v>
      </c>
      <c r="I288">
        <v>6000000</v>
      </c>
      <c r="J288">
        <v>460359</v>
      </c>
      <c r="K288" t="s">
        <v>41</v>
      </c>
      <c r="L288" t="s">
        <v>161</v>
      </c>
      <c r="M288" t="s">
        <v>117</v>
      </c>
      <c r="N288" t="s">
        <v>149</v>
      </c>
      <c r="O288" t="s">
        <v>142</v>
      </c>
      <c r="P288">
        <v>26900</v>
      </c>
      <c r="Q288">
        <v>0</v>
      </c>
      <c r="R288" s="1">
        <v>42011</v>
      </c>
      <c r="S288" t="s">
        <v>75</v>
      </c>
      <c r="T288" t="s">
        <v>76</v>
      </c>
      <c r="U288" t="s">
        <v>107</v>
      </c>
      <c r="V288" t="s">
        <v>136</v>
      </c>
      <c r="W288" t="s">
        <v>50</v>
      </c>
      <c r="X288" t="s">
        <v>122</v>
      </c>
      <c r="Y288" t="s">
        <v>465</v>
      </c>
      <c r="Z288">
        <v>14</v>
      </c>
      <c r="AA288">
        <v>3</v>
      </c>
      <c r="AB288" t="s">
        <v>53</v>
      </c>
      <c r="AC288">
        <v>2</v>
      </c>
      <c r="AD288">
        <v>0</v>
      </c>
      <c r="AE288" t="s">
        <v>79</v>
      </c>
      <c r="AF288">
        <v>63910</v>
      </c>
      <c r="AG288">
        <v>5810</v>
      </c>
      <c r="AH288">
        <v>11620</v>
      </c>
      <c r="AI288">
        <v>46480</v>
      </c>
      <c r="AJ288" t="s">
        <v>153</v>
      </c>
      <c r="AK288" t="s">
        <v>167</v>
      </c>
      <c r="AL288">
        <v>1999</v>
      </c>
      <c r="AM288" t="s">
        <v>82</v>
      </c>
      <c r="AN288" s="2">
        <f t="shared" si="28"/>
        <v>63.552201107763295</v>
      </c>
      <c r="AO288">
        <f t="shared" si="29"/>
        <v>-62905.37</v>
      </c>
      <c r="AP288" s="2">
        <f t="shared" si="30"/>
        <v>1.5719203267043232E-2</v>
      </c>
      <c r="AQ288" s="2">
        <f t="shared" si="34"/>
        <v>16</v>
      </c>
      <c r="AR288">
        <f t="shared" si="31"/>
        <v>163</v>
      </c>
      <c r="AS288" t="str">
        <f t="shared" si="32"/>
        <v>High Claim Ratio</v>
      </c>
      <c r="AT288" t="str">
        <f t="shared" si="33"/>
        <v>High Profit</v>
      </c>
    </row>
    <row r="289" spans="1:46" x14ac:dyDescent="0.2">
      <c r="A289">
        <v>219</v>
      </c>
      <c r="B289">
        <v>40</v>
      </c>
      <c r="C289">
        <v>786957</v>
      </c>
      <c r="D289" s="1">
        <v>39019</v>
      </c>
      <c r="E289" t="s">
        <v>39</v>
      </c>
      <c r="F289" t="s">
        <v>69</v>
      </c>
      <c r="G289">
        <v>500</v>
      </c>
      <c r="H289">
        <v>1134.9100000000001</v>
      </c>
      <c r="I289">
        <v>0</v>
      </c>
      <c r="J289">
        <v>452735</v>
      </c>
      <c r="K289" t="s">
        <v>70</v>
      </c>
      <c r="L289" t="s">
        <v>92</v>
      </c>
      <c r="M289" t="s">
        <v>145</v>
      </c>
      <c r="N289" t="s">
        <v>112</v>
      </c>
      <c r="O289" t="s">
        <v>142</v>
      </c>
      <c r="P289">
        <v>68700</v>
      </c>
      <c r="Q289">
        <v>0</v>
      </c>
      <c r="R289" s="1">
        <v>42033</v>
      </c>
      <c r="S289" t="s">
        <v>61</v>
      </c>
      <c r="T289" t="s">
        <v>62</v>
      </c>
      <c r="U289" t="s">
        <v>212</v>
      </c>
      <c r="V289" t="s">
        <v>93</v>
      </c>
      <c r="W289" t="s">
        <v>50</v>
      </c>
      <c r="X289" t="s">
        <v>65</v>
      </c>
      <c r="Y289" t="s">
        <v>466</v>
      </c>
      <c r="Z289">
        <v>6</v>
      </c>
      <c r="AA289">
        <v>1</v>
      </c>
      <c r="AB289" t="s">
        <v>62</v>
      </c>
      <c r="AC289">
        <v>1</v>
      </c>
      <c r="AD289">
        <v>0</v>
      </c>
      <c r="AE289" t="s">
        <v>79</v>
      </c>
      <c r="AF289">
        <v>6400</v>
      </c>
      <c r="AG289">
        <v>640</v>
      </c>
      <c r="AH289">
        <v>640</v>
      </c>
      <c r="AI289">
        <v>5120</v>
      </c>
      <c r="AJ289" t="s">
        <v>115</v>
      </c>
      <c r="AK289" t="s">
        <v>116</v>
      </c>
      <c r="AL289">
        <v>1997</v>
      </c>
      <c r="AM289" t="s">
        <v>82</v>
      </c>
      <c r="AN289" s="2">
        <f t="shared" si="28"/>
        <v>5.6342491922775571</v>
      </c>
      <c r="AO289">
        <f t="shared" si="29"/>
        <v>-5265.09</v>
      </c>
      <c r="AP289" s="2">
        <f t="shared" si="30"/>
        <v>0.17730198406498987</v>
      </c>
      <c r="AQ289" s="2">
        <f t="shared" si="34"/>
        <v>18</v>
      </c>
      <c r="AR289">
        <f t="shared" si="31"/>
        <v>219</v>
      </c>
      <c r="AS289" t="str">
        <f t="shared" si="32"/>
        <v>Medium Claim Ratio</v>
      </c>
      <c r="AT289" t="str">
        <f t="shared" si="33"/>
        <v>High Profit</v>
      </c>
    </row>
    <row r="290" spans="1:46" x14ac:dyDescent="0.2">
      <c r="A290">
        <v>88</v>
      </c>
      <c r="B290">
        <v>25</v>
      </c>
      <c r="C290">
        <v>332892</v>
      </c>
      <c r="D290" s="1">
        <v>39380</v>
      </c>
      <c r="E290" t="s">
        <v>57</v>
      </c>
      <c r="F290" t="s">
        <v>40</v>
      </c>
      <c r="G290">
        <v>1000</v>
      </c>
      <c r="H290">
        <v>1194</v>
      </c>
      <c r="I290">
        <v>0</v>
      </c>
      <c r="J290">
        <v>613583</v>
      </c>
      <c r="K290" t="s">
        <v>70</v>
      </c>
      <c r="L290" t="s">
        <v>161</v>
      </c>
      <c r="M290" t="s">
        <v>159</v>
      </c>
      <c r="N290" t="s">
        <v>146</v>
      </c>
      <c r="O290" t="s">
        <v>45</v>
      </c>
      <c r="P290">
        <v>0</v>
      </c>
      <c r="Q290">
        <v>0</v>
      </c>
      <c r="R290" s="1">
        <v>42048</v>
      </c>
      <c r="S290" t="s">
        <v>46</v>
      </c>
      <c r="T290" t="s">
        <v>76</v>
      </c>
      <c r="U290" t="s">
        <v>48</v>
      </c>
      <c r="V290" t="s">
        <v>136</v>
      </c>
      <c r="W290" t="s">
        <v>50</v>
      </c>
      <c r="X290" t="s">
        <v>156</v>
      </c>
      <c r="Y290" t="s">
        <v>467</v>
      </c>
      <c r="Z290">
        <v>6</v>
      </c>
      <c r="AA290">
        <v>1</v>
      </c>
      <c r="AB290" t="s">
        <v>53</v>
      </c>
      <c r="AC290">
        <v>1</v>
      </c>
      <c r="AD290">
        <v>2</v>
      </c>
      <c r="AE290" t="s">
        <v>53</v>
      </c>
      <c r="AF290">
        <v>66780</v>
      </c>
      <c r="AG290">
        <v>7420</v>
      </c>
      <c r="AH290">
        <v>7420</v>
      </c>
      <c r="AI290">
        <v>51940</v>
      </c>
      <c r="AJ290" t="s">
        <v>129</v>
      </c>
      <c r="AK290" t="s">
        <v>172</v>
      </c>
      <c r="AL290">
        <v>2013</v>
      </c>
      <c r="AM290" t="s">
        <v>56</v>
      </c>
      <c r="AN290" s="2">
        <f t="shared" si="28"/>
        <v>55.88284518828452</v>
      </c>
      <c r="AO290">
        <f t="shared" si="29"/>
        <v>-65586</v>
      </c>
      <c r="AP290" s="2">
        <f t="shared" si="30"/>
        <v>1.7879336937152782E-2</v>
      </c>
      <c r="AQ290" s="2">
        <f t="shared" si="34"/>
        <v>2</v>
      </c>
      <c r="AR290">
        <f t="shared" si="31"/>
        <v>88</v>
      </c>
      <c r="AS290" t="str">
        <f t="shared" si="32"/>
        <v>High Claim Ratio</v>
      </c>
      <c r="AT290" t="str">
        <f t="shared" si="33"/>
        <v>High Profit</v>
      </c>
    </row>
    <row r="291" spans="1:46" x14ac:dyDescent="0.2">
      <c r="A291">
        <v>40</v>
      </c>
      <c r="B291">
        <v>39</v>
      </c>
      <c r="C291">
        <v>448642</v>
      </c>
      <c r="D291" s="1">
        <v>36978</v>
      </c>
      <c r="E291" t="s">
        <v>57</v>
      </c>
      <c r="F291" t="s">
        <v>91</v>
      </c>
      <c r="G291">
        <v>1000</v>
      </c>
      <c r="H291">
        <v>1248.25</v>
      </c>
      <c r="I291">
        <v>4000000</v>
      </c>
      <c r="J291">
        <v>605692</v>
      </c>
      <c r="K291" t="s">
        <v>70</v>
      </c>
      <c r="L291" t="s">
        <v>141</v>
      </c>
      <c r="M291" t="s">
        <v>72</v>
      </c>
      <c r="N291" t="s">
        <v>149</v>
      </c>
      <c r="O291" t="s">
        <v>74</v>
      </c>
      <c r="P291">
        <v>0</v>
      </c>
      <c r="Q291">
        <v>-33300</v>
      </c>
      <c r="R291" s="1">
        <v>42036</v>
      </c>
      <c r="S291" t="s">
        <v>138</v>
      </c>
      <c r="T291" t="s">
        <v>62</v>
      </c>
      <c r="U291" t="s">
        <v>63</v>
      </c>
      <c r="V291" t="s">
        <v>49</v>
      </c>
      <c r="W291" t="s">
        <v>64</v>
      </c>
      <c r="X291" t="s">
        <v>156</v>
      </c>
      <c r="Y291" t="s">
        <v>468</v>
      </c>
      <c r="Z291">
        <v>8</v>
      </c>
      <c r="AA291">
        <v>1</v>
      </c>
      <c r="AB291" t="s">
        <v>79</v>
      </c>
      <c r="AC291">
        <v>0</v>
      </c>
      <c r="AD291">
        <v>2</v>
      </c>
      <c r="AE291" t="s">
        <v>62</v>
      </c>
      <c r="AF291">
        <v>8760</v>
      </c>
      <c r="AG291">
        <v>1460</v>
      </c>
      <c r="AH291">
        <v>1460</v>
      </c>
      <c r="AI291">
        <v>5840</v>
      </c>
      <c r="AJ291" t="s">
        <v>187</v>
      </c>
      <c r="AK291" t="s">
        <v>188</v>
      </c>
      <c r="AL291">
        <v>2013</v>
      </c>
      <c r="AM291" t="s">
        <v>82</v>
      </c>
      <c r="AN291" s="2">
        <f t="shared" si="28"/>
        <v>7.0122073243946366</v>
      </c>
      <c r="AO291">
        <f t="shared" si="29"/>
        <v>-7511.75</v>
      </c>
      <c r="AP291" s="2">
        <f t="shared" si="30"/>
        <v>0.14247802762241754</v>
      </c>
      <c r="AQ291" s="2">
        <f t="shared" si="34"/>
        <v>2</v>
      </c>
      <c r="AR291">
        <f t="shared" si="31"/>
        <v>40</v>
      </c>
      <c r="AS291" t="str">
        <f t="shared" si="32"/>
        <v>Medium Claim Ratio</v>
      </c>
      <c r="AT291" t="str">
        <f t="shared" si="33"/>
        <v>High Profit</v>
      </c>
    </row>
    <row r="292" spans="1:46" x14ac:dyDescent="0.2">
      <c r="A292">
        <v>284</v>
      </c>
      <c r="B292">
        <v>42</v>
      </c>
      <c r="C292">
        <v>526039</v>
      </c>
      <c r="D292" s="1">
        <v>34823</v>
      </c>
      <c r="E292" t="s">
        <v>39</v>
      </c>
      <c r="F292" t="s">
        <v>69</v>
      </c>
      <c r="G292">
        <v>500</v>
      </c>
      <c r="H292">
        <v>1338.54</v>
      </c>
      <c r="I292">
        <v>-1000000</v>
      </c>
      <c r="J292">
        <v>438178</v>
      </c>
      <c r="K292" t="s">
        <v>41</v>
      </c>
      <c r="L292" t="s">
        <v>92</v>
      </c>
      <c r="M292" t="s">
        <v>58</v>
      </c>
      <c r="N292" t="s">
        <v>170</v>
      </c>
      <c r="O292" t="s">
        <v>119</v>
      </c>
      <c r="P292">
        <v>0</v>
      </c>
      <c r="Q292">
        <v>0</v>
      </c>
      <c r="R292" s="1">
        <v>42033</v>
      </c>
      <c r="S292" t="s">
        <v>46</v>
      </c>
      <c r="T292" t="s">
        <v>47</v>
      </c>
      <c r="U292" t="s">
        <v>48</v>
      </c>
      <c r="V292" t="s">
        <v>136</v>
      </c>
      <c r="W292" t="s">
        <v>121</v>
      </c>
      <c r="X292" t="s">
        <v>87</v>
      </c>
      <c r="Y292" t="s">
        <v>469</v>
      </c>
      <c r="Z292">
        <v>13</v>
      </c>
      <c r="AA292">
        <v>1</v>
      </c>
      <c r="AB292" t="s">
        <v>53</v>
      </c>
      <c r="AC292">
        <v>0</v>
      </c>
      <c r="AD292">
        <v>1</v>
      </c>
      <c r="AE292" t="s">
        <v>62</v>
      </c>
      <c r="AF292">
        <v>94160</v>
      </c>
      <c r="AG292">
        <v>8560</v>
      </c>
      <c r="AH292">
        <v>17120</v>
      </c>
      <c r="AI292">
        <v>68480</v>
      </c>
      <c r="AJ292" t="s">
        <v>89</v>
      </c>
      <c r="AK292" t="s">
        <v>245</v>
      </c>
      <c r="AL292">
        <v>1996</v>
      </c>
      <c r="AM292" t="s">
        <v>82</v>
      </c>
      <c r="AN292" s="2">
        <f t="shared" si="28"/>
        <v>70.292787076160479</v>
      </c>
      <c r="AO292">
        <f t="shared" si="29"/>
        <v>-92821.46</v>
      </c>
      <c r="AP292" s="2">
        <f t="shared" si="30"/>
        <v>1.4215439513174244E-2</v>
      </c>
      <c r="AQ292" s="2">
        <f t="shared" si="34"/>
        <v>19</v>
      </c>
      <c r="AR292">
        <f t="shared" si="31"/>
        <v>284</v>
      </c>
      <c r="AS292" t="str">
        <f t="shared" si="32"/>
        <v>High Claim Ratio</v>
      </c>
      <c r="AT292" t="str">
        <f t="shared" si="33"/>
        <v>High Profit</v>
      </c>
    </row>
    <row r="293" spans="1:46" x14ac:dyDescent="0.2">
      <c r="A293">
        <v>59</v>
      </c>
      <c r="B293">
        <v>40</v>
      </c>
      <c r="C293">
        <v>444422</v>
      </c>
      <c r="D293" s="1">
        <v>40814</v>
      </c>
      <c r="E293" t="s">
        <v>83</v>
      </c>
      <c r="F293" t="s">
        <v>40</v>
      </c>
      <c r="G293">
        <v>2000</v>
      </c>
      <c r="H293">
        <v>782.23</v>
      </c>
      <c r="I293">
        <v>0</v>
      </c>
      <c r="J293">
        <v>449221</v>
      </c>
      <c r="K293" t="s">
        <v>41</v>
      </c>
      <c r="L293" t="s">
        <v>141</v>
      </c>
      <c r="M293" t="s">
        <v>135</v>
      </c>
      <c r="N293" t="s">
        <v>112</v>
      </c>
      <c r="O293" t="s">
        <v>60</v>
      </c>
      <c r="P293">
        <v>64200</v>
      </c>
      <c r="Q293">
        <v>-32300</v>
      </c>
      <c r="R293" s="1">
        <v>42041</v>
      </c>
      <c r="S293" t="s">
        <v>75</v>
      </c>
      <c r="T293" t="s">
        <v>86</v>
      </c>
      <c r="U293" t="s">
        <v>107</v>
      </c>
      <c r="V293" t="s">
        <v>136</v>
      </c>
      <c r="W293" t="s">
        <v>39</v>
      </c>
      <c r="X293" t="s">
        <v>102</v>
      </c>
      <c r="Y293" t="s">
        <v>470</v>
      </c>
      <c r="Z293">
        <v>0</v>
      </c>
      <c r="AA293">
        <v>3</v>
      </c>
      <c r="AB293" t="s">
        <v>62</v>
      </c>
      <c r="AC293">
        <v>0</v>
      </c>
      <c r="AD293">
        <v>2</v>
      </c>
      <c r="AE293" t="s">
        <v>79</v>
      </c>
      <c r="AF293">
        <v>51570</v>
      </c>
      <c r="AG293">
        <v>5730</v>
      </c>
      <c r="AH293">
        <v>11460</v>
      </c>
      <c r="AI293">
        <v>34380</v>
      </c>
      <c r="AJ293" t="s">
        <v>187</v>
      </c>
      <c r="AK293" t="s">
        <v>203</v>
      </c>
      <c r="AL293">
        <v>2010</v>
      </c>
      <c r="AM293" t="s">
        <v>82</v>
      </c>
      <c r="AN293" s="2">
        <f t="shared" si="28"/>
        <v>65.84272818967608</v>
      </c>
      <c r="AO293">
        <f t="shared" si="29"/>
        <v>-50787.77</v>
      </c>
      <c r="AP293" s="2">
        <f t="shared" si="30"/>
        <v>1.5168020786876346E-2</v>
      </c>
      <c r="AQ293" s="2">
        <f t="shared" si="34"/>
        <v>5</v>
      </c>
      <c r="AR293">
        <f t="shared" si="31"/>
        <v>59</v>
      </c>
      <c r="AS293" t="str">
        <f t="shared" si="32"/>
        <v>High Claim Ratio</v>
      </c>
      <c r="AT293" t="str">
        <f t="shared" si="33"/>
        <v>High Profit</v>
      </c>
    </row>
    <row r="294" spans="1:46" x14ac:dyDescent="0.2">
      <c r="A294">
        <v>39</v>
      </c>
      <c r="B294">
        <v>31</v>
      </c>
      <c r="C294">
        <v>689500</v>
      </c>
      <c r="D294" s="1">
        <v>37649</v>
      </c>
      <c r="E294" t="s">
        <v>83</v>
      </c>
      <c r="F294" t="s">
        <v>40</v>
      </c>
      <c r="G294">
        <v>2000</v>
      </c>
      <c r="H294">
        <v>1366.9</v>
      </c>
      <c r="I294">
        <v>0</v>
      </c>
      <c r="J294">
        <v>459322</v>
      </c>
      <c r="K294" t="s">
        <v>70</v>
      </c>
      <c r="L294" t="s">
        <v>131</v>
      </c>
      <c r="M294" t="s">
        <v>159</v>
      </c>
      <c r="N294" t="s">
        <v>173</v>
      </c>
      <c r="O294" t="s">
        <v>45</v>
      </c>
      <c r="P294">
        <v>0</v>
      </c>
      <c r="Q294">
        <v>-15700</v>
      </c>
      <c r="R294" s="1">
        <v>42032</v>
      </c>
      <c r="S294" t="s">
        <v>75</v>
      </c>
      <c r="T294" t="s">
        <v>76</v>
      </c>
      <c r="U294" t="s">
        <v>48</v>
      </c>
      <c r="V294" t="s">
        <v>99</v>
      </c>
      <c r="W294" t="s">
        <v>121</v>
      </c>
      <c r="X294" t="s">
        <v>127</v>
      </c>
      <c r="Y294" t="s">
        <v>471</v>
      </c>
      <c r="Z294">
        <v>14</v>
      </c>
      <c r="AA294">
        <v>3</v>
      </c>
      <c r="AB294" t="s">
        <v>62</v>
      </c>
      <c r="AC294">
        <v>1</v>
      </c>
      <c r="AD294">
        <v>0</v>
      </c>
      <c r="AE294" t="s">
        <v>79</v>
      </c>
      <c r="AF294">
        <v>52700</v>
      </c>
      <c r="AG294">
        <v>10540</v>
      </c>
      <c r="AH294">
        <v>10540</v>
      </c>
      <c r="AI294">
        <v>31620</v>
      </c>
      <c r="AJ294" t="s">
        <v>187</v>
      </c>
      <c r="AK294" t="s">
        <v>238</v>
      </c>
      <c r="AL294">
        <v>2014</v>
      </c>
      <c r="AM294" t="s">
        <v>56</v>
      </c>
      <c r="AN294" s="2">
        <f t="shared" si="28"/>
        <v>38.526208056144455</v>
      </c>
      <c r="AO294">
        <f t="shared" si="29"/>
        <v>-51333.1</v>
      </c>
      <c r="AP294" s="2">
        <f t="shared" si="30"/>
        <v>2.5936889243088367E-2</v>
      </c>
      <c r="AQ294" s="2">
        <f t="shared" si="34"/>
        <v>1</v>
      </c>
      <c r="AR294">
        <f t="shared" si="31"/>
        <v>39</v>
      </c>
      <c r="AS294" t="str">
        <f t="shared" si="32"/>
        <v>High Claim Ratio</v>
      </c>
      <c r="AT294" t="str">
        <f t="shared" si="33"/>
        <v>High Profit</v>
      </c>
    </row>
    <row r="295" spans="1:46" x14ac:dyDescent="0.2">
      <c r="A295">
        <v>147</v>
      </c>
      <c r="B295">
        <v>34</v>
      </c>
      <c r="C295">
        <v>806081</v>
      </c>
      <c r="D295" s="1">
        <v>40575</v>
      </c>
      <c r="E295" t="s">
        <v>83</v>
      </c>
      <c r="F295" t="s">
        <v>91</v>
      </c>
      <c r="G295">
        <v>1000</v>
      </c>
      <c r="H295">
        <v>1275.81</v>
      </c>
      <c r="I295">
        <v>0</v>
      </c>
      <c r="J295">
        <v>472657</v>
      </c>
      <c r="K295" t="s">
        <v>41</v>
      </c>
      <c r="L295" t="s">
        <v>131</v>
      </c>
      <c r="M295" t="s">
        <v>72</v>
      </c>
      <c r="N295" t="s">
        <v>126</v>
      </c>
      <c r="O295" t="s">
        <v>119</v>
      </c>
      <c r="P295">
        <v>0</v>
      </c>
      <c r="Q295">
        <v>-48300</v>
      </c>
      <c r="R295" s="1">
        <v>42025</v>
      </c>
      <c r="S295" t="s">
        <v>46</v>
      </c>
      <c r="T295" t="s">
        <v>47</v>
      </c>
      <c r="U295" t="s">
        <v>63</v>
      </c>
      <c r="V295" t="s">
        <v>99</v>
      </c>
      <c r="W295" t="s">
        <v>77</v>
      </c>
      <c r="X295" t="s">
        <v>51</v>
      </c>
      <c r="Y295" t="s">
        <v>472</v>
      </c>
      <c r="Z295">
        <v>13</v>
      </c>
      <c r="AA295">
        <v>1</v>
      </c>
      <c r="AB295" t="s">
        <v>53</v>
      </c>
      <c r="AC295">
        <v>2</v>
      </c>
      <c r="AD295">
        <v>2</v>
      </c>
      <c r="AE295" t="s">
        <v>62</v>
      </c>
      <c r="AF295">
        <v>101010</v>
      </c>
      <c r="AG295">
        <v>15540</v>
      </c>
      <c r="AH295">
        <v>15540</v>
      </c>
      <c r="AI295">
        <v>69930</v>
      </c>
      <c r="AJ295" t="s">
        <v>67</v>
      </c>
      <c r="AK295" t="s">
        <v>271</v>
      </c>
      <c r="AL295">
        <v>1998</v>
      </c>
      <c r="AM295" t="s">
        <v>82</v>
      </c>
      <c r="AN295" s="2">
        <f t="shared" si="28"/>
        <v>79.111222499823782</v>
      </c>
      <c r="AO295">
        <f t="shared" si="29"/>
        <v>-99734.19</v>
      </c>
      <c r="AP295" s="2">
        <f t="shared" si="30"/>
        <v>1.2630406589381355E-2</v>
      </c>
      <c r="AQ295" s="2">
        <f t="shared" si="34"/>
        <v>17</v>
      </c>
      <c r="AR295">
        <f t="shared" si="31"/>
        <v>147</v>
      </c>
      <c r="AS295" t="str">
        <f t="shared" si="32"/>
        <v>High Claim Ratio</v>
      </c>
      <c r="AT295" t="str">
        <f t="shared" si="33"/>
        <v>High Profit</v>
      </c>
    </row>
    <row r="296" spans="1:46" x14ac:dyDescent="0.2">
      <c r="A296">
        <v>156</v>
      </c>
      <c r="B296">
        <v>37</v>
      </c>
      <c r="C296">
        <v>384618</v>
      </c>
      <c r="D296" s="1">
        <v>34009</v>
      </c>
      <c r="E296" t="s">
        <v>57</v>
      </c>
      <c r="F296" t="s">
        <v>40</v>
      </c>
      <c r="G296">
        <v>500</v>
      </c>
      <c r="H296">
        <v>1090.6500000000001</v>
      </c>
      <c r="I296">
        <v>0</v>
      </c>
      <c r="J296">
        <v>608331</v>
      </c>
      <c r="K296" t="s">
        <v>41</v>
      </c>
      <c r="L296" t="s">
        <v>131</v>
      </c>
      <c r="M296" t="s">
        <v>125</v>
      </c>
      <c r="N296" t="s">
        <v>112</v>
      </c>
      <c r="O296" t="s">
        <v>85</v>
      </c>
      <c r="P296">
        <v>0</v>
      </c>
      <c r="Q296">
        <v>-51800</v>
      </c>
      <c r="R296" s="1">
        <v>42020</v>
      </c>
      <c r="S296" t="s">
        <v>75</v>
      </c>
      <c r="T296" t="s">
        <v>76</v>
      </c>
      <c r="U296" t="s">
        <v>63</v>
      </c>
      <c r="V296" t="s">
        <v>49</v>
      </c>
      <c r="W296" t="s">
        <v>121</v>
      </c>
      <c r="X296" t="s">
        <v>51</v>
      </c>
      <c r="Y296" t="s">
        <v>473</v>
      </c>
      <c r="Z296">
        <v>16</v>
      </c>
      <c r="AA296">
        <v>4</v>
      </c>
      <c r="AB296" t="s">
        <v>62</v>
      </c>
      <c r="AC296">
        <v>1</v>
      </c>
      <c r="AD296">
        <v>2</v>
      </c>
      <c r="AE296" t="s">
        <v>53</v>
      </c>
      <c r="AF296">
        <v>53400</v>
      </c>
      <c r="AG296">
        <v>5340</v>
      </c>
      <c r="AH296">
        <v>5340</v>
      </c>
      <c r="AI296">
        <v>42720</v>
      </c>
      <c r="AJ296" t="s">
        <v>209</v>
      </c>
      <c r="AK296" t="s">
        <v>210</v>
      </c>
      <c r="AL296">
        <v>2010</v>
      </c>
      <c r="AM296" t="s">
        <v>56</v>
      </c>
      <c r="AN296" s="2">
        <f t="shared" si="28"/>
        <v>48.916777355379466</v>
      </c>
      <c r="AO296">
        <f t="shared" si="29"/>
        <v>-52309.35</v>
      </c>
      <c r="AP296" s="2">
        <f t="shared" si="30"/>
        <v>2.0423774835677238E-2</v>
      </c>
      <c r="AQ296" s="2">
        <f t="shared" si="34"/>
        <v>5</v>
      </c>
      <c r="AR296">
        <f t="shared" si="31"/>
        <v>156</v>
      </c>
      <c r="AS296" t="str">
        <f t="shared" si="32"/>
        <v>High Claim Ratio</v>
      </c>
      <c r="AT296" t="str">
        <f t="shared" si="33"/>
        <v>High Profit</v>
      </c>
    </row>
    <row r="297" spans="1:46" x14ac:dyDescent="0.2">
      <c r="A297">
        <v>123</v>
      </c>
      <c r="B297">
        <v>31</v>
      </c>
      <c r="C297">
        <v>756459</v>
      </c>
      <c r="D297" s="1">
        <v>38569</v>
      </c>
      <c r="E297" t="s">
        <v>57</v>
      </c>
      <c r="F297" t="s">
        <v>40</v>
      </c>
      <c r="G297">
        <v>500</v>
      </c>
      <c r="H297">
        <v>1326</v>
      </c>
      <c r="I297">
        <v>0</v>
      </c>
      <c r="J297">
        <v>438546</v>
      </c>
      <c r="K297" t="s">
        <v>70</v>
      </c>
      <c r="L297" t="s">
        <v>92</v>
      </c>
      <c r="M297" t="s">
        <v>101</v>
      </c>
      <c r="N297" t="s">
        <v>179</v>
      </c>
      <c r="O297" t="s">
        <v>119</v>
      </c>
      <c r="P297">
        <v>0</v>
      </c>
      <c r="Q297">
        <v>-54600</v>
      </c>
      <c r="R297" s="1">
        <v>42052</v>
      </c>
      <c r="S297" t="s">
        <v>46</v>
      </c>
      <c r="T297" t="s">
        <v>47</v>
      </c>
      <c r="U297" t="s">
        <v>107</v>
      </c>
      <c r="V297" t="s">
        <v>99</v>
      </c>
      <c r="W297" t="s">
        <v>50</v>
      </c>
      <c r="X297" t="s">
        <v>156</v>
      </c>
      <c r="Y297" t="s">
        <v>474</v>
      </c>
      <c r="Z297">
        <v>13</v>
      </c>
      <c r="AA297">
        <v>1</v>
      </c>
      <c r="AB297" t="s">
        <v>62</v>
      </c>
      <c r="AC297">
        <v>1</v>
      </c>
      <c r="AD297">
        <v>2</v>
      </c>
      <c r="AE297" t="s">
        <v>79</v>
      </c>
      <c r="AF297">
        <v>72120</v>
      </c>
      <c r="AG297">
        <v>12020</v>
      </c>
      <c r="AH297">
        <v>12020</v>
      </c>
      <c r="AI297">
        <v>48080</v>
      </c>
      <c r="AJ297" t="s">
        <v>67</v>
      </c>
      <c r="AK297" t="s">
        <v>271</v>
      </c>
      <c r="AL297">
        <v>2009</v>
      </c>
      <c r="AM297" t="s">
        <v>82</v>
      </c>
      <c r="AN297" s="2">
        <f t="shared" si="28"/>
        <v>54.348153730218542</v>
      </c>
      <c r="AO297">
        <f t="shared" si="29"/>
        <v>-70794</v>
      </c>
      <c r="AP297" s="2">
        <f t="shared" si="30"/>
        <v>1.8385768361503584E-2</v>
      </c>
      <c r="AQ297" s="2">
        <f t="shared" si="34"/>
        <v>6</v>
      </c>
      <c r="AR297">
        <f t="shared" si="31"/>
        <v>123</v>
      </c>
      <c r="AS297" t="str">
        <f t="shared" si="32"/>
        <v>High Claim Ratio</v>
      </c>
      <c r="AT297" t="str">
        <f t="shared" si="33"/>
        <v>High Profit</v>
      </c>
    </row>
    <row r="298" spans="1:46" x14ac:dyDescent="0.2">
      <c r="A298">
        <v>231</v>
      </c>
      <c r="B298">
        <v>43</v>
      </c>
      <c r="C298">
        <v>655787</v>
      </c>
      <c r="D298" s="1">
        <v>38885</v>
      </c>
      <c r="E298" t="s">
        <v>83</v>
      </c>
      <c r="F298" t="s">
        <v>40</v>
      </c>
      <c r="G298">
        <v>2000</v>
      </c>
      <c r="H298">
        <v>972.47</v>
      </c>
      <c r="I298">
        <v>0</v>
      </c>
      <c r="J298">
        <v>441981</v>
      </c>
      <c r="K298" t="s">
        <v>41</v>
      </c>
      <c r="L298" t="s">
        <v>141</v>
      </c>
      <c r="M298" t="s">
        <v>135</v>
      </c>
      <c r="N298" t="s">
        <v>59</v>
      </c>
      <c r="O298" t="s">
        <v>119</v>
      </c>
      <c r="P298">
        <v>0</v>
      </c>
      <c r="Q298">
        <v>-58100</v>
      </c>
      <c r="R298" s="1">
        <v>42036</v>
      </c>
      <c r="S298" t="s">
        <v>75</v>
      </c>
      <c r="T298" t="s">
        <v>86</v>
      </c>
      <c r="U298" t="s">
        <v>63</v>
      </c>
      <c r="V298" t="s">
        <v>49</v>
      </c>
      <c r="W298" t="s">
        <v>175</v>
      </c>
      <c r="X298" t="s">
        <v>122</v>
      </c>
      <c r="Y298" t="s">
        <v>475</v>
      </c>
      <c r="Z298">
        <v>15</v>
      </c>
      <c r="AA298">
        <v>3</v>
      </c>
      <c r="AB298" t="s">
        <v>53</v>
      </c>
      <c r="AC298">
        <v>2</v>
      </c>
      <c r="AD298">
        <v>2</v>
      </c>
      <c r="AE298" t="s">
        <v>53</v>
      </c>
      <c r="AF298">
        <v>77100</v>
      </c>
      <c r="AG298">
        <v>7710</v>
      </c>
      <c r="AH298">
        <v>15420</v>
      </c>
      <c r="AI298">
        <v>53970</v>
      </c>
      <c r="AJ298" t="s">
        <v>109</v>
      </c>
      <c r="AK298" t="s">
        <v>134</v>
      </c>
      <c r="AL298">
        <v>2010</v>
      </c>
      <c r="AM298" t="s">
        <v>82</v>
      </c>
      <c r="AN298" s="2">
        <f t="shared" si="28"/>
        <v>79.20120804955468</v>
      </c>
      <c r="AO298">
        <f t="shared" si="29"/>
        <v>-76127.53</v>
      </c>
      <c r="AP298" s="2">
        <f t="shared" si="30"/>
        <v>1.2612936278388089E-2</v>
      </c>
      <c r="AQ298" s="2">
        <f t="shared" si="34"/>
        <v>5</v>
      </c>
      <c r="AR298">
        <f t="shared" si="31"/>
        <v>231</v>
      </c>
      <c r="AS298" t="str">
        <f t="shared" si="32"/>
        <v>High Claim Ratio</v>
      </c>
      <c r="AT298" t="str">
        <f t="shared" si="33"/>
        <v>High Profit</v>
      </c>
    </row>
    <row r="299" spans="1:46" x14ac:dyDescent="0.2">
      <c r="A299">
        <v>247</v>
      </c>
      <c r="B299">
        <v>39</v>
      </c>
      <c r="C299">
        <v>419954</v>
      </c>
      <c r="D299" s="1">
        <v>34310</v>
      </c>
      <c r="E299" t="s">
        <v>83</v>
      </c>
      <c r="F299" t="s">
        <v>69</v>
      </c>
      <c r="G299">
        <v>500</v>
      </c>
      <c r="H299">
        <v>806.31</v>
      </c>
      <c r="I299">
        <v>0</v>
      </c>
      <c r="J299">
        <v>602177</v>
      </c>
      <c r="K299" t="s">
        <v>70</v>
      </c>
      <c r="L299" t="s">
        <v>141</v>
      </c>
      <c r="M299" t="s">
        <v>159</v>
      </c>
      <c r="N299" t="s">
        <v>126</v>
      </c>
      <c r="O299" t="s">
        <v>119</v>
      </c>
      <c r="P299">
        <v>0</v>
      </c>
      <c r="Q299">
        <v>0</v>
      </c>
      <c r="R299" s="1">
        <v>42060</v>
      </c>
      <c r="S299" t="s">
        <v>138</v>
      </c>
      <c r="T299" t="s">
        <v>62</v>
      </c>
      <c r="U299" t="s">
        <v>212</v>
      </c>
      <c r="V299" t="s">
        <v>49</v>
      </c>
      <c r="W299" t="s">
        <v>50</v>
      </c>
      <c r="X299" t="s">
        <v>127</v>
      </c>
      <c r="Y299" t="s">
        <v>476</v>
      </c>
      <c r="Z299">
        <v>3</v>
      </c>
      <c r="AA299">
        <v>1</v>
      </c>
      <c r="AB299" t="s">
        <v>62</v>
      </c>
      <c r="AC299">
        <v>2</v>
      </c>
      <c r="AD299">
        <v>3</v>
      </c>
      <c r="AE299" t="s">
        <v>62</v>
      </c>
      <c r="AF299">
        <v>3300</v>
      </c>
      <c r="AG299">
        <v>600</v>
      </c>
      <c r="AH299">
        <v>0</v>
      </c>
      <c r="AI299">
        <v>2700</v>
      </c>
      <c r="AJ299" t="s">
        <v>80</v>
      </c>
      <c r="AK299" t="s">
        <v>81</v>
      </c>
      <c r="AL299">
        <v>2003</v>
      </c>
      <c r="AM299" t="s">
        <v>82</v>
      </c>
      <c r="AN299" s="2">
        <f t="shared" si="28"/>
        <v>4.0876491062912637</v>
      </c>
      <c r="AO299">
        <f t="shared" si="29"/>
        <v>-2493.69</v>
      </c>
      <c r="AP299" s="2">
        <f t="shared" si="30"/>
        <v>0.24426234474401695</v>
      </c>
      <c r="AQ299" s="2">
        <f t="shared" si="34"/>
        <v>12</v>
      </c>
      <c r="AR299">
        <f t="shared" si="31"/>
        <v>247</v>
      </c>
      <c r="AS299" t="str">
        <f t="shared" si="32"/>
        <v>Low Claim Ratio</v>
      </c>
      <c r="AT299" t="str">
        <f t="shared" si="33"/>
        <v>Low Profit</v>
      </c>
    </row>
    <row r="300" spans="1:46" x14ac:dyDescent="0.2">
      <c r="A300">
        <v>194</v>
      </c>
      <c r="B300">
        <v>35</v>
      </c>
      <c r="C300">
        <v>275092</v>
      </c>
      <c r="D300" s="1">
        <v>40982</v>
      </c>
      <c r="E300" t="s">
        <v>83</v>
      </c>
      <c r="F300" t="s">
        <v>91</v>
      </c>
      <c r="G300">
        <v>500</v>
      </c>
      <c r="H300">
        <v>1416.24</v>
      </c>
      <c r="I300">
        <v>0</v>
      </c>
      <c r="J300">
        <v>441659</v>
      </c>
      <c r="K300" t="s">
        <v>70</v>
      </c>
      <c r="L300" t="s">
        <v>42</v>
      </c>
      <c r="M300" t="s">
        <v>185</v>
      </c>
      <c r="N300" t="s">
        <v>112</v>
      </c>
      <c r="O300" t="s">
        <v>142</v>
      </c>
      <c r="P300">
        <v>0</v>
      </c>
      <c r="Q300">
        <v>0</v>
      </c>
      <c r="R300" s="1">
        <v>42061</v>
      </c>
      <c r="S300" t="s">
        <v>138</v>
      </c>
      <c r="T300" t="s">
        <v>62</v>
      </c>
      <c r="U300" t="s">
        <v>63</v>
      </c>
      <c r="V300" t="s">
        <v>93</v>
      </c>
      <c r="W300" t="s">
        <v>113</v>
      </c>
      <c r="X300" t="s">
        <v>127</v>
      </c>
      <c r="Y300" t="s">
        <v>477</v>
      </c>
      <c r="Z300">
        <v>7</v>
      </c>
      <c r="AA300">
        <v>1</v>
      </c>
      <c r="AB300" t="s">
        <v>53</v>
      </c>
      <c r="AC300">
        <v>1</v>
      </c>
      <c r="AD300">
        <v>0</v>
      </c>
      <c r="AE300" t="s">
        <v>62</v>
      </c>
      <c r="AF300">
        <v>5940</v>
      </c>
      <c r="AG300">
        <v>1080</v>
      </c>
      <c r="AH300">
        <v>540</v>
      </c>
      <c r="AI300">
        <v>4320</v>
      </c>
      <c r="AJ300" t="s">
        <v>104</v>
      </c>
      <c r="AK300" t="s">
        <v>105</v>
      </c>
      <c r="AL300">
        <v>2003</v>
      </c>
      <c r="AM300" t="s">
        <v>82</v>
      </c>
      <c r="AN300" s="2">
        <f t="shared" si="28"/>
        <v>4.1912449549829249</v>
      </c>
      <c r="AO300">
        <f t="shared" si="29"/>
        <v>-4523.76</v>
      </c>
      <c r="AP300" s="2">
        <f t="shared" si="30"/>
        <v>0.23838411041912136</v>
      </c>
      <c r="AQ300" s="2">
        <f t="shared" si="34"/>
        <v>12</v>
      </c>
      <c r="AR300">
        <f t="shared" si="31"/>
        <v>194</v>
      </c>
      <c r="AS300" t="str">
        <f t="shared" si="32"/>
        <v>Low Claim Ratio</v>
      </c>
      <c r="AT300" t="str">
        <f t="shared" si="33"/>
        <v>Low Profit</v>
      </c>
    </row>
    <row r="301" spans="1:46" x14ac:dyDescent="0.2">
      <c r="A301">
        <v>119</v>
      </c>
      <c r="B301">
        <v>27</v>
      </c>
      <c r="C301">
        <v>515698</v>
      </c>
      <c r="D301" s="1">
        <v>35647</v>
      </c>
      <c r="E301" t="s">
        <v>57</v>
      </c>
      <c r="F301" t="s">
        <v>40</v>
      </c>
      <c r="G301">
        <v>2000</v>
      </c>
      <c r="H301">
        <v>1097.6400000000001</v>
      </c>
      <c r="I301">
        <v>0</v>
      </c>
      <c r="J301">
        <v>614812</v>
      </c>
      <c r="K301" t="s">
        <v>41</v>
      </c>
      <c r="L301" t="s">
        <v>131</v>
      </c>
      <c r="M301" t="s">
        <v>145</v>
      </c>
      <c r="N301" t="s">
        <v>181</v>
      </c>
      <c r="O301" t="s">
        <v>60</v>
      </c>
      <c r="P301">
        <v>27100</v>
      </c>
      <c r="Q301">
        <v>0</v>
      </c>
      <c r="R301" s="1">
        <v>42041</v>
      </c>
      <c r="S301" t="s">
        <v>75</v>
      </c>
      <c r="T301" t="s">
        <v>76</v>
      </c>
      <c r="U301" t="s">
        <v>48</v>
      </c>
      <c r="V301" t="s">
        <v>120</v>
      </c>
      <c r="W301" t="s">
        <v>175</v>
      </c>
      <c r="X301" t="s">
        <v>127</v>
      </c>
      <c r="Y301" t="s">
        <v>478</v>
      </c>
      <c r="Z301">
        <v>16</v>
      </c>
      <c r="AA301">
        <v>2</v>
      </c>
      <c r="AB301" t="s">
        <v>79</v>
      </c>
      <c r="AC301">
        <v>1</v>
      </c>
      <c r="AD301">
        <v>0</v>
      </c>
      <c r="AE301" t="s">
        <v>62</v>
      </c>
      <c r="AF301">
        <v>63720</v>
      </c>
      <c r="AG301">
        <v>7080</v>
      </c>
      <c r="AH301">
        <v>21240</v>
      </c>
      <c r="AI301">
        <v>35400</v>
      </c>
      <c r="AJ301" t="s">
        <v>95</v>
      </c>
      <c r="AK301" t="s">
        <v>158</v>
      </c>
      <c r="AL301">
        <v>2006</v>
      </c>
      <c r="AM301" t="s">
        <v>82</v>
      </c>
      <c r="AN301" s="2">
        <f t="shared" si="28"/>
        <v>57.99898055778052</v>
      </c>
      <c r="AO301">
        <f t="shared" si="29"/>
        <v>-62622.36</v>
      </c>
      <c r="AP301" s="2">
        <f t="shared" si="30"/>
        <v>1.7225718366001792E-2</v>
      </c>
      <c r="AQ301" s="2">
        <f t="shared" si="34"/>
        <v>9</v>
      </c>
      <c r="AR301">
        <f t="shared" si="31"/>
        <v>119</v>
      </c>
      <c r="AS301" t="str">
        <f t="shared" si="32"/>
        <v>High Claim Ratio</v>
      </c>
      <c r="AT301" t="str">
        <f t="shared" si="33"/>
        <v>High Profit</v>
      </c>
    </row>
    <row r="302" spans="1:46" x14ac:dyDescent="0.2">
      <c r="A302">
        <v>259</v>
      </c>
      <c r="B302">
        <v>43</v>
      </c>
      <c r="C302">
        <v>132871</v>
      </c>
      <c r="D302" s="1">
        <v>39999</v>
      </c>
      <c r="E302" t="s">
        <v>83</v>
      </c>
      <c r="F302" t="s">
        <v>69</v>
      </c>
      <c r="G302">
        <v>500</v>
      </c>
      <c r="H302">
        <v>947.75</v>
      </c>
      <c r="I302">
        <v>0</v>
      </c>
      <c r="J302">
        <v>458470</v>
      </c>
      <c r="K302" t="s">
        <v>70</v>
      </c>
      <c r="L302" t="s">
        <v>124</v>
      </c>
      <c r="M302" t="s">
        <v>189</v>
      </c>
      <c r="N302" t="s">
        <v>106</v>
      </c>
      <c r="O302" t="s">
        <v>142</v>
      </c>
      <c r="P302">
        <v>0</v>
      </c>
      <c r="Q302">
        <v>-39300</v>
      </c>
      <c r="R302" s="1">
        <v>42038</v>
      </c>
      <c r="S302" t="s">
        <v>61</v>
      </c>
      <c r="T302" t="s">
        <v>62</v>
      </c>
      <c r="U302" t="s">
        <v>212</v>
      </c>
      <c r="V302" t="s">
        <v>49</v>
      </c>
      <c r="W302" t="s">
        <v>50</v>
      </c>
      <c r="X302" t="s">
        <v>65</v>
      </c>
      <c r="Y302" t="s">
        <v>479</v>
      </c>
      <c r="Z302">
        <v>15</v>
      </c>
      <c r="AA302">
        <v>1</v>
      </c>
      <c r="AB302" t="s">
        <v>79</v>
      </c>
      <c r="AC302">
        <v>1</v>
      </c>
      <c r="AD302">
        <v>3</v>
      </c>
      <c r="AE302" t="s">
        <v>79</v>
      </c>
      <c r="AF302">
        <v>7680</v>
      </c>
      <c r="AG302">
        <v>1280</v>
      </c>
      <c r="AH302">
        <v>640</v>
      </c>
      <c r="AI302">
        <v>5760</v>
      </c>
      <c r="AJ302" t="s">
        <v>109</v>
      </c>
      <c r="AK302" t="s">
        <v>110</v>
      </c>
      <c r="AL302">
        <v>2008</v>
      </c>
      <c r="AM302" t="s">
        <v>82</v>
      </c>
      <c r="AN302" s="2">
        <f t="shared" si="28"/>
        <v>8.0948616600790508</v>
      </c>
      <c r="AO302">
        <f t="shared" si="29"/>
        <v>-6732.25</v>
      </c>
      <c r="AP302" s="2">
        <f t="shared" si="30"/>
        <v>0.12338888165603437</v>
      </c>
      <c r="AQ302" s="2">
        <f t="shared" si="34"/>
        <v>7</v>
      </c>
      <c r="AR302">
        <f t="shared" si="31"/>
        <v>259</v>
      </c>
      <c r="AS302" t="str">
        <f t="shared" si="32"/>
        <v>Medium Claim Ratio</v>
      </c>
      <c r="AT302" t="str">
        <f t="shared" si="33"/>
        <v>High Profit</v>
      </c>
    </row>
    <row r="303" spans="1:46" x14ac:dyDescent="0.2">
      <c r="A303">
        <v>107</v>
      </c>
      <c r="B303">
        <v>31</v>
      </c>
      <c r="C303">
        <v>714929</v>
      </c>
      <c r="D303" s="1">
        <v>34663</v>
      </c>
      <c r="E303" t="s">
        <v>83</v>
      </c>
      <c r="F303" t="s">
        <v>69</v>
      </c>
      <c r="G303">
        <v>2000</v>
      </c>
      <c r="H303">
        <v>1018.73</v>
      </c>
      <c r="I303">
        <v>5000000</v>
      </c>
      <c r="J303">
        <v>469646</v>
      </c>
      <c r="K303" t="s">
        <v>41</v>
      </c>
      <c r="L303" t="s">
        <v>92</v>
      </c>
      <c r="M303" t="s">
        <v>159</v>
      </c>
      <c r="N303" t="s">
        <v>155</v>
      </c>
      <c r="O303" t="s">
        <v>74</v>
      </c>
      <c r="P303">
        <v>20000</v>
      </c>
      <c r="Q303">
        <v>-82700</v>
      </c>
      <c r="R303" s="1">
        <v>42031</v>
      </c>
      <c r="S303" t="s">
        <v>75</v>
      </c>
      <c r="T303" t="s">
        <v>47</v>
      </c>
      <c r="U303" t="s">
        <v>107</v>
      </c>
      <c r="V303" t="s">
        <v>49</v>
      </c>
      <c r="W303" t="s">
        <v>77</v>
      </c>
      <c r="X303" t="s">
        <v>65</v>
      </c>
      <c r="Y303" t="s">
        <v>480</v>
      </c>
      <c r="Z303">
        <v>21</v>
      </c>
      <c r="AA303">
        <v>3</v>
      </c>
      <c r="AB303" t="s">
        <v>53</v>
      </c>
      <c r="AC303">
        <v>1</v>
      </c>
      <c r="AD303">
        <v>2</v>
      </c>
      <c r="AE303" t="s">
        <v>62</v>
      </c>
      <c r="AF303">
        <v>93730</v>
      </c>
      <c r="AG303">
        <v>14420</v>
      </c>
      <c r="AH303">
        <v>21630</v>
      </c>
      <c r="AI303">
        <v>57680</v>
      </c>
      <c r="AJ303" t="s">
        <v>209</v>
      </c>
      <c r="AK303" t="s">
        <v>225</v>
      </c>
      <c r="AL303">
        <v>2001</v>
      </c>
      <c r="AM303" t="s">
        <v>82</v>
      </c>
      <c r="AN303" s="2">
        <f t="shared" si="28"/>
        <v>91.916487697723909</v>
      </c>
      <c r="AO303">
        <f t="shared" si="29"/>
        <v>-92711.27</v>
      </c>
      <c r="AP303" s="2">
        <f t="shared" si="30"/>
        <v>1.0868656047625653E-2</v>
      </c>
      <c r="AQ303" s="2">
        <f t="shared" si="34"/>
        <v>14</v>
      </c>
      <c r="AR303">
        <f t="shared" si="31"/>
        <v>107</v>
      </c>
      <c r="AS303" t="str">
        <f t="shared" si="32"/>
        <v>High Claim Ratio</v>
      </c>
      <c r="AT303" t="str">
        <f t="shared" si="33"/>
        <v>High Profit</v>
      </c>
    </row>
    <row r="304" spans="1:46" x14ac:dyDescent="0.2">
      <c r="A304">
        <v>48</v>
      </c>
      <c r="B304">
        <v>44</v>
      </c>
      <c r="C304">
        <v>297816</v>
      </c>
      <c r="D304" s="1">
        <v>35464</v>
      </c>
      <c r="E304" t="s">
        <v>83</v>
      </c>
      <c r="F304" t="s">
        <v>69</v>
      </c>
      <c r="G304">
        <v>2000</v>
      </c>
      <c r="H304">
        <v>1400.74</v>
      </c>
      <c r="I304">
        <v>0</v>
      </c>
      <c r="J304">
        <v>611118</v>
      </c>
      <c r="K304" t="s">
        <v>41</v>
      </c>
      <c r="L304" t="s">
        <v>141</v>
      </c>
      <c r="M304" t="s">
        <v>72</v>
      </c>
      <c r="N304" t="s">
        <v>106</v>
      </c>
      <c r="O304" t="s">
        <v>60</v>
      </c>
      <c r="P304">
        <v>34000</v>
      </c>
      <c r="Q304">
        <v>-55600</v>
      </c>
      <c r="R304" s="1">
        <v>42025</v>
      </c>
      <c r="S304" t="s">
        <v>75</v>
      </c>
      <c r="T304" t="s">
        <v>76</v>
      </c>
      <c r="U304" t="s">
        <v>48</v>
      </c>
      <c r="V304" t="s">
        <v>49</v>
      </c>
      <c r="W304" t="s">
        <v>121</v>
      </c>
      <c r="X304" t="s">
        <v>87</v>
      </c>
      <c r="Y304" t="s">
        <v>481</v>
      </c>
      <c r="Z304">
        <v>23</v>
      </c>
      <c r="AA304">
        <v>3</v>
      </c>
      <c r="AB304" t="s">
        <v>53</v>
      </c>
      <c r="AC304">
        <v>0</v>
      </c>
      <c r="AD304">
        <v>2</v>
      </c>
      <c r="AE304" t="s">
        <v>62</v>
      </c>
      <c r="AF304">
        <v>87300</v>
      </c>
      <c r="AG304">
        <v>17460</v>
      </c>
      <c r="AH304">
        <v>17460</v>
      </c>
      <c r="AI304">
        <v>52380</v>
      </c>
      <c r="AJ304" t="s">
        <v>197</v>
      </c>
      <c r="AK304" t="s">
        <v>198</v>
      </c>
      <c r="AL304">
        <v>2013</v>
      </c>
      <c r="AM304" t="s">
        <v>82</v>
      </c>
      <c r="AN304" s="2">
        <f t="shared" si="28"/>
        <v>62.279738039864739</v>
      </c>
      <c r="AO304">
        <f t="shared" si="29"/>
        <v>-85899.26</v>
      </c>
      <c r="AP304" s="2">
        <f t="shared" si="30"/>
        <v>1.6044947938740679E-2</v>
      </c>
      <c r="AQ304" s="2">
        <f t="shared" si="34"/>
        <v>2</v>
      </c>
      <c r="AR304">
        <f t="shared" si="31"/>
        <v>48</v>
      </c>
      <c r="AS304" t="str">
        <f t="shared" si="32"/>
        <v>High Claim Ratio</v>
      </c>
      <c r="AT304" t="str">
        <f t="shared" si="33"/>
        <v>High Profit</v>
      </c>
    </row>
    <row r="305" spans="1:46" x14ac:dyDescent="0.2">
      <c r="A305">
        <v>267</v>
      </c>
      <c r="B305">
        <v>40</v>
      </c>
      <c r="C305">
        <v>426708</v>
      </c>
      <c r="D305" s="1">
        <v>40095</v>
      </c>
      <c r="E305" t="s">
        <v>83</v>
      </c>
      <c r="F305" t="s">
        <v>40</v>
      </c>
      <c r="G305">
        <v>500</v>
      </c>
      <c r="H305">
        <v>1155.53</v>
      </c>
      <c r="I305">
        <v>5000000</v>
      </c>
      <c r="J305">
        <v>465158</v>
      </c>
      <c r="K305" t="s">
        <v>41</v>
      </c>
      <c r="L305" t="s">
        <v>161</v>
      </c>
      <c r="M305" t="s">
        <v>145</v>
      </c>
      <c r="N305" t="s">
        <v>118</v>
      </c>
      <c r="O305" t="s">
        <v>119</v>
      </c>
      <c r="P305">
        <v>0</v>
      </c>
      <c r="Q305">
        <v>-35200</v>
      </c>
      <c r="R305" s="1">
        <v>42028</v>
      </c>
      <c r="S305" t="s">
        <v>138</v>
      </c>
      <c r="T305" t="s">
        <v>62</v>
      </c>
      <c r="U305" t="s">
        <v>212</v>
      </c>
      <c r="V305" t="s">
        <v>49</v>
      </c>
      <c r="W305" t="s">
        <v>77</v>
      </c>
      <c r="X305" t="s">
        <v>51</v>
      </c>
      <c r="Y305" t="s">
        <v>482</v>
      </c>
      <c r="Z305">
        <v>5</v>
      </c>
      <c r="AA305">
        <v>1</v>
      </c>
      <c r="AB305" t="s">
        <v>62</v>
      </c>
      <c r="AC305">
        <v>0</v>
      </c>
      <c r="AD305">
        <v>2</v>
      </c>
      <c r="AE305" t="s">
        <v>79</v>
      </c>
      <c r="AF305">
        <v>5670</v>
      </c>
      <c r="AG305">
        <v>1260</v>
      </c>
      <c r="AH305">
        <v>630</v>
      </c>
      <c r="AI305">
        <v>3780</v>
      </c>
      <c r="AJ305" t="s">
        <v>129</v>
      </c>
      <c r="AK305" t="s">
        <v>130</v>
      </c>
      <c r="AL305">
        <v>1997</v>
      </c>
      <c r="AM305" t="s">
        <v>82</v>
      </c>
      <c r="AN305" s="2">
        <f t="shared" si="28"/>
        <v>4.9025965604005082</v>
      </c>
      <c r="AO305">
        <f t="shared" si="29"/>
        <v>-4514.47</v>
      </c>
      <c r="AP305" s="2">
        <f t="shared" si="30"/>
        <v>0.2037612414036325</v>
      </c>
      <c r="AQ305" s="2">
        <f t="shared" si="34"/>
        <v>18</v>
      </c>
      <c r="AR305">
        <f t="shared" si="31"/>
        <v>267</v>
      </c>
      <c r="AS305" t="str">
        <f t="shared" si="32"/>
        <v>Low Claim Ratio</v>
      </c>
      <c r="AT305" t="str">
        <f t="shared" si="33"/>
        <v>Low Profit</v>
      </c>
    </row>
    <row r="306" spans="1:46" x14ac:dyDescent="0.2">
      <c r="A306">
        <v>286</v>
      </c>
      <c r="B306">
        <v>47</v>
      </c>
      <c r="C306">
        <v>615047</v>
      </c>
      <c r="D306" s="1">
        <v>37580</v>
      </c>
      <c r="E306" t="s">
        <v>57</v>
      </c>
      <c r="F306" t="s">
        <v>40</v>
      </c>
      <c r="G306">
        <v>500</v>
      </c>
      <c r="H306">
        <v>1386.93</v>
      </c>
      <c r="I306">
        <v>0</v>
      </c>
      <c r="J306">
        <v>457130</v>
      </c>
      <c r="K306" t="s">
        <v>41</v>
      </c>
      <c r="L306" t="s">
        <v>131</v>
      </c>
      <c r="M306" t="s">
        <v>117</v>
      </c>
      <c r="N306" t="s">
        <v>98</v>
      </c>
      <c r="O306" t="s">
        <v>45</v>
      </c>
      <c r="P306">
        <v>54100</v>
      </c>
      <c r="Q306">
        <v>-77600</v>
      </c>
      <c r="R306" s="1">
        <v>42021</v>
      </c>
      <c r="S306" t="s">
        <v>75</v>
      </c>
      <c r="T306" t="s">
        <v>76</v>
      </c>
      <c r="U306" t="s">
        <v>63</v>
      </c>
      <c r="V306" t="s">
        <v>120</v>
      </c>
      <c r="W306" t="s">
        <v>77</v>
      </c>
      <c r="X306" t="s">
        <v>102</v>
      </c>
      <c r="Y306" t="s">
        <v>483</v>
      </c>
      <c r="Z306">
        <v>15</v>
      </c>
      <c r="AA306">
        <v>3</v>
      </c>
      <c r="AB306" t="s">
        <v>53</v>
      </c>
      <c r="AC306">
        <v>0</v>
      </c>
      <c r="AD306">
        <v>0</v>
      </c>
      <c r="AE306" t="s">
        <v>79</v>
      </c>
      <c r="AF306">
        <v>65800</v>
      </c>
      <c r="AG306">
        <v>13160</v>
      </c>
      <c r="AH306">
        <v>6580</v>
      </c>
      <c r="AI306">
        <v>46060</v>
      </c>
      <c r="AJ306" t="s">
        <v>95</v>
      </c>
      <c r="AK306" t="s">
        <v>158</v>
      </c>
      <c r="AL306">
        <v>2001</v>
      </c>
      <c r="AM306" t="s">
        <v>82</v>
      </c>
      <c r="AN306" s="2">
        <f t="shared" si="28"/>
        <v>47.408730987874023</v>
      </c>
      <c r="AO306">
        <f t="shared" si="29"/>
        <v>-64413.07</v>
      </c>
      <c r="AP306" s="2">
        <f t="shared" si="30"/>
        <v>2.1077643196911904E-2</v>
      </c>
      <c r="AQ306" s="2">
        <f t="shared" si="34"/>
        <v>14</v>
      </c>
      <c r="AR306">
        <f t="shared" si="31"/>
        <v>286</v>
      </c>
      <c r="AS306" t="str">
        <f t="shared" si="32"/>
        <v>High Claim Ratio</v>
      </c>
      <c r="AT306" t="str">
        <f t="shared" si="33"/>
        <v>High Profit</v>
      </c>
    </row>
    <row r="307" spans="1:46" x14ac:dyDescent="0.2">
      <c r="A307">
        <v>175</v>
      </c>
      <c r="B307">
        <v>34</v>
      </c>
      <c r="C307">
        <v>771236</v>
      </c>
      <c r="D307" s="1">
        <v>34848</v>
      </c>
      <c r="E307" t="s">
        <v>39</v>
      </c>
      <c r="F307" t="s">
        <v>69</v>
      </c>
      <c r="G307">
        <v>500</v>
      </c>
      <c r="H307">
        <v>915.29</v>
      </c>
      <c r="I307">
        <v>0</v>
      </c>
      <c r="J307">
        <v>607893</v>
      </c>
      <c r="K307" t="s">
        <v>70</v>
      </c>
      <c r="L307" t="s">
        <v>161</v>
      </c>
      <c r="M307" t="s">
        <v>159</v>
      </c>
      <c r="N307" t="s">
        <v>106</v>
      </c>
      <c r="O307" t="s">
        <v>119</v>
      </c>
      <c r="P307">
        <v>82400</v>
      </c>
      <c r="Q307">
        <v>-57100</v>
      </c>
      <c r="R307" s="1">
        <v>42058</v>
      </c>
      <c r="S307" t="s">
        <v>46</v>
      </c>
      <c r="T307" t="s">
        <v>86</v>
      </c>
      <c r="U307" t="s">
        <v>48</v>
      </c>
      <c r="V307" t="s">
        <v>120</v>
      </c>
      <c r="W307" t="s">
        <v>77</v>
      </c>
      <c r="X307" t="s">
        <v>87</v>
      </c>
      <c r="Y307" t="s">
        <v>484</v>
      </c>
      <c r="Z307">
        <v>14</v>
      </c>
      <c r="AA307">
        <v>1</v>
      </c>
      <c r="AB307" t="s">
        <v>62</v>
      </c>
      <c r="AC307">
        <v>2</v>
      </c>
      <c r="AD307">
        <v>1</v>
      </c>
      <c r="AE307" t="s">
        <v>53</v>
      </c>
      <c r="AF307">
        <v>36720</v>
      </c>
      <c r="AG307">
        <v>4080</v>
      </c>
      <c r="AH307">
        <v>4080</v>
      </c>
      <c r="AI307">
        <v>28560</v>
      </c>
      <c r="AJ307" t="s">
        <v>209</v>
      </c>
      <c r="AK307" t="s">
        <v>231</v>
      </c>
      <c r="AL307">
        <v>2009</v>
      </c>
      <c r="AM307" t="s">
        <v>56</v>
      </c>
      <c r="AN307" s="2">
        <f t="shared" si="28"/>
        <v>40.074648855711622</v>
      </c>
      <c r="AO307">
        <f t="shared" si="29"/>
        <v>-35804.71</v>
      </c>
      <c r="AP307" s="2">
        <f t="shared" si="30"/>
        <v>2.492551945753111E-2</v>
      </c>
      <c r="AQ307" s="2">
        <f t="shared" si="34"/>
        <v>6</v>
      </c>
      <c r="AR307">
        <f t="shared" si="31"/>
        <v>175</v>
      </c>
      <c r="AS307" t="str">
        <f t="shared" si="32"/>
        <v>High Claim Ratio</v>
      </c>
      <c r="AT307" t="str">
        <f t="shared" si="33"/>
        <v>High Profit</v>
      </c>
    </row>
    <row r="308" spans="1:46" x14ac:dyDescent="0.2">
      <c r="A308">
        <v>111</v>
      </c>
      <c r="B308">
        <v>29</v>
      </c>
      <c r="C308">
        <v>235869</v>
      </c>
      <c r="D308" s="1">
        <v>40565</v>
      </c>
      <c r="E308" t="s">
        <v>83</v>
      </c>
      <c r="F308" t="s">
        <v>40</v>
      </c>
      <c r="G308">
        <v>500</v>
      </c>
      <c r="H308">
        <v>1239.55</v>
      </c>
      <c r="I308">
        <v>2000000</v>
      </c>
      <c r="J308">
        <v>464736</v>
      </c>
      <c r="K308" t="s">
        <v>70</v>
      </c>
      <c r="L308" t="s">
        <v>71</v>
      </c>
      <c r="M308" t="s">
        <v>189</v>
      </c>
      <c r="N308" t="s">
        <v>170</v>
      </c>
      <c r="O308" t="s">
        <v>74</v>
      </c>
      <c r="P308">
        <v>0</v>
      </c>
      <c r="Q308">
        <v>0</v>
      </c>
      <c r="R308" s="1">
        <v>42013</v>
      </c>
      <c r="S308" t="s">
        <v>46</v>
      </c>
      <c r="T308" t="s">
        <v>47</v>
      </c>
      <c r="U308" t="s">
        <v>48</v>
      </c>
      <c r="V308" t="s">
        <v>99</v>
      </c>
      <c r="W308" t="s">
        <v>50</v>
      </c>
      <c r="X308" t="s">
        <v>65</v>
      </c>
      <c r="Y308" t="s">
        <v>485</v>
      </c>
      <c r="Z308">
        <v>1</v>
      </c>
      <c r="AA308">
        <v>1</v>
      </c>
      <c r="AB308" t="s">
        <v>62</v>
      </c>
      <c r="AC308">
        <v>1</v>
      </c>
      <c r="AD308">
        <v>1</v>
      </c>
      <c r="AE308" t="s">
        <v>53</v>
      </c>
      <c r="AF308">
        <v>52800</v>
      </c>
      <c r="AG308">
        <v>4800</v>
      </c>
      <c r="AH308">
        <v>9600</v>
      </c>
      <c r="AI308">
        <v>38400</v>
      </c>
      <c r="AJ308" t="s">
        <v>67</v>
      </c>
      <c r="AK308" t="s">
        <v>271</v>
      </c>
      <c r="AL308">
        <v>1996</v>
      </c>
      <c r="AM308" t="s">
        <v>56</v>
      </c>
      <c r="AN308" s="2">
        <f t="shared" si="28"/>
        <v>42.561766958204025</v>
      </c>
      <c r="AO308">
        <f t="shared" si="29"/>
        <v>-51560.45</v>
      </c>
      <c r="AP308" s="2">
        <f t="shared" si="30"/>
        <v>2.3475881138614797E-2</v>
      </c>
      <c r="AQ308" s="2">
        <f t="shared" si="34"/>
        <v>19</v>
      </c>
      <c r="AR308">
        <f t="shared" si="31"/>
        <v>111</v>
      </c>
      <c r="AS308" t="str">
        <f t="shared" si="32"/>
        <v>High Claim Ratio</v>
      </c>
      <c r="AT308" t="str">
        <f t="shared" si="33"/>
        <v>High Profit</v>
      </c>
    </row>
    <row r="309" spans="1:46" x14ac:dyDescent="0.2">
      <c r="A309">
        <v>151</v>
      </c>
      <c r="B309">
        <v>37</v>
      </c>
      <c r="C309">
        <v>931625</v>
      </c>
      <c r="D309" s="1">
        <v>41200</v>
      </c>
      <c r="E309" t="s">
        <v>57</v>
      </c>
      <c r="F309" t="s">
        <v>40</v>
      </c>
      <c r="G309">
        <v>500</v>
      </c>
      <c r="H309">
        <v>1366.42</v>
      </c>
      <c r="I309">
        <v>0</v>
      </c>
      <c r="J309">
        <v>476198</v>
      </c>
      <c r="K309" t="s">
        <v>70</v>
      </c>
      <c r="L309" t="s">
        <v>92</v>
      </c>
      <c r="M309" t="s">
        <v>135</v>
      </c>
      <c r="N309" t="s">
        <v>242</v>
      </c>
      <c r="O309" t="s">
        <v>85</v>
      </c>
      <c r="P309">
        <v>44000</v>
      </c>
      <c r="Q309">
        <v>0</v>
      </c>
      <c r="R309" s="1">
        <v>42050</v>
      </c>
      <c r="S309" t="s">
        <v>75</v>
      </c>
      <c r="T309" t="s">
        <v>76</v>
      </c>
      <c r="U309" t="s">
        <v>107</v>
      </c>
      <c r="V309" t="s">
        <v>99</v>
      </c>
      <c r="W309" t="s">
        <v>50</v>
      </c>
      <c r="X309" t="s">
        <v>87</v>
      </c>
      <c r="Y309" t="s">
        <v>486</v>
      </c>
      <c r="Z309">
        <v>14</v>
      </c>
      <c r="AA309">
        <v>3</v>
      </c>
      <c r="AB309" t="s">
        <v>79</v>
      </c>
      <c r="AC309">
        <v>1</v>
      </c>
      <c r="AD309">
        <v>2</v>
      </c>
      <c r="AE309" t="s">
        <v>53</v>
      </c>
      <c r="AF309">
        <v>59100</v>
      </c>
      <c r="AG309">
        <v>5910</v>
      </c>
      <c r="AH309">
        <v>5910</v>
      </c>
      <c r="AI309">
        <v>47280</v>
      </c>
      <c r="AJ309" t="s">
        <v>104</v>
      </c>
      <c r="AK309" t="s">
        <v>151</v>
      </c>
      <c r="AL309">
        <v>1998</v>
      </c>
      <c r="AM309" t="s">
        <v>56</v>
      </c>
      <c r="AN309" s="2">
        <f t="shared" si="28"/>
        <v>43.220078688332769</v>
      </c>
      <c r="AO309">
        <f t="shared" si="29"/>
        <v>-57733.58</v>
      </c>
      <c r="AP309" s="2">
        <f t="shared" si="30"/>
        <v>2.3120082570514882E-2</v>
      </c>
      <c r="AQ309" s="2">
        <f t="shared" si="34"/>
        <v>17</v>
      </c>
      <c r="AR309">
        <f t="shared" si="31"/>
        <v>151</v>
      </c>
      <c r="AS309" t="str">
        <f t="shared" si="32"/>
        <v>High Claim Ratio</v>
      </c>
      <c r="AT309" t="str">
        <f t="shared" si="33"/>
        <v>High Profit</v>
      </c>
    </row>
    <row r="310" spans="1:46" x14ac:dyDescent="0.2">
      <c r="A310">
        <v>156</v>
      </c>
      <c r="B310">
        <v>37</v>
      </c>
      <c r="C310">
        <v>371635</v>
      </c>
      <c r="D310" s="1">
        <v>33524</v>
      </c>
      <c r="E310" t="s">
        <v>39</v>
      </c>
      <c r="F310" t="s">
        <v>91</v>
      </c>
      <c r="G310">
        <v>1000</v>
      </c>
      <c r="H310">
        <v>1086.48</v>
      </c>
      <c r="I310">
        <v>6000000</v>
      </c>
      <c r="J310">
        <v>444903</v>
      </c>
      <c r="K310" t="s">
        <v>41</v>
      </c>
      <c r="L310" t="s">
        <v>92</v>
      </c>
      <c r="M310" t="s">
        <v>58</v>
      </c>
      <c r="N310" t="s">
        <v>149</v>
      </c>
      <c r="O310" t="s">
        <v>85</v>
      </c>
      <c r="P310">
        <v>0</v>
      </c>
      <c r="Q310">
        <v>-53800</v>
      </c>
      <c r="R310" s="1">
        <v>42020</v>
      </c>
      <c r="S310" t="s">
        <v>75</v>
      </c>
      <c r="T310" t="s">
        <v>76</v>
      </c>
      <c r="U310" t="s">
        <v>107</v>
      </c>
      <c r="V310" t="s">
        <v>120</v>
      </c>
      <c r="W310" t="s">
        <v>77</v>
      </c>
      <c r="X310" t="s">
        <v>156</v>
      </c>
      <c r="Y310" t="s">
        <v>487</v>
      </c>
      <c r="Z310">
        <v>17</v>
      </c>
      <c r="AA310">
        <v>3</v>
      </c>
      <c r="AB310" t="s">
        <v>62</v>
      </c>
      <c r="AC310">
        <v>1</v>
      </c>
      <c r="AD310">
        <v>1</v>
      </c>
      <c r="AE310" t="s">
        <v>53</v>
      </c>
      <c r="AF310">
        <v>77440</v>
      </c>
      <c r="AG310">
        <v>14080</v>
      </c>
      <c r="AH310">
        <v>7040</v>
      </c>
      <c r="AI310">
        <v>56320</v>
      </c>
      <c r="AJ310" t="s">
        <v>153</v>
      </c>
      <c r="AK310" t="s">
        <v>154</v>
      </c>
      <c r="AL310">
        <v>1999</v>
      </c>
      <c r="AM310" t="s">
        <v>82</v>
      </c>
      <c r="AN310" s="2">
        <f t="shared" si="28"/>
        <v>71.210505020781994</v>
      </c>
      <c r="AO310">
        <f t="shared" si="29"/>
        <v>-76353.52</v>
      </c>
      <c r="AP310" s="2">
        <f t="shared" si="30"/>
        <v>1.4029777508038377E-2</v>
      </c>
      <c r="AQ310" s="2">
        <f t="shared" si="34"/>
        <v>16</v>
      </c>
      <c r="AR310">
        <f t="shared" si="31"/>
        <v>156</v>
      </c>
      <c r="AS310" t="str">
        <f t="shared" si="32"/>
        <v>High Claim Ratio</v>
      </c>
      <c r="AT310" t="str">
        <f t="shared" si="33"/>
        <v>High Profit</v>
      </c>
    </row>
    <row r="311" spans="1:46" x14ac:dyDescent="0.2">
      <c r="A311">
        <v>165</v>
      </c>
      <c r="B311">
        <v>36</v>
      </c>
      <c r="C311">
        <v>427199</v>
      </c>
      <c r="D311" s="1">
        <v>40452</v>
      </c>
      <c r="E311" t="s">
        <v>83</v>
      </c>
      <c r="F311" t="s">
        <v>40</v>
      </c>
      <c r="G311">
        <v>2000</v>
      </c>
      <c r="H311">
        <v>1247.8699999999999</v>
      </c>
      <c r="I311">
        <v>0</v>
      </c>
      <c r="J311">
        <v>464336</v>
      </c>
      <c r="K311" t="s">
        <v>41</v>
      </c>
      <c r="L311" t="s">
        <v>124</v>
      </c>
      <c r="M311" t="s">
        <v>84</v>
      </c>
      <c r="N311" t="s">
        <v>112</v>
      </c>
      <c r="O311" t="s">
        <v>45</v>
      </c>
      <c r="P311">
        <v>0</v>
      </c>
      <c r="Q311">
        <v>-39700</v>
      </c>
      <c r="R311" s="1">
        <v>42018</v>
      </c>
      <c r="S311" t="s">
        <v>75</v>
      </c>
      <c r="T311" t="s">
        <v>47</v>
      </c>
      <c r="U311" t="s">
        <v>107</v>
      </c>
      <c r="V311" t="s">
        <v>99</v>
      </c>
      <c r="W311" t="s">
        <v>77</v>
      </c>
      <c r="X311" t="s">
        <v>127</v>
      </c>
      <c r="Y311" t="s">
        <v>488</v>
      </c>
      <c r="Z311">
        <v>20</v>
      </c>
      <c r="AA311">
        <v>3</v>
      </c>
      <c r="AB311" t="s">
        <v>79</v>
      </c>
      <c r="AC311">
        <v>2</v>
      </c>
      <c r="AD311">
        <v>2</v>
      </c>
      <c r="AE311" t="s">
        <v>79</v>
      </c>
      <c r="AF311">
        <v>45700</v>
      </c>
      <c r="AG311">
        <v>4570</v>
      </c>
      <c r="AH311">
        <v>4570</v>
      </c>
      <c r="AI311">
        <v>36560</v>
      </c>
      <c r="AJ311" t="s">
        <v>187</v>
      </c>
      <c r="AK311" t="s">
        <v>188</v>
      </c>
      <c r="AL311">
        <v>2008</v>
      </c>
      <c r="AM311" t="s">
        <v>82</v>
      </c>
      <c r="AN311" s="2">
        <f t="shared" si="28"/>
        <v>36.593080144450589</v>
      </c>
      <c r="AO311">
        <f t="shared" si="29"/>
        <v>-44452.13</v>
      </c>
      <c r="AP311" s="2">
        <f t="shared" si="30"/>
        <v>2.7305091792302134E-2</v>
      </c>
      <c r="AQ311" s="2">
        <f t="shared" si="34"/>
        <v>7</v>
      </c>
      <c r="AR311">
        <f t="shared" si="31"/>
        <v>165</v>
      </c>
      <c r="AS311" t="str">
        <f t="shared" si="32"/>
        <v>High Claim Ratio</v>
      </c>
      <c r="AT311" t="str">
        <f t="shared" si="33"/>
        <v>High Profit</v>
      </c>
    </row>
    <row r="312" spans="1:46" x14ac:dyDescent="0.2">
      <c r="A312">
        <v>253</v>
      </c>
      <c r="B312">
        <v>41</v>
      </c>
      <c r="C312">
        <v>261315</v>
      </c>
      <c r="D312" s="1">
        <v>41374</v>
      </c>
      <c r="E312" t="s">
        <v>39</v>
      </c>
      <c r="F312" t="s">
        <v>69</v>
      </c>
      <c r="G312">
        <v>2000</v>
      </c>
      <c r="H312">
        <v>1312.75</v>
      </c>
      <c r="I312">
        <v>0</v>
      </c>
      <c r="J312">
        <v>471453</v>
      </c>
      <c r="K312" t="s">
        <v>70</v>
      </c>
      <c r="L312" t="s">
        <v>71</v>
      </c>
      <c r="M312" t="s">
        <v>72</v>
      </c>
      <c r="N312" t="s">
        <v>126</v>
      </c>
      <c r="O312" t="s">
        <v>60</v>
      </c>
      <c r="P312">
        <v>81300</v>
      </c>
      <c r="Q312">
        <v>0</v>
      </c>
      <c r="R312" s="1">
        <v>42005</v>
      </c>
      <c r="S312" t="s">
        <v>75</v>
      </c>
      <c r="T312" t="s">
        <v>76</v>
      </c>
      <c r="U312" t="s">
        <v>48</v>
      </c>
      <c r="V312" t="s">
        <v>120</v>
      </c>
      <c r="W312" t="s">
        <v>50</v>
      </c>
      <c r="X312" t="s">
        <v>102</v>
      </c>
      <c r="Y312" t="s">
        <v>489</v>
      </c>
      <c r="Z312">
        <v>10</v>
      </c>
      <c r="AA312">
        <v>3</v>
      </c>
      <c r="AB312" t="s">
        <v>79</v>
      </c>
      <c r="AC312">
        <v>2</v>
      </c>
      <c r="AD312">
        <v>2</v>
      </c>
      <c r="AE312" t="s">
        <v>53</v>
      </c>
      <c r="AF312">
        <v>80740</v>
      </c>
      <c r="AG312">
        <v>7340</v>
      </c>
      <c r="AH312">
        <v>14680</v>
      </c>
      <c r="AI312">
        <v>58720</v>
      </c>
      <c r="AJ312" t="s">
        <v>115</v>
      </c>
      <c r="AK312" t="s">
        <v>116</v>
      </c>
      <c r="AL312">
        <v>2014</v>
      </c>
      <c r="AM312" t="s">
        <v>56</v>
      </c>
      <c r="AN312" s="2">
        <f t="shared" si="28"/>
        <v>61.45765937202664</v>
      </c>
      <c r="AO312">
        <f t="shared" si="29"/>
        <v>-79427.25</v>
      </c>
      <c r="AP312" s="2">
        <f t="shared" si="30"/>
        <v>1.6258778068143818E-2</v>
      </c>
      <c r="AQ312" s="2">
        <f t="shared" si="34"/>
        <v>1</v>
      </c>
      <c r="AR312">
        <f t="shared" si="31"/>
        <v>253</v>
      </c>
      <c r="AS312" t="str">
        <f t="shared" si="32"/>
        <v>High Claim Ratio</v>
      </c>
      <c r="AT312" t="str">
        <f t="shared" si="33"/>
        <v>High Profit</v>
      </c>
    </row>
    <row r="313" spans="1:46" x14ac:dyDescent="0.2">
      <c r="A313">
        <v>10</v>
      </c>
      <c r="B313">
        <v>26</v>
      </c>
      <c r="C313">
        <v>582973</v>
      </c>
      <c r="D313" s="1">
        <v>39610</v>
      </c>
      <c r="E313" t="s">
        <v>57</v>
      </c>
      <c r="F313" t="s">
        <v>69</v>
      </c>
      <c r="G313">
        <v>2000</v>
      </c>
      <c r="H313">
        <v>765.64</v>
      </c>
      <c r="I313">
        <v>0</v>
      </c>
      <c r="J313">
        <v>466191</v>
      </c>
      <c r="K313" t="s">
        <v>41</v>
      </c>
      <c r="L313" t="s">
        <v>42</v>
      </c>
      <c r="M313" t="s">
        <v>72</v>
      </c>
      <c r="N313" t="s">
        <v>106</v>
      </c>
      <c r="O313" t="s">
        <v>142</v>
      </c>
      <c r="P313">
        <v>0</v>
      </c>
      <c r="Q313">
        <v>-22200</v>
      </c>
      <c r="R313" s="1">
        <v>42051</v>
      </c>
      <c r="S313" t="s">
        <v>75</v>
      </c>
      <c r="T313" t="s">
        <v>86</v>
      </c>
      <c r="U313" t="s">
        <v>48</v>
      </c>
      <c r="V313" t="s">
        <v>136</v>
      </c>
      <c r="W313" t="s">
        <v>50</v>
      </c>
      <c r="X313" t="s">
        <v>156</v>
      </c>
      <c r="Y313" t="s">
        <v>490</v>
      </c>
      <c r="Z313">
        <v>3</v>
      </c>
      <c r="AA313">
        <v>3</v>
      </c>
      <c r="AB313" t="s">
        <v>62</v>
      </c>
      <c r="AC313">
        <v>0</v>
      </c>
      <c r="AD313">
        <v>3</v>
      </c>
      <c r="AE313" t="s">
        <v>62</v>
      </c>
      <c r="AF313">
        <v>31350</v>
      </c>
      <c r="AG313">
        <v>2850</v>
      </c>
      <c r="AH313">
        <v>5700</v>
      </c>
      <c r="AI313">
        <v>22800</v>
      </c>
      <c r="AJ313" t="s">
        <v>209</v>
      </c>
      <c r="AK313" t="s">
        <v>231</v>
      </c>
      <c r="AL313">
        <v>2001</v>
      </c>
      <c r="AM313" t="s">
        <v>56</v>
      </c>
      <c r="AN313" s="2">
        <f t="shared" si="28"/>
        <v>40.892726703537512</v>
      </c>
      <c r="AO313">
        <f t="shared" si="29"/>
        <v>-30584.36</v>
      </c>
      <c r="AP313" s="2">
        <f t="shared" si="30"/>
        <v>2.4421549551848425E-2</v>
      </c>
      <c r="AQ313" s="2">
        <f t="shared" si="34"/>
        <v>14</v>
      </c>
      <c r="AR313">
        <f t="shared" si="31"/>
        <v>10</v>
      </c>
      <c r="AS313" t="str">
        <f t="shared" si="32"/>
        <v>High Claim Ratio</v>
      </c>
      <c r="AT313" t="str">
        <f t="shared" si="33"/>
        <v>High Profit</v>
      </c>
    </row>
    <row r="314" spans="1:46" x14ac:dyDescent="0.2">
      <c r="A314">
        <v>158</v>
      </c>
      <c r="B314">
        <v>33</v>
      </c>
      <c r="C314">
        <v>278091</v>
      </c>
      <c r="D314" s="1">
        <v>41612</v>
      </c>
      <c r="E314" t="s">
        <v>39</v>
      </c>
      <c r="F314" t="s">
        <v>69</v>
      </c>
      <c r="G314">
        <v>2000</v>
      </c>
      <c r="H314">
        <v>1327.41</v>
      </c>
      <c r="I314">
        <v>0</v>
      </c>
      <c r="J314">
        <v>440930</v>
      </c>
      <c r="K314" t="s">
        <v>70</v>
      </c>
      <c r="L314" t="s">
        <v>92</v>
      </c>
      <c r="M314" t="s">
        <v>159</v>
      </c>
      <c r="N314" t="s">
        <v>132</v>
      </c>
      <c r="O314" t="s">
        <v>60</v>
      </c>
      <c r="P314">
        <v>0</v>
      </c>
      <c r="Q314">
        <v>-38600</v>
      </c>
      <c r="R314" s="1">
        <v>42008</v>
      </c>
      <c r="S314" t="s">
        <v>46</v>
      </c>
      <c r="T314" t="s">
        <v>47</v>
      </c>
      <c r="U314" t="s">
        <v>107</v>
      </c>
      <c r="V314" t="s">
        <v>120</v>
      </c>
      <c r="W314" t="s">
        <v>50</v>
      </c>
      <c r="X314" t="s">
        <v>122</v>
      </c>
      <c r="Y314" t="s">
        <v>491</v>
      </c>
      <c r="Z314">
        <v>0</v>
      </c>
      <c r="AA314">
        <v>1</v>
      </c>
      <c r="AB314" t="s">
        <v>62</v>
      </c>
      <c r="AC314">
        <v>0</v>
      </c>
      <c r="AD314">
        <v>0</v>
      </c>
      <c r="AE314" t="s">
        <v>62</v>
      </c>
      <c r="AF314">
        <v>35000</v>
      </c>
      <c r="AG314">
        <v>3500</v>
      </c>
      <c r="AH314">
        <v>7000</v>
      </c>
      <c r="AI314">
        <v>24500</v>
      </c>
      <c r="AJ314" t="s">
        <v>153</v>
      </c>
      <c r="AK314" t="s">
        <v>154</v>
      </c>
      <c r="AL314">
        <v>2012</v>
      </c>
      <c r="AM314" t="s">
        <v>82</v>
      </c>
      <c r="AN314" s="2">
        <f t="shared" si="28"/>
        <v>26.347287358571524</v>
      </c>
      <c r="AO314">
        <f t="shared" si="29"/>
        <v>-33672.589999999997</v>
      </c>
      <c r="AP314" s="2">
        <f t="shared" si="30"/>
        <v>3.7924916430959119E-2</v>
      </c>
      <c r="AQ314" s="2">
        <f t="shared" si="34"/>
        <v>3</v>
      </c>
      <c r="AR314">
        <f t="shared" si="31"/>
        <v>158</v>
      </c>
      <c r="AS314" t="str">
        <f t="shared" si="32"/>
        <v>High Claim Ratio</v>
      </c>
      <c r="AT314" t="str">
        <f t="shared" si="33"/>
        <v>High Profit</v>
      </c>
    </row>
    <row r="315" spans="1:46" x14ac:dyDescent="0.2">
      <c r="A315">
        <v>436</v>
      </c>
      <c r="B315">
        <v>59</v>
      </c>
      <c r="C315">
        <v>153154</v>
      </c>
      <c r="D315" s="1">
        <v>40411</v>
      </c>
      <c r="E315" t="s">
        <v>39</v>
      </c>
      <c r="F315" t="s">
        <v>91</v>
      </c>
      <c r="G315">
        <v>1000</v>
      </c>
      <c r="H315">
        <v>1338.55</v>
      </c>
      <c r="I315">
        <v>0</v>
      </c>
      <c r="J315">
        <v>430380</v>
      </c>
      <c r="K315" t="s">
        <v>41</v>
      </c>
      <c r="L315" t="s">
        <v>71</v>
      </c>
      <c r="M315" t="s">
        <v>135</v>
      </c>
      <c r="N315" t="s">
        <v>73</v>
      </c>
      <c r="O315" t="s">
        <v>74</v>
      </c>
      <c r="P315">
        <v>39000</v>
      </c>
      <c r="Q315">
        <v>0</v>
      </c>
      <c r="R315" s="1">
        <v>42016</v>
      </c>
      <c r="S315" t="s">
        <v>75</v>
      </c>
      <c r="T315" t="s">
        <v>47</v>
      </c>
      <c r="U315" t="s">
        <v>107</v>
      </c>
      <c r="V315" t="s">
        <v>49</v>
      </c>
      <c r="W315" t="s">
        <v>113</v>
      </c>
      <c r="X315" t="s">
        <v>122</v>
      </c>
      <c r="Y315" t="s">
        <v>492</v>
      </c>
      <c r="Z315">
        <v>10</v>
      </c>
      <c r="AA315">
        <v>3</v>
      </c>
      <c r="AB315" t="s">
        <v>62</v>
      </c>
      <c r="AC315">
        <v>2</v>
      </c>
      <c r="AD315">
        <v>2</v>
      </c>
      <c r="AE315" t="s">
        <v>79</v>
      </c>
      <c r="AF315">
        <v>68000</v>
      </c>
      <c r="AG315">
        <v>13600</v>
      </c>
      <c r="AH315">
        <v>6800</v>
      </c>
      <c r="AI315">
        <v>47600</v>
      </c>
      <c r="AJ315" t="s">
        <v>115</v>
      </c>
      <c r="AK315" t="s">
        <v>183</v>
      </c>
      <c r="AL315">
        <v>2014</v>
      </c>
      <c r="AM315" t="s">
        <v>82</v>
      </c>
      <c r="AN315" s="2">
        <f t="shared" si="28"/>
        <v>50.763316038968313</v>
      </c>
      <c r="AO315">
        <f t="shared" si="29"/>
        <v>-66661.45</v>
      </c>
      <c r="AP315" s="2">
        <f t="shared" si="30"/>
        <v>1.9684269348980162E-2</v>
      </c>
      <c r="AQ315" s="2">
        <f t="shared" si="34"/>
        <v>1</v>
      </c>
      <c r="AR315">
        <f t="shared" si="31"/>
        <v>436</v>
      </c>
      <c r="AS315" t="str">
        <f t="shared" si="32"/>
        <v>High Claim Ratio</v>
      </c>
      <c r="AT315" t="str">
        <f t="shared" si="33"/>
        <v>High Profit</v>
      </c>
    </row>
    <row r="316" spans="1:46" x14ac:dyDescent="0.2">
      <c r="A316">
        <v>91</v>
      </c>
      <c r="B316">
        <v>30</v>
      </c>
      <c r="C316">
        <v>515217</v>
      </c>
      <c r="D316" s="1">
        <v>40347</v>
      </c>
      <c r="E316" t="s">
        <v>83</v>
      </c>
      <c r="F316" t="s">
        <v>40</v>
      </c>
      <c r="G316">
        <v>2000</v>
      </c>
      <c r="H316">
        <v>1316.63</v>
      </c>
      <c r="I316">
        <v>8000000</v>
      </c>
      <c r="J316">
        <v>613178</v>
      </c>
      <c r="K316" t="s">
        <v>70</v>
      </c>
      <c r="L316" t="s">
        <v>124</v>
      </c>
      <c r="M316" t="s">
        <v>58</v>
      </c>
      <c r="N316" t="s">
        <v>112</v>
      </c>
      <c r="O316" t="s">
        <v>85</v>
      </c>
      <c r="P316">
        <v>43900</v>
      </c>
      <c r="Q316">
        <v>0</v>
      </c>
      <c r="R316" s="1">
        <v>42012</v>
      </c>
      <c r="S316" t="s">
        <v>75</v>
      </c>
      <c r="T316" t="s">
        <v>47</v>
      </c>
      <c r="U316" t="s">
        <v>63</v>
      </c>
      <c r="V316" t="s">
        <v>120</v>
      </c>
      <c r="W316" t="s">
        <v>50</v>
      </c>
      <c r="X316" t="s">
        <v>127</v>
      </c>
      <c r="Y316" t="s">
        <v>493</v>
      </c>
      <c r="Z316">
        <v>13</v>
      </c>
      <c r="AA316">
        <v>3</v>
      </c>
      <c r="AB316" t="s">
        <v>53</v>
      </c>
      <c r="AC316">
        <v>2</v>
      </c>
      <c r="AD316">
        <v>0</v>
      </c>
      <c r="AE316" t="s">
        <v>62</v>
      </c>
      <c r="AF316">
        <v>84500</v>
      </c>
      <c r="AG316">
        <v>13000</v>
      </c>
      <c r="AH316">
        <v>13000</v>
      </c>
      <c r="AI316">
        <v>58500</v>
      </c>
      <c r="AJ316" t="s">
        <v>187</v>
      </c>
      <c r="AK316" t="s">
        <v>238</v>
      </c>
      <c r="AL316">
        <v>2009</v>
      </c>
      <c r="AM316" t="s">
        <v>82</v>
      </c>
      <c r="AN316" s="2">
        <f t="shared" si="28"/>
        <v>64.130294543991866</v>
      </c>
      <c r="AO316">
        <f t="shared" si="29"/>
        <v>-83183.37</v>
      </c>
      <c r="AP316" s="2">
        <f t="shared" si="30"/>
        <v>1.5581235725021007E-2</v>
      </c>
      <c r="AQ316" s="2">
        <f t="shared" si="34"/>
        <v>6</v>
      </c>
      <c r="AR316">
        <f t="shared" si="31"/>
        <v>91</v>
      </c>
      <c r="AS316" t="str">
        <f t="shared" si="32"/>
        <v>High Claim Ratio</v>
      </c>
      <c r="AT316" t="str">
        <f t="shared" si="33"/>
        <v>High Profit</v>
      </c>
    </row>
    <row r="317" spans="1:46" x14ac:dyDescent="0.2">
      <c r="A317">
        <v>256</v>
      </c>
      <c r="B317">
        <v>42</v>
      </c>
      <c r="C317">
        <v>860497</v>
      </c>
      <c r="D317" s="1">
        <v>33704</v>
      </c>
      <c r="E317" t="s">
        <v>83</v>
      </c>
      <c r="F317" t="s">
        <v>91</v>
      </c>
      <c r="G317">
        <v>1000</v>
      </c>
      <c r="H317">
        <v>1286.44</v>
      </c>
      <c r="I317">
        <v>0</v>
      </c>
      <c r="J317">
        <v>460564</v>
      </c>
      <c r="K317" t="s">
        <v>70</v>
      </c>
      <c r="L317" t="s">
        <v>42</v>
      </c>
      <c r="M317" t="s">
        <v>145</v>
      </c>
      <c r="N317" t="s">
        <v>98</v>
      </c>
      <c r="O317" t="s">
        <v>119</v>
      </c>
      <c r="P317">
        <v>0</v>
      </c>
      <c r="Q317">
        <v>-39500</v>
      </c>
      <c r="R317" s="1">
        <v>42026</v>
      </c>
      <c r="S317" t="s">
        <v>46</v>
      </c>
      <c r="T317" t="s">
        <v>76</v>
      </c>
      <c r="U317" t="s">
        <v>63</v>
      </c>
      <c r="V317" t="s">
        <v>49</v>
      </c>
      <c r="W317" t="s">
        <v>113</v>
      </c>
      <c r="X317" t="s">
        <v>127</v>
      </c>
      <c r="Y317" t="s">
        <v>494</v>
      </c>
      <c r="Z317">
        <v>14</v>
      </c>
      <c r="AA317">
        <v>1</v>
      </c>
      <c r="AB317" t="s">
        <v>79</v>
      </c>
      <c r="AC317">
        <v>2</v>
      </c>
      <c r="AD317">
        <v>1</v>
      </c>
      <c r="AE317" t="s">
        <v>62</v>
      </c>
      <c r="AF317">
        <v>75500</v>
      </c>
      <c r="AG317">
        <v>7550</v>
      </c>
      <c r="AH317">
        <v>15100</v>
      </c>
      <c r="AI317">
        <v>52850</v>
      </c>
      <c r="AJ317" t="s">
        <v>104</v>
      </c>
      <c r="AK317" t="s">
        <v>287</v>
      </c>
      <c r="AL317">
        <v>1998</v>
      </c>
      <c r="AM317" t="s">
        <v>82</v>
      </c>
      <c r="AN317" s="2">
        <f t="shared" si="28"/>
        <v>58.643509600447395</v>
      </c>
      <c r="AO317">
        <f t="shared" si="29"/>
        <v>-74213.56</v>
      </c>
      <c r="AP317" s="2">
        <f t="shared" si="30"/>
        <v>1.7038714719010344E-2</v>
      </c>
      <c r="AQ317" s="2">
        <f t="shared" si="34"/>
        <v>17</v>
      </c>
      <c r="AR317">
        <f t="shared" si="31"/>
        <v>256</v>
      </c>
      <c r="AS317" t="str">
        <f t="shared" si="32"/>
        <v>High Claim Ratio</v>
      </c>
      <c r="AT317" t="str">
        <f t="shared" si="33"/>
        <v>High Profit</v>
      </c>
    </row>
    <row r="318" spans="1:46" x14ac:dyDescent="0.2">
      <c r="A318">
        <v>274</v>
      </c>
      <c r="B318">
        <v>46</v>
      </c>
      <c r="C318">
        <v>351741</v>
      </c>
      <c r="D318" s="1">
        <v>35464</v>
      </c>
      <c r="E318" t="s">
        <v>39</v>
      </c>
      <c r="F318" t="s">
        <v>91</v>
      </c>
      <c r="G318">
        <v>1000</v>
      </c>
      <c r="H318">
        <v>1372.18</v>
      </c>
      <c r="I318">
        <v>0</v>
      </c>
      <c r="J318">
        <v>439929</v>
      </c>
      <c r="K318" t="s">
        <v>41</v>
      </c>
      <c r="L318" t="s">
        <v>131</v>
      </c>
      <c r="M318" t="s">
        <v>125</v>
      </c>
      <c r="N318" t="s">
        <v>98</v>
      </c>
      <c r="O318" t="s">
        <v>142</v>
      </c>
      <c r="P318">
        <v>0</v>
      </c>
      <c r="Q318">
        <v>0</v>
      </c>
      <c r="R318" s="1">
        <v>42017</v>
      </c>
      <c r="S318" t="s">
        <v>75</v>
      </c>
      <c r="T318" t="s">
        <v>47</v>
      </c>
      <c r="U318" t="s">
        <v>107</v>
      </c>
      <c r="V318" t="s">
        <v>120</v>
      </c>
      <c r="W318" t="s">
        <v>113</v>
      </c>
      <c r="X318" t="s">
        <v>65</v>
      </c>
      <c r="Y318" t="s">
        <v>495</v>
      </c>
      <c r="Z318">
        <v>22</v>
      </c>
      <c r="AA318">
        <v>3</v>
      </c>
      <c r="AB318" t="s">
        <v>79</v>
      </c>
      <c r="AC318">
        <v>1</v>
      </c>
      <c r="AD318">
        <v>3</v>
      </c>
      <c r="AE318" t="s">
        <v>62</v>
      </c>
      <c r="AF318">
        <v>90600</v>
      </c>
      <c r="AG318">
        <v>15100</v>
      </c>
      <c r="AH318">
        <v>15100</v>
      </c>
      <c r="AI318">
        <v>60400</v>
      </c>
      <c r="AJ318" t="s">
        <v>187</v>
      </c>
      <c r="AK318" t="s">
        <v>203</v>
      </c>
      <c r="AL318">
        <v>2009</v>
      </c>
      <c r="AM318" t="s">
        <v>82</v>
      </c>
      <c r="AN318" s="2">
        <f t="shared" si="28"/>
        <v>65.978240288964301</v>
      </c>
      <c r="AO318">
        <f t="shared" si="29"/>
        <v>-89227.82</v>
      </c>
      <c r="AP318" s="2">
        <f t="shared" si="30"/>
        <v>1.5145307446937673E-2</v>
      </c>
      <c r="AQ318" s="2">
        <f t="shared" si="34"/>
        <v>6</v>
      </c>
      <c r="AR318">
        <f t="shared" si="31"/>
        <v>274</v>
      </c>
      <c r="AS318" t="str">
        <f t="shared" si="32"/>
        <v>High Claim Ratio</v>
      </c>
      <c r="AT318" t="str">
        <f t="shared" si="33"/>
        <v>High Profit</v>
      </c>
    </row>
    <row r="319" spans="1:46" x14ac:dyDescent="0.2">
      <c r="A319">
        <v>275</v>
      </c>
      <c r="B319">
        <v>45</v>
      </c>
      <c r="C319">
        <v>403737</v>
      </c>
      <c r="D319" s="1">
        <v>33578</v>
      </c>
      <c r="E319" t="s">
        <v>57</v>
      </c>
      <c r="F319" t="s">
        <v>91</v>
      </c>
      <c r="G319">
        <v>2000</v>
      </c>
      <c r="H319">
        <v>1447.77</v>
      </c>
      <c r="I319">
        <v>0</v>
      </c>
      <c r="J319">
        <v>605756</v>
      </c>
      <c r="K319" t="s">
        <v>70</v>
      </c>
      <c r="L319" t="s">
        <v>92</v>
      </c>
      <c r="M319" t="s">
        <v>185</v>
      </c>
      <c r="N319" t="s">
        <v>118</v>
      </c>
      <c r="O319" t="s">
        <v>119</v>
      </c>
      <c r="P319">
        <v>39400</v>
      </c>
      <c r="Q319">
        <v>-63900</v>
      </c>
      <c r="R319" s="1">
        <v>42022</v>
      </c>
      <c r="S319" t="s">
        <v>75</v>
      </c>
      <c r="T319" t="s">
        <v>47</v>
      </c>
      <c r="U319" t="s">
        <v>107</v>
      </c>
      <c r="V319" t="s">
        <v>136</v>
      </c>
      <c r="W319" t="s">
        <v>64</v>
      </c>
      <c r="X319" t="s">
        <v>127</v>
      </c>
      <c r="Y319" t="s">
        <v>496</v>
      </c>
      <c r="Z319">
        <v>8</v>
      </c>
      <c r="AA319">
        <v>3</v>
      </c>
      <c r="AB319" t="s">
        <v>53</v>
      </c>
      <c r="AC319">
        <v>1</v>
      </c>
      <c r="AD319">
        <v>1</v>
      </c>
      <c r="AE319" t="s">
        <v>62</v>
      </c>
      <c r="AF319">
        <v>64320</v>
      </c>
      <c r="AG319">
        <v>5360</v>
      </c>
      <c r="AH319">
        <v>10720</v>
      </c>
      <c r="AI319">
        <v>48240</v>
      </c>
      <c r="AJ319" t="s">
        <v>95</v>
      </c>
      <c r="AK319" t="s">
        <v>148</v>
      </c>
      <c r="AL319">
        <v>1998</v>
      </c>
      <c r="AM319" t="s">
        <v>82</v>
      </c>
      <c r="AN319" s="2">
        <f t="shared" si="28"/>
        <v>44.396280983178833</v>
      </c>
      <c r="AO319">
        <f t="shared" si="29"/>
        <v>-62872.23</v>
      </c>
      <c r="AP319" s="2">
        <f t="shared" si="30"/>
        <v>2.2508511994527448E-2</v>
      </c>
      <c r="AQ319" s="2">
        <f t="shared" si="34"/>
        <v>17</v>
      </c>
      <c r="AR319">
        <f t="shared" si="31"/>
        <v>275</v>
      </c>
      <c r="AS319" t="str">
        <f t="shared" si="32"/>
        <v>High Claim Ratio</v>
      </c>
      <c r="AT319" t="str">
        <f t="shared" si="33"/>
        <v>High Profit</v>
      </c>
    </row>
    <row r="320" spans="1:46" x14ac:dyDescent="0.2">
      <c r="A320">
        <v>1</v>
      </c>
      <c r="B320">
        <v>33</v>
      </c>
      <c r="C320">
        <v>162004</v>
      </c>
      <c r="D320" s="1">
        <v>34961</v>
      </c>
      <c r="E320" t="s">
        <v>83</v>
      </c>
      <c r="F320" t="s">
        <v>40</v>
      </c>
      <c r="G320">
        <v>500</v>
      </c>
      <c r="H320">
        <v>903.32</v>
      </c>
      <c r="I320">
        <v>0</v>
      </c>
      <c r="J320">
        <v>451184</v>
      </c>
      <c r="K320" t="s">
        <v>70</v>
      </c>
      <c r="L320" t="s">
        <v>131</v>
      </c>
      <c r="M320" t="s">
        <v>145</v>
      </c>
      <c r="N320" t="s">
        <v>155</v>
      </c>
      <c r="O320" t="s">
        <v>142</v>
      </c>
      <c r="P320">
        <v>0</v>
      </c>
      <c r="Q320">
        <v>0</v>
      </c>
      <c r="R320" s="1">
        <v>42023</v>
      </c>
      <c r="S320" t="s">
        <v>75</v>
      </c>
      <c r="T320" t="s">
        <v>76</v>
      </c>
      <c r="U320" t="s">
        <v>63</v>
      </c>
      <c r="V320" t="s">
        <v>49</v>
      </c>
      <c r="W320" t="s">
        <v>77</v>
      </c>
      <c r="X320" t="s">
        <v>127</v>
      </c>
      <c r="Y320" t="s">
        <v>497</v>
      </c>
      <c r="Z320">
        <v>1</v>
      </c>
      <c r="AA320">
        <v>3</v>
      </c>
      <c r="AB320" t="s">
        <v>62</v>
      </c>
      <c r="AC320">
        <v>1</v>
      </c>
      <c r="AD320">
        <v>0</v>
      </c>
      <c r="AE320" t="s">
        <v>62</v>
      </c>
      <c r="AF320">
        <v>31700</v>
      </c>
      <c r="AG320">
        <v>6340</v>
      </c>
      <c r="AH320">
        <v>3170</v>
      </c>
      <c r="AI320">
        <v>22190</v>
      </c>
      <c r="AJ320" t="s">
        <v>115</v>
      </c>
      <c r="AK320" t="s">
        <v>140</v>
      </c>
      <c r="AL320">
        <v>2006</v>
      </c>
      <c r="AM320" t="s">
        <v>82</v>
      </c>
      <c r="AN320" s="2">
        <f t="shared" si="28"/>
        <v>35.053963198867656</v>
      </c>
      <c r="AO320">
        <f t="shared" si="29"/>
        <v>-30796.68</v>
      </c>
      <c r="AP320" s="2">
        <f t="shared" si="30"/>
        <v>2.8495000157723733E-2</v>
      </c>
      <c r="AQ320" s="2">
        <f t="shared" si="34"/>
        <v>9</v>
      </c>
      <c r="AR320">
        <f t="shared" si="31"/>
        <v>1</v>
      </c>
      <c r="AS320" t="str">
        <f t="shared" si="32"/>
        <v>High Claim Ratio</v>
      </c>
      <c r="AT320" t="str">
        <f t="shared" si="33"/>
        <v>High Profit</v>
      </c>
    </row>
    <row r="321" spans="1:46" x14ac:dyDescent="0.2">
      <c r="A321">
        <v>85</v>
      </c>
      <c r="B321">
        <v>30</v>
      </c>
      <c r="C321">
        <v>740384</v>
      </c>
      <c r="D321" s="1">
        <v>34271</v>
      </c>
      <c r="E321" t="s">
        <v>57</v>
      </c>
      <c r="F321" t="s">
        <v>91</v>
      </c>
      <c r="G321">
        <v>1000</v>
      </c>
      <c r="H321">
        <v>1454.42</v>
      </c>
      <c r="I321">
        <v>0</v>
      </c>
      <c r="J321">
        <v>459588</v>
      </c>
      <c r="K321" t="s">
        <v>41</v>
      </c>
      <c r="L321" t="s">
        <v>92</v>
      </c>
      <c r="M321" t="s">
        <v>135</v>
      </c>
      <c r="N321" t="s">
        <v>59</v>
      </c>
      <c r="O321" t="s">
        <v>60</v>
      </c>
      <c r="P321">
        <v>51600</v>
      </c>
      <c r="Q321">
        <v>-73900</v>
      </c>
      <c r="R321" s="1">
        <v>42035</v>
      </c>
      <c r="S321" t="s">
        <v>46</v>
      </c>
      <c r="T321" t="s">
        <v>47</v>
      </c>
      <c r="U321" t="s">
        <v>48</v>
      </c>
      <c r="V321" t="s">
        <v>120</v>
      </c>
      <c r="W321" t="s">
        <v>77</v>
      </c>
      <c r="X321" t="s">
        <v>102</v>
      </c>
      <c r="Y321" t="s">
        <v>498</v>
      </c>
      <c r="Z321">
        <v>19</v>
      </c>
      <c r="AA321">
        <v>1</v>
      </c>
      <c r="AB321" t="s">
        <v>53</v>
      </c>
      <c r="AC321">
        <v>0</v>
      </c>
      <c r="AD321">
        <v>1</v>
      </c>
      <c r="AE321" t="s">
        <v>53</v>
      </c>
      <c r="AF321">
        <v>74280</v>
      </c>
      <c r="AG321">
        <v>12380</v>
      </c>
      <c r="AH321">
        <v>12380</v>
      </c>
      <c r="AI321">
        <v>49520</v>
      </c>
      <c r="AJ321" t="s">
        <v>153</v>
      </c>
      <c r="AK321" t="s">
        <v>167</v>
      </c>
      <c r="AL321">
        <v>2006</v>
      </c>
      <c r="AM321" t="s">
        <v>56</v>
      </c>
      <c r="AN321" s="2">
        <f t="shared" si="28"/>
        <v>51.036814115513046</v>
      </c>
      <c r="AO321">
        <f t="shared" si="29"/>
        <v>-72825.58</v>
      </c>
      <c r="AP321" s="2">
        <f t="shared" si="30"/>
        <v>1.9579973344462244E-2</v>
      </c>
      <c r="AQ321" s="2">
        <f t="shared" si="34"/>
        <v>9</v>
      </c>
      <c r="AR321">
        <f t="shared" si="31"/>
        <v>85</v>
      </c>
      <c r="AS321" t="str">
        <f t="shared" si="32"/>
        <v>High Claim Ratio</v>
      </c>
      <c r="AT321" t="str">
        <f t="shared" si="33"/>
        <v>High Profit</v>
      </c>
    </row>
    <row r="322" spans="1:46" x14ac:dyDescent="0.2">
      <c r="A322">
        <v>233</v>
      </c>
      <c r="B322">
        <v>37</v>
      </c>
      <c r="C322">
        <v>876714</v>
      </c>
      <c r="D322" s="1">
        <v>33545</v>
      </c>
      <c r="E322" t="s">
        <v>83</v>
      </c>
      <c r="F322" t="s">
        <v>69</v>
      </c>
      <c r="G322">
        <v>2000</v>
      </c>
      <c r="H322">
        <v>1603.42</v>
      </c>
      <c r="I322">
        <v>0</v>
      </c>
      <c r="J322">
        <v>616637</v>
      </c>
      <c r="K322" t="s">
        <v>70</v>
      </c>
      <c r="L322" t="s">
        <v>131</v>
      </c>
      <c r="M322" t="s">
        <v>72</v>
      </c>
      <c r="N322" t="s">
        <v>181</v>
      </c>
      <c r="O322" t="s">
        <v>119</v>
      </c>
      <c r="P322">
        <v>61600</v>
      </c>
      <c r="Q322">
        <v>-30200</v>
      </c>
      <c r="R322" s="1">
        <v>42041</v>
      </c>
      <c r="S322" t="s">
        <v>46</v>
      </c>
      <c r="T322" t="s">
        <v>86</v>
      </c>
      <c r="U322" t="s">
        <v>107</v>
      </c>
      <c r="V322" t="s">
        <v>99</v>
      </c>
      <c r="W322" t="s">
        <v>77</v>
      </c>
      <c r="X322" t="s">
        <v>51</v>
      </c>
      <c r="Y322" t="s">
        <v>499</v>
      </c>
      <c r="Z322">
        <v>17</v>
      </c>
      <c r="AA322">
        <v>1</v>
      </c>
      <c r="AB322" t="s">
        <v>53</v>
      </c>
      <c r="AC322">
        <v>0</v>
      </c>
      <c r="AD322">
        <v>2</v>
      </c>
      <c r="AE322" t="s">
        <v>53</v>
      </c>
      <c r="AF322">
        <v>80520</v>
      </c>
      <c r="AG322">
        <v>13420</v>
      </c>
      <c r="AH322">
        <v>6710</v>
      </c>
      <c r="AI322">
        <v>60390</v>
      </c>
      <c r="AJ322" t="s">
        <v>115</v>
      </c>
      <c r="AK322" t="s">
        <v>183</v>
      </c>
      <c r="AL322">
        <v>2005</v>
      </c>
      <c r="AM322" t="s">
        <v>82</v>
      </c>
      <c r="AN322" s="2">
        <f t="shared" si="28"/>
        <v>50.186360180002737</v>
      </c>
      <c r="AO322">
        <f t="shared" si="29"/>
        <v>-78916.58</v>
      </c>
      <c r="AP322" s="2">
        <f t="shared" si="30"/>
        <v>1.9913066156654786E-2</v>
      </c>
      <c r="AQ322" s="2">
        <f t="shared" si="34"/>
        <v>10</v>
      </c>
      <c r="AR322">
        <f t="shared" si="31"/>
        <v>233</v>
      </c>
      <c r="AS322" t="str">
        <f t="shared" si="32"/>
        <v>High Claim Ratio</v>
      </c>
      <c r="AT322" t="str">
        <f t="shared" si="33"/>
        <v>High Profit</v>
      </c>
    </row>
    <row r="323" spans="1:46" x14ac:dyDescent="0.2">
      <c r="A323">
        <v>142</v>
      </c>
      <c r="B323">
        <v>30</v>
      </c>
      <c r="C323">
        <v>951543</v>
      </c>
      <c r="D323" s="1">
        <v>37446</v>
      </c>
      <c r="E323" t="s">
        <v>57</v>
      </c>
      <c r="F323" t="s">
        <v>40</v>
      </c>
      <c r="G323">
        <v>2000</v>
      </c>
      <c r="H323">
        <v>1616.58</v>
      </c>
      <c r="I323">
        <v>0</v>
      </c>
      <c r="J323">
        <v>447979</v>
      </c>
      <c r="K323" t="s">
        <v>41</v>
      </c>
      <c r="L323" t="s">
        <v>161</v>
      </c>
      <c r="M323" t="s">
        <v>185</v>
      </c>
      <c r="N323" t="s">
        <v>173</v>
      </c>
      <c r="O323" t="s">
        <v>45</v>
      </c>
      <c r="P323">
        <v>58500</v>
      </c>
      <c r="Q323">
        <v>-46800</v>
      </c>
      <c r="R323" s="1">
        <v>42039</v>
      </c>
      <c r="S323" t="s">
        <v>75</v>
      </c>
      <c r="T323" t="s">
        <v>76</v>
      </c>
      <c r="U323" t="s">
        <v>48</v>
      </c>
      <c r="V323" t="s">
        <v>120</v>
      </c>
      <c r="W323" t="s">
        <v>50</v>
      </c>
      <c r="X323" t="s">
        <v>122</v>
      </c>
      <c r="Y323" t="s">
        <v>500</v>
      </c>
      <c r="Z323">
        <v>13</v>
      </c>
      <c r="AA323">
        <v>3</v>
      </c>
      <c r="AB323" t="s">
        <v>53</v>
      </c>
      <c r="AC323">
        <v>0</v>
      </c>
      <c r="AD323">
        <v>3</v>
      </c>
      <c r="AE323" t="s">
        <v>53</v>
      </c>
      <c r="AF323">
        <v>63600</v>
      </c>
      <c r="AG323">
        <v>6360</v>
      </c>
      <c r="AH323">
        <v>12720</v>
      </c>
      <c r="AI323">
        <v>44520</v>
      </c>
      <c r="AJ323" t="s">
        <v>80</v>
      </c>
      <c r="AK323" t="s">
        <v>81</v>
      </c>
      <c r="AL323">
        <v>2010</v>
      </c>
      <c r="AM323" t="s">
        <v>82</v>
      </c>
      <c r="AN323" s="2">
        <f t="shared" ref="AN323:AN386" si="35">AF323/(H323+1)</f>
        <v>39.31799354591427</v>
      </c>
      <c r="AO323">
        <f t="shared" ref="AO323:AO386" si="36">H323-AF323</f>
        <v>-61983.42</v>
      </c>
      <c r="AP323" s="2">
        <f t="shared" ref="AP323:AP386" si="37">H323/(AF323+1)</f>
        <v>2.541752488168425E-2</v>
      </c>
      <c r="AQ323" s="2">
        <f t="shared" si="34"/>
        <v>5</v>
      </c>
      <c r="AR323">
        <f t="shared" ref="AR323:AR386" si="38">A323</f>
        <v>142</v>
      </c>
      <c r="AS323" t="str">
        <f t="shared" ref="AS323:AS386" si="39">IF(AN323&lt;5,"Low Claim Ratio",
 IF(AN323&lt;20,"Medium Claim Ratio",
 "High Claim Ratio"))</f>
        <v>High Claim Ratio</v>
      </c>
      <c r="AT323" t="str">
        <f t="shared" ref="AT323:AT386" si="40">IF(-AO323&lt;0,"Loss Making",
 IF(-AO323&lt;5000,"Low Profit",
 "High Profit"))</f>
        <v>High Profit</v>
      </c>
    </row>
    <row r="324" spans="1:46" x14ac:dyDescent="0.2">
      <c r="A324">
        <v>266</v>
      </c>
      <c r="B324">
        <v>44</v>
      </c>
      <c r="C324">
        <v>576723</v>
      </c>
      <c r="D324" s="1">
        <v>36501</v>
      </c>
      <c r="E324" t="s">
        <v>83</v>
      </c>
      <c r="F324" t="s">
        <v>40</v>
      </c>
      <c r="G324">
        <v>500</v>
      </c>
      <c r="H324">
        <v>1611.83</v>
      </c>
      <c r="I324">
        <v>0</v>
      </c>
      <c r="J324">
        <v>460176</v>
      </c>
      <c r="K324" t="s">
        <v>41</v>
      </c>
      <c r="L324" t="s">
        <v>131</v>
      </c>
      <c r="M324" t="s">
        <v>159</v>
      </c>
      <c r="N324" t="s">
        <v>146</v>
      </c>
      <c r="O324" t="s">
        <v>45</v>
      </c>
      <c r="P324">
        <v>0</v>
      </c>
      <c r="Q324">
        <v>0</v>
      </c>
      <c r="R324" s="1">
        <v>42006</v>
      </c>
      <c r="S324" t="s">
        <v>46</v>
      </c>
      <c r="T324" t="s">
        <v>86</v>
      </c>
      <c r="U324" t="s">
        <v>107</v>
      </c>
      <c r="V324" t="s">
        <v>49</v>
      </c>
      <c r="W324" t="s">
        <v>113</v>
      </c>
      <c r="X324" t="s">
        <v>65</v>
      </c>
      <c r="Y324" t="s">
        <v>501</v>
      </c>
      <c r="Z324">
        <v>4</v>
      </c>
      <c r="AA324">
        <v>1</v>
      </c>
      <c r="AB324" t="s">
        <v>62</v>
      </c>
      <c r="AC324">
        <v>1</v>
      </c>
      <c r="AD324">
        <v>2</v>
      </c>
      <c r="AE324" t="s">
        <v>53</v>
      </c>
      <c r="AF324">
        <v>32800</v>
      </c>
      <c r="AG324">
        <v>3280</v>
      </c>
      <c r="AH324">
        <v>3280</v>
      </c>
      <c r="AI324">
        <v>26240</v>
      </c>
      <c r="AJ324" t="s">
        <v>187</v>
      </c>
      <c r="AK324" t="s">
        <v>188</v>
      </c>
      <c r="AL324">
        <v>2012</v>
      </c>
      <c r="AM324" t="s">
        <v>82</v>
      </c>
      <c r="AN324" s="2">
        <f t="shared" si="35"/>
        <v>20.336923296317654</v>
      </c>
      <c r="AO324">
        <f t="shared" si="36"/>
        <v>-31188.17</v>
      </c>
      <c r="AP324" s="2">
        <f t="shared" si="37"/>
        <v>4.9139660376208039E-2</v>
      </c>
      <c r="AQ324" s="2">
        <f t="shared" ref="AQ324:AQ387" si="41">YEAR(R324)-(AL324)</f>
        <v>3</v>
      </c>
      <c r="AR324">
        <f t="shared" si="38"/>
        <v>266</v>
      </c>
      <c r="AS324" t="str">
        <f t="shared" si="39"/>
        <v>High Claim Ratio</v>
      </c>
      <c r="AT324" t="str">
        <f t="shared" si="40"/>
        <v>High Profit</v>
      </c>
    </row>
    <row r="325" spans="1:46" x14ac:dyDescent="0.2">
      <c r="A325">
        <v>350</v>
      </c>
      <c r="B325">
        <v>50</v>
      </c>
      <c r="C325">
        <v>391003</v>
      </c>
      <c r="D325" s="1">
        <v>38534</v>
      </c>
      <c r="E325" t="s">
        <v>39</v>
      </c>
      <c r="F325" t="s">
        <v>91</v>
      </c>
      <c r="G325">
        <v>500</v>
      </c>
      <c r="H325">
        <v>889.13</v>
      </c>
      <c r="I325">
        <v>0</v>
      </c>
      <c r="J325">
        <v>459429</v>
      </c>
      <c r="K325" t="s">
        <v>70</v>
      </c>
      <c r="L325" t="s">
        <v>124</v>
      </c>
      <c r="M325" t="s">
        <v>117</v>
      </c>
      <c r="N325" t="s">
        <v>73</v>
      </c>
      <c r="O325" t="s">
        <v>60</v>
      </c>
      <c r="P325">
        <v>0</v>
      </c>
      <c r="Q325">
        <v>0</v>
      </c>
      <c r="R325" s="1">
        <v>42061</v>
      </c>
      <c r="S325" t="s">
        <v>75</v>
      </c>
      <c r="T325" t="s">
        <v>76</v>
      </c>
      <c r="U325" t="s">
        <v>107</v>
      </c>
      <c r="V325" t="s">
        <v>49</v>
      </c>
      <c r="W325" t="s">
        <v>175</v>
      </c>
      <c r="X325" t="s">
        <v>127</v>
      </c>
      <c r="Y325" t="s">
        <v>502</v>
      </c>
      <c r="Z325">
        <v>14</v>
      </c>
      <c r="AA325">
        <v>3</v>
      </c>
      <c r="AB325" t="s">
        <v>79</v>
      </c>
      <c r="AC325">
        <v>0</v>
      </c>
      <c r="AD325">
        <v>2</v>
      </c>
      <c r="AE325" t="s">
        <v>79</v>
      </c>
      <c r="AF325">
        <v>44190</v>
      </c>
      <c r="AG325">
        <v>9820</v>
      </c>
      <c r="AH325">
        <v>4910</v>
      </c>
      <c r="AI325">
        <v>29460</v>
      </c>
      <c r="AJ325" t="s">
        <v>109</v>
      </c>
      <c r="AK325" t="s">
        <v>134</v>
      </c>
      <c r="AL325">
        <v>2015</v>
      </c>
      <c r="AM325" t="s">
        <v>82</v>
      </c>
      <c r="AN325" s="2">
        <f t="shared" si="35"/>
        <v>49.64443395908463</v>
      </c>
      <c r="AO325">
        <f t="shared" si="36"/>
        <v>-43300.87</v>
      </c>
      <c r="AP325" s="2">
        <f t="shared" si="37"/>
        <v>2.0120160213618156E-2</v>
      </c>
      <c r="AQ325" s="2">
        <f t="shared" si="41"/>
        <v>0</v>
      </c>
      <c r="AR325">
        <f t="shared" si="38"/>
        <v>350</v>
      </c>
      <c r="AS325" t="str">
        <f t="shared" si="39"/>
        <v>High Claim Ratio</v>
      </c>
      <c r="AT325" t="str">
        <f t="shared" si="40"/>
        <v>High Profit</v>
      </c>
    </row>
    <row r="326" spans="1:46" x14ac:dyDescent="0.2">
      <c r="A326">
        <v>97</v>
      </c>
      <c r="B326">
        <v>26</v>
      </c>
      <c r="C326">
        <v>225865</v>
      </c>
      <c r="D326" s="1">
        <v>33546</v>
      </c>
      <c r="E326" t="s">
        <v>83</v>
      </c>
      <c r="F326" t="s">
        <v>40</v>
      </c>
      <c r="G326">
        <v>1000</v>
      </c>
      <c r="H326">
        <v>1252.08</v>
      </c>
      <c r="I326">
        <v>0</v>
      </c>
      <c r="J326">
        <v>465456</v>
      </c>
      <c r="K326" t="s">
        <v>41</v>
      </c>
      <c r="L326" t="s">
        <v>141</v>
      </c>
      <c r="M326" t="s">
        <v>125</v>
      </c>
      <c r="N326" t="s">
        <v>44</v>
      </c>
      <c r="O326" t="s">
        <v>142</v>
      </c>
      <c r="P326">
        <v>0</v>
      </c>
      <c r="Q326">
        <v>0</v>
      </c>
      <c r="R326" s="1">
        <v>42043</v>
      </c>
      <c r="S326" t="s">
        <v>75</v>
      </c>
      <c r="T326" t="s">
        <v>76</v>
      </c>
      <c r="U326" t="s">
        <v>48</v>
      </c>
      <c r="V326" t="s">
        <v>120</v>
      </c>
      <c r="W326" t="s">
        <v>64</v>
      </c>
      <c r="X326" t="s">
        <v>102</v>
      </c>
      <c r="Y326" t="s">
        <v>503</v>
      </c>
      <c r="Z326">
        <v>4</v>
      </c>
      <c r="AA326">
        <v>2</v>
      </c>
      <c r="AB326" t="s">
        <v>53</v>
      </c>
      <c r="AC326">
        <v>2</v>
      </c>
      <c r="AD326">
        <v>2</v>
      </c>
      <c r="AE326" t="s">
        <v>79</v>
      </c>
      <c r="AF326">
        <v>50400</v>
      </c>
      <c r="AG326">
        <v>10080</v>
      </c>
      <c r="AH326">
        <v>5040</v>
      </c>
      <c r="AI326">
        <v>35280</v>
      </c>
      <c r="AJ326" t="s">
        <v>209</v>
      </c>
      <c r="AK326" t="s">
        <v>225</v>
      </c>
      <c r="AL326">
        <v>2000</v>
      </c>
      <c r="AM326" t="s">
        <v>56</v>
      </c>
      <c r="AN326" s="2">
        <f t="shared" si="35"/>
        <v>40.220895712963262</v>
      </c>
      <c r="AO326">
        <f t="shared" si="36"/>
        <v>-49147.92</v>
      </c>
      <c r="AP326" s="2">
        <f t="shared" si="37"/>
        <v>2.4842364238804784E-2</v>
      </c>
      <c r="AQ326" s="2">
        <f t="shared" si="41"/>
        <v>15</v>
      </c>
      <c r="AR326">
        <f t="shared" si="38"/>
        <v>97</v>
      </c>
      <c r="AS326" t="str">
        <f t="shared" si="39"/>
        <v>High Claim Ratio</v>
      </c>
      <c r="AT326" t="str">
        <f t="shared" si="40"/>
        <v>High Profit</v>
      </c>
    </row>
    <row r="327" spans="1:46" x14ac:dyDescent="0.2">
      <c r="A327">
        <v>399</v>
      </c>
      <c r="B327">
        <v>55</v>
      </c>
      <c r="C327">
        <v>984948</v>
      </c>
      <c r="D327" s="1">
        <v>34073</v>
      </c>
      <c r="E327" t="s">
        <v>83</v>
      </c>
      <c r="F327" t="s">
        <v>91</v>
      </c>
      <c r="G327">
        <v>2000</v>
      </c>
      <c r="H327">
        <v>995.56</v>
      </c>
      <c r="I327">
        <v>0</v>
      </c>
      <c r="J327">
        <v>464665</v>
      </c>
      <c r="K327" t="s">
        <v>41</v>
      </c>
      <c r="L327" t="s">
        <v>161</v>
      </c>
      <c r="M327" t="s">
        <v>97</v>
      </c>
      <c r="N327" t="s">
        <v>44</v>
      </c>
      <c r="O327" t="s">
        <v>142</v>
      </c>
      <c r="P327">
        <v>0</v>
      </c>
      <c r="Q327">
        <v>-65400</v>
      </c>
      <c r="R327" s="1">
        <v>42042</v>
      </c>
      <c r="S327" t="s">
        <v>75</v>
      </c>
      <c r="T327" t="s">
        <v>47</v>
      </c>
      <c r="U327" t="s">
        <v>107</v>
      </c>
      <c r="V327" t="s">
        <v>49</v>
      </c>
      <c r="W327" t="s">
        <v>77</v>
      </c>
      <c r="X327" t="s">
        <v>127</v>
      </c>
      <c r="Y327" t="s">
        <v>504</v>
      </c>
      <c r="Z327">
        <v>23</v>
      </c>
      <c r="AA327">
        <v>3</v>
      </c>
      <c r="AB327" t="s">
        <v>53</v>
      </c>
      <c r="AC327">
        <v>1</v>
      </c>
      <c r="AD327">
        <v>1</v>
      </c>
      <c r="AE327" t="s">
        <v>53</v>
      </c>
      <c r="AF327">
        <v>88400</v>
      </c>
      <c r="AG327">
        <v>17680</v>
      </c>
      <c r="AH327">
        <v>8840</v>
      </c>
      <c r="AI327">
        <v>61880</v>
      </c>
      <c r="AJ327" t="s">
        <v>104</v>
      </c>
      <c r="AK327" t="s">
        <v>105</v>
      </c>
      <c r="AL327">
        <v>2010</v>
      </c>
      <c r="AM327" t="s">
        <v>82</v>
      </c>
      <c r="AN327" s="2">
        <f t="shared" si="35"/>
        <v>88.705145701212174</v>
      </c>
      <c r="AO327">
        <f t="shared" si="36"/>
        <v>-87404.44</v>
      </c>
      <c r="AP327" s="2">
        <f t="shared" si="37"/>
        <v>1.126186355357971E-2</v>
      </c>
      <c r="AQ327" s="2">
        <f t="shared" si="41"/>
        <v>5</v>
      </c>
      <c r="AR327">
        <f t="shared" si="38"/>
        <v>399</v>
      </c>
      <c r="AS327" t="str">
        <f t="shared" si="39"/>
        <v>High Claim Ratio</v>
      </c>
      <c r="AT327" t="str">
        <f t="shared" si="40"/>
        <v>High Profit</v>
      </c>
    </row>
    <row r="328" spans="1:46" x14ac:dyDescent="0.2">
      <c r="A328">
        <v>305</v>
      </c>
      <c r="B328">
        <v>49</v>
      </c>
      <c r="C328">
        <v>890328</v>
      </c>
      <c r="D328" s="1">
        <v>40048</v>
      </c>
      <c r="E328" t="s">
        <v>83</v>
      </c>
      <c r="F328" t="s">
        <v>69</v>
      </c>
      <c r="G328">
        <v>2000</v>
      </c>
      <c r="H328">
        <v>1347.92</v>
      </c>
      <c r="I328">
        <v>0</v>
      </c>
      <c r="J328">
        <v>430853</v>
      </c>
      <c r="K328" t="s">
        <v>70</v>
      </c>
      <c r="L328" t="s">
        <v>131</v>
      </c>
      <c r="M328" t="s">
        <v>189</v>
      </c>
      <c r="N328" t="s">
        <v>98</v>
      </c>
      <c r="O328" t="s">
        <v>74</v>
      </c>
      <c r="P328">
        <v>0</v>
      </c>
      <c r="Q328">
        <v>-42100</v>
      </c>
      <c r="R328" s="1">
        <v>42052</v>
      </c>
      <c r="S328" t="s">
        <v>75</v>
      </c>
      <c r="T328" t="s">
        <v>86</v>
      </c>
      <c r="U328" t="s">
        <v>107</v>
      </c>
      <c r="V328" t="s">
        <v>99</v>
      </c>
      <c r="W328" t="s">
        <v>77</v>
      </c>
      <c r="X328" t="s">
        <v>122</v>
      </c>
      <c r="Y328" t="s">
        <v>505</v>
      </c>
      <c r="Z328">
        <v>21</v>
      </c>
      <c r="AA328">
        <v>3</v>
      </c>
      <c r="AB328" t="s">
        <v>53</v>
      </c>
      <c r="AC328">
        <v>0</v>
      </c>
      <c r="AD328">
        <v>2</v>
      </c>
      <c r="AE328" t="s">
        <v>62</v>
      </c>
      <c r="AF328">
        <v>66550</v>
      </c>
      <c r="AG328">
        <v>12100</v>
      </c>
      <c r="AH328">
        <v>6050</v>
      </c>
      <c r="AI328">
        <v>48400</v>
      </c>
      <c r="AJ328" t="s">
        <v>214</v>
      </c>
      <c r="AK328" t="s">
        <v>258</v>
      </c>
      <c r="AL328">
        <v>2003</v>
      </c>
      <c r="AM328" t="s">
        <v>82</v>
      </c>
      <c r="AN328" s="2">
        <f t="shared" si="35"/>
        <v>49.33576490822287</v>
      </c>
      <c r="AO328">
        <f t="shared" si="36"/>
        <v>-65202.080000000002</v>
      </c>
      <c r="AP328" s="2">
        <f t="shared" si="37"/>
        <v>2.0253940586918304E-2</v>
      </c>
      <c r="AQ328" s="2">
        <f t="shared" si="41"/>
        <v>12</v>
      </c>
      <c r="AR328">
        <f t="shared" si="38"/>
        <v>305</v>
      </c>
      <c r="AS328" t="str">
        <f t="shared" si="39"/>
        <v>High Claim Ratio</v>
      </c>
      <c r="AT328" t="str">
        <f t="shared" si="40"/>
        <v>High Profit</v>
      </c>
    </row>
    <row r="329" spans="1:46" x14ac:dyDescent="0.2">
      <c r="A329">
        <v>276</v>
      </c>
      <c r="B329">
        <v>47</v>
      </c>
      <c r="C329">
        <v>803294</v>
      </c>
      <c r="D329" s="1">
        <v>34138</v>
      </c>
      <c r="E329" t="s">
        <v>57</v>
      </c>
      <c r="F329" t="s">
        <v>69</v>
      </c>
      <c r="G329">
        <v>1000</v>
      </c>
      <c r="H329">
        <v>1724.09</v>
      </c>
      <c r="I329">
        <v>0</v>
      </c>
      <c r="J329">
        <v>615712</v>
      </c>
      <c r="K329" t="s">
        <v>41</v>
      </c>
      <c r="L329" t="s">
        <v>71</v>
      </c>
      <c r="M329" t="s">
        <v>43</v>
      </c>
      <c r="N329" t="s">
        <v>155</v>
      </c>
      <c r="O329" t="s">
        <v>74</v>
      </c>
      <c r="P329">
        <v>0</v>
      </c>
      <c r="Q329">
        <v>0</v>
      </c>
      <c r="R329" s="1">
        <v>42016</v>
      </c>
      <c r="S329" t="s">
        <v>75</v>
      </c>
      <c r="T329" t="s">
        <v>76</v>
      </c>
      <c r="U329" t="s">
        <v>63</v>
      </c>
      <c r="V329" t="s">
        <v>49</v>
      </c>
      <c r="W329" t="s">
        <v>77</v>
      </c>
      <c r="X329" t="s">
        <v>87</v>
      </c>
      <c r="Y329" t="s">
        <v>506</v>
      </c>
      <c r="Z329">
        <v>23</v>
      </c>
      <c r="AA329">
        <v>3</v>
      </c>
      <c r="AB329" t="s">
        <v>53</v>
      </c>
      <c r="AC329">
        <v>0</v>
      </c>
      <c r="AD329">
        <v>0</v>
      </c>
      <c r="AE329" t="s">
        <v>62</v>
      </c>
      <c r="AF329">
        <v>65780</v>
      </c>
      <c r="AG329">
        <v>5980</v>
      </c>
      <c r="AH329">
        <v>11960</v>
      </c>
      <c r="AI329">
        <v>47840</v>
      </c>
      <c r="AJ329" t="s">
        <v>89</v>
      </c>
      <c r="AK329" t="s">
        <v>90</v>
      </c>
      <c r="AL329">
        <v>2014</v>
      </c>
      <c r="AM329" t="s">
        <v>82</v>
      </c>
      <c r="AN329" s="2">
        <f t="shared" si="35"/>
        <v>38.131343871913934</v>
      </c>
      <c r="AO329">
        <f t="shared" si="36"/>
        <v>-64055.91</v>
      </c>
      <c r="AP329" s="2">
        <f t="shared" si="37"/>
        <v>2.6209543789240054E-2</v>
      </c>
      <c r="AQ329" s="2">
        <f t="shared" si="41"/>
        <v>1</v>
      </c>
      <c r="AR329">
        <f t="shared" si="38"/>
        <v>276</v>
      </c>
      <c r="AS329" t="str">
        <f t="shared" si="39"/>
        <v>High Claim Ratio</v>
      </c>
      <c r="AT329" t="str">
        <f t="shared" si="40"/>
        <v>High Profit</v>
      </c>
    </row>
    <row r="330" spans="1:46" x14ac:dyDescent="0.2">
      <c r="A330">
        <v>257</v>
      </c>
      <c r="B330">
        <v>40</v>
      </c>
      <c r="C330">
        <v>414913</v>
      </c>
      <c r="D330" s="1">
        <v>41107</v>
      </c>
      <c r="E330" t="s">
        <v>57</v>
      </c>
      <c r="F330" t="s">
        <v>40</v>
      </c>
      <c r="G330">
        <v>500</v>
      </c>
      <c r="H330">
        <v>1379.93</v>
      </c>
      <c r="I330">
        <v>0</v>
      </c>
      <c r="J330">
        <v>608228</v>
      </c>
      <c r="K330" t="s">
        <v>41</v>
      </c>
      <c r="L330" t="s">
        <v>42</v>
      </c>
      <c r="M330" t="s">
        <v>84</v>
      </c>
      <c r="N330" t="s">
        <v>106</v>
      </c>
      <c r="O330" t="s">
        <v>45</v>
      </c>
      <c r="P330">
        <v>0</v>
      </c>
      <c r="Q330">
        <v>0</v>
      </c>
      <c r="R330" s="1">
        <v>42036</v>
      </c>
      <c r="S330" t="s">
        <v>75</v>
      </c>
      <c r="T330" t="s">
        <v>47</v>
      </c>
      <c r="U330" t="s">
        <v>48</v>
      </c>
      <c r="V330" t="s">
        <v>120</v>
      </c>
      <c r="W330" t="s">
        <v>77</v>
      </c>
      <c r="X330" t="s">
        <v>51</v>
      </c>
      <c r="Y330" t="s">
        <v>507</v>
      </c>
      <c r="Z330">
        <v>6</v>
      </c>
      <c r="AA330">
        <v>3</v>
      </c>
      <c r="AB330" t="s">
        <v>62</v>
      </c>
      <c r="AC330">
        <v>0</v>
      </c>
      <c r="AD330">
        <v>2</v>
      </c>
      <c r="AE330" t="s">
        <v>53</v>
      </c>
      <c r="AF330">
        <v>51810</v>
      </c>
      <c r="AG330">
        <v>9420</v>
      </c>
      <c r="AH330">
        <v>4710</v>
      </c>
      <c r="AI330">
        <v>37680</v>
      </c>
      <c r="AJ330" t="s">
        <v>109</v>
      </c>
      <c r="AK330" t="s">
        <v>134</v>
      </c>
      <c r="AL330">
        <v>2002</v>
      </c>
      <c r="AM330" t="s">
        <v>56</v>
      </c>
      <c r="AN330" s="2">
        <f t="shared" si="35"/>
        <v>37.518194260389734</v>
      </c>
      <c r="AO330">
        <f t="shared" si="36"/>
        <v>-50430.07</v>
      </c>
      <c r="AP330" s="2">
        <f t="shared" si="37"/>
        <v>2.663391943795719E-2</v>
      </c>
      <c r="AQ330" s="2">
        <f t="shared" si="41"/>
        <v>13</v>
      </c>
      <c r="AR330">
        <f t="shared" si="38"/>
        <v>257</v>
      </c>
      <c r="AS330" t="str">
        <f t="shared" si="39"/>
        <v>High Claim Ratio</v>
      </c>
      <c r="AT330" t="str">
        <f t="shared" si="40"/>
        <v>High Profit</v>
      </c>
    </row>
    <row r="331" spans="1:46" x14ac:dyDescent="0.2">
      <c r="A331">
        <v>78</v>
      </c>
      <c r="B331">
        <v>31</v>
      </c>
      <c r="C331">
        <v>414519</v>
      </c>
      <c r="D331" s="1">
        <v>36185</v>
      </c>
      <c r="E331" t="s">
        <v>57</v>
      </c>
      <c r="F331" t="s">
        <v>40</v>
      </c>
      <c r="G331">
        <v>1000</v>
      </c>
      <c r="H331">
        <v>1554.64</v>
      </c>
      <c r="I331">
        <v>4000000</v>
      </c>
      <c r="J331">
        <v>457535</v>
      </c>
      <c r="K331" t="s">
        <v>41</v>
      </c>
      <c r="L331" t="s">
        <v>71</v>
      </c>
      <c r="M331" t="s">
        <v>135</v>
      </c>
      <c r="N331" t="s">
        <v>73</v>
      </c>
      <c r="O331" t="s">
        <v>74</v>
      </c>
      <c r="P331">
        <v>0</v>
      </c>
      <c r="Q331">
        <v>-27900</v>
      </c>
      <c r="R331" s="1">
        <v>42038</v>
      </c>
      <c r="S331" t="s">
        <v>46</v>
      </c>
      <c r="T331" t="s">
        <v>86</v>
      </c>
      <c r="U331" t="s">
        <v>48</v>
      </c>
      <c r="V331" t="s">
        <v>120</v>
      </c>
      <c r="W331" t="s">
        <v>113</v>
      </c>
      <c r="X331" t="s">
        <v>102</v>
      </c>
      <c r="Y331" t="s">
        <v>508</v>
      </c>
      <c r="Z331">
        <v>21</v>
      </c>
      <c r="AA331">
        <v>1</v>
      </c>
      <c r="AB331" t="s">
        <v>79</v>
      </c>
      <c r="AC331">
        <v>1</v>
      </c>
      <c r="AD331">
        <v>0</v>
      </c>
      <c r="AE331" t="s">
        <v>79</v>
      </c>
      <c r="AF331">
        <v>55660</v>
      </c>
      <c r="AG331">
        <v>5060</v>
      </c>
      <c r="AH331">
        <v>10120</v>
      </c>
      <c r="AI331">
        <v>40480</v>
      </c>
      <c r="AJ331" t="s">
        <v>209</v>
      </c>
      <c r="AK331" t="s">
        <v>225</v>
      </c>
      <c r="AL331">
        <v>2009</v>
      </c>
      <c r="AM331" t="s">
        <v>56</v>
      </c>
      <c r="AN331" s="2">
        <f t="shared" si="35"/>
        <v>35.779486256460359</v>
      </c>
      <c r="AO331">
        <f t="shared" si="36"/>
        <v>-54105.36</v>
      </c>
      <c r="AP331" s="2">
        <f t="shared" si="37"/>
        <v>2.7930507896013368E-2</v>
      </c>
      <c r="AQ331" s="2">
        <f t="shared" si="41"/>
        <v>6</v>
      </c>
      <c r="AR331">
        <f t="shared" si="38"/>
        <v>78</v>
      </c>
      <c r="AS331" t="str">
        <f t="shared" si="39"/>
        <v>High Claim Ratio</v>
      </c>
      <c r="AT331" t="str">
        <f t="shared" si="40"/>
        <v>High Profit</v>
      </c>
    </row>
    <row r="332" spans="1:46" x14ac:dyDescent="0.2">
      <c r="A332">
        <v>129</v>
      </c>
      <c r="B332">
        <v>28</v>
      </c>
      <c r="C332">
        <v>818413</v>
      </c>
      <c r="D332" s="1">
        <v>32927</v>
      </c>
      <c r="E332" t="s">
        <v>39</v>
      </c>
      <c r="F332" t="s">
        <v>91</v>
      </c>
      <c r="G332">
        <v>1000</v>
      </c>
      <c r="H332">
        <v>1377.94</v>
      </c>
      <c r="I332">
        <v>0</v>
      </c>
      <c r="J332">
        <v>442540</v>
      </c>
      <c r="K332" t="s">
        <v>41</v>
      </c>
      <c r="L332" t="s">
        <v>124</v>
      </c>
      <c r="M332" t="s">
        <v>58</v>
      </c>
      <c r="N332" t="s">
        <v>106</v>
      </c>
      <c r="O332" t="s">
        <v>142</v>
      </c>
      <c r="P332">
        <v>0</v>
      </c>
      <c r="Q332">
        <v>0</v>
      </c>
      <c r="R332" s="1">
        <v>42056</v>
      </c>
      <c r="S332" t="s">
        <v>46</v>
      </c>
      <c r="T332" t="s">
        <v>47</v>
      </c>
      <c r="U332" t="s">
        <v>48</v>
      </c>
      <c r="V332" t="s">
        <v>99</v>
      </c>
      <c r="W332" t="s">
        <v>77</v>
      </c>
      <c r="X332" t="s">
        <v>102</v>
      </c>
      <c r="Y332" t="s">
        <v>509</v>
      </c>
      <c r="Z332">
        <v>23</v>
      </c>
      <c r="AA332">
        <v>1</v>
      </c>
      <c r="AB332" t="s">
        <v>62</v>
      </c>
      <c r="AC332">
        <v>2</v>
      </c>
      <c r="AD332">
        <v>3</v>
      </c>
      <c r="AE332" t="s">
        <v>62</v>
      </c>
      <c r="AF332">
        <v>44640</v>
      </c>
      <c r="AG332">
        <v>9920</v>
      </c>
      <c r="AH332">
        <v>4960</v>
      </c>
      <c r="AI332">
        <v>29760</v>
      </c>
      <c r="AJ332" t="s">
        <v>115</v>
      </c>
      <c r="AK332" t="s">
        <v>116</v>
      </c>
      <c r="AL332">
        <v>2005</v>
      </c>
      <c r="AM332" t="s">
        <v>82</v>
      </c>
      <c r="AN332" s="2">
        <f t="shared" si="35"/>
        <v>32.372692067820211</v>
      </c>
      <c r="AO332">
        <f t="shared" si="36"/>
        <v>-43262.06</v>
      </c>
      <c r="AP332" s="2">
        <f t="shared" si="37"/>
        <v>3.0867140073027041E-2</v>
      </c>
      <c r="AQ332" s="2">
        <f t="shared" si="41"/>
        <v>10</v>
      </c>
      <c r="AR332">
        <f t="shared" si="38"/>
        <v>129</v>
      </c>
      <c r="AS332" t="str">
        <f t="shared" si="39"/>
        <v>High Claim Ratio</v>
      </c>
      <c r="AT332" t="str">
        <f t="shared" si="40"/>
        <v>High Profit</v>
      </c>
    </row>
    <row r="333" spans="1:46" x14ac:dyDescent="0.2">
      <c r="A333">
        <v>283</v>
      </c>
      <c r="B333">
        <v>46</v>
      </c>
      <c r="C333">
        <v>487356</v>
      </c>
      <c r="D333" s="1">
        <v>36768</v>
      </c>
      <c r="E333" t="s">
        <v>83</v>
      </c>
      <c r="F333" t="s">
        <v>91</v>
      </c>
      <c r="G333">
        <v>2000</v>
      </c>
      <c r="H333">
        <v>1313.33</v>
      </c>
      <c r="I333">
        <v>0</v>
      </c>
      <c r="J333">
        <v>455332</v>
      </c>
      <c r="K333" t="s">
        <v>70</v>
      </c>
      <c r="L333" t="s">
        <v>71</v>
      </c>
      <c r="M333" t="s">
        <v>145</v>
      </c>
      <c r="N333" t="s">
        <v>59</v>
      </c>
      <c r="O333" t="s">
        <v>45</v>
      </c>
      <c r="P333">
        <v>53500</v>
      </c>
      <c r="Q333">
        <v>-73600</v>
      </c>
      <c r="R333" s="1">
        <v>42013</v>
      </c>
      <c r="S333" t="s">
        <v>75</v>
      </c>
      <c r="T333" t="s">
        <v>86</v>
      </c>
      <c r="U333" t="s">
        <v>48</v>
      </c>
      <c r="V333" t="s">
        <v>136</v>
      </c>
      <c r="W333" t="s">
        <v>77</v>
      </c>
      <c r="X333" t="s">
        <v>65</v>
      </c>
      <c r="Y333" t="s">
        <v>510</v>
      </c>
      <c r="Z333">
        <v>3</v>
      </c>
      <c r="AA333">
        <v>3</v>
      </c>
      <c r="AB333" t="s">
        <v>62</v>
      </c>
      <c r="AC333">
        <v>1</v>
      </c>
      <c r="AD333">
        <v>3</v>
      </c>
      <c r="AE333" t="s">
        <v>79</v>
      </c>
      <c r="AF333">
        <v>77660</v>
      </c>
      <c r="AG333">
        <v>7060</v>
      </c>
      <c r="AH333">
        <v>14120</v>
      </c>
      <c r="AI333">
        <v>56480</v>
      </c>
      <c r="AJ333" t="s">
        <v>104</v>
      </c>
      <c r="AK333" t="s">
        <v>151</v>
      </c>
      <c r="AL333">
        <v>2004</v>
      </c>
      <c r="AM333" t="s">
        <v>56</v>
      </c>
      <c r="AN333" s="2">
        <f t="shared" si="35"/>
        <v>59.08713945508358</v>
      </c>
      <c r="AO333">
        <f t="shared" si="36"/>
        <v>-76346.67</v>
      </c>
      <c r="AP333" s="2">
        <f t="shared" si="37"/>
        <v>1.691106218050244E-2</v>
      </c>
      <c r="AQ333" s="2">
        <f t="shared" si="41"/>
        <v>11</v>
      </c>
      <c r="AR333">
        <f t="shared" si="38"/>
        <v>283</v>
      </c>
      <c r="AS333" t="str">
        <f t="shared" si="39"/>
        <v>High Claim Ratio</v>
      </c>
      <c r="AT333" t="str">
        <f t="shared" si="40"/>
        <v>High Profit</v>
      </c>
    </row>
    <row r="334" spans="1:46" x14ac:dyDescent="0.2">
      <c r="A334">
        <v>85</v>
      </c>
      <c r="B334">
        <v>25</v>
      </c>
      <c r="C334">
        <v>159768</v>
      </c>
      <c r="D334" s="1">
        <v>39694</v>
      </c>
      <c r="E334" t="s">
        <v>57</v>
      </c>
      <c r="F334" t="s">
        <v>40</v>
      </c>
      <c r="G334">
        <v>500</v>
      </c>
      <c r="H334">
        <v>1259.02</v>
      </c>
      <c r="I334">
        <v>0</v>
      </c>
      <c r="J334">
        <v>439534</v>
      </c>
      <c r="K334" t="s">
        <v>70</v>
      </c>
      <c r="L334" t="s">
        <v>161</v>
      </c>
      <c r="M334" t="s">
        <v>97</v>
      </c>
      <c r="N334" t="s">
        <v>106</v>
      </c>
      <c r="O334" t="s">
        <v>85</v>
      </c>
      <c r="P334">
        <v>67000</v>
      </c>
      <c r="Q334">
        <v>-53600</v>
      </c>
      <c r="R334" s="1">
        <v>42051</v>
      </c>
      <c r="S334" t="s">
        <v>138</v>
      </c>
      <c r="T334" t="s">
        <v>62</v>
      </c>
      <c r="U334" t="s">
        <v>212</v>
      </c>
      <c r="V334" t="s">
        <v>93</v>
      </c>
      <c r="W334" t="s">
        <v>50</v>
      </c>
      <c r="X334" t="s">
        <v>127</v>
      </c>
      <c r="Y334" t="s">
        <v>511</v>
      </c>
      <c r="Z334">
        <v>8</v>
      </c>
      <c r="AA334">
        <v>1</v>
      </c>
      <c r="AB334" t="s">
        <v>79</v>
      </c>
      <c r="AC334">
        <v>2</v>
      </c>
      <c r="AD334">
        <v>2</v>
      </c>
      <c r="AE334" t="s">
        <v>62</v>
      </c>
      <c r="AF334">
        <v>5640</v>
      </c>
      <c r="AG334">
        <v>940</v>
      </c>
      <c r="AH334">
        <v>940</v>
      </c>
      <c r="AI334">
        <v>3760</v>
      </c>
      <c r="AJ334" t="s">
        <v>104</v>
      </c>
      <c r="AK334" t="s">
        <v>287</v>
      </c>
      <c r="AL334">
        <v>2005</v>
      </c>
      <c r="AM334" t="s">
        <v>82</v>
      </c>
      <c r="AN334" s="2">
        <f t="shared" si="35"/>
        <v>4.4761194266757673</v>
      </c>
      <c r="AO334">
        <f t="shared" si="36"/>
        <v>-4380.9799999999996</v>
      </c>
      <c r="AP334" s="2">
        <f t="shared" si="37"/>
        <v>0.22319092359510725</v>
      </c>
      <c r="AQ334" s="2">
        <f t="shared" si="41"/>
        <v>10</v>
      </c>
      <c r="AR334">
        <f t="shared" si="38"/>
        <v>85</v>
      </c>
      <c r="AS334" t="str">
        <f t="shared" si="39"/>
        <v>Low Claim Ratio</v>
      </c>
      <c r="AT334" t="str">
        <f t="shared" si="40"/>
        <v>Low Profit</v>
      </c>
    </row>
    <row r="335" spans="1:46" x14ac:dyDescent="0.2">
      <c r="A335">
        <v>101</v>
      </c>
      <c r="B335">
        <v>26</v>
      </c>
      <c r="C335">
        <v>865839</v>
      </c>
      <c r="D335" s="1">
        <v>33452</v>
      </c>
      <c r="E335" t="s">
        <v>83</v>
      </c>
      <c r="F335" t="s">
        <v>91</v>
      </c>
      <c r="G335">
        <v>1000</v>
      </c>
      <c r="H335">
        <v>1371.88</v>
      </c>
      <c r="I335">
        <v>0</v>
      </c>
      <c r="J335">
        <v>462420</v>
      </c>
      <c r="K335" t="s">
        <v>70</v>
      </c>
      <c r="L335" t="s">
        <v>42</v>
      </c>
      <c r="M335" t="s">
        <v>101</v>
      </c>
      <c r="N335" t="s">
        <v>59</v>
      </c>
      <c r="O335" t="s">
        <v>45</v>
      </c>
      <c r="P335">
        <v>0</v>
      </c>
      <c r="Q335">
        <v>0</v>
      </c>
      <c r="R335" s="1">
        <v>42039</v>
      </c>
      <c r="S335" t="s">
        <v>138</v>
      </c>
      <c r="T335" t="s">
        <v>62</v>
      </c>
      <c r="U335" t="s">
        <v>212</v>
      </c>
      <c r="V335" t="s">
        <v>93</v>
      </c>
      <c r="W335" t="s">
        <v>64</v>
      </c>
      <c r="X335" t="s">
        <v>87</v>
      </c>
      <c r="Y335" t="s">
        <v>512</v>
      </c>
      <c r="Z335">
        <v>4</v>
      </c>
      <c r="AA335">
        <v>1</v>
      </c>
      <c r="AB335" t="s">
        <v>62</v>
      </c>
      <c r="AC335">
        <v>2</v>
      </c>
      <c r="AD335">
        <v>2</v>
      </c>
      <c r="AE335" t="s">
        <v>62</v>
      </c>
      <c r="AF335">
        <v>3190</v>
      </c>
      <c r="AG335">
        <v>580</v>
      </c>
      <c r="AH335">
        <v>580</v>
      </c>
      <c r="AI335">
        <v>2030</v>
      </c>
      <c r="AJ335" t="s">
        <v>153</v>
      </c>
      <c r="AK335" t="s">
        <v>154</v>
      </c>
      <c r="AL335">
        <v>1995</v>
      </c>
      <c r="AM335" t="s">
        <v>82</v>
      </c>
      <c r="AN335" s="2">
        <f t="shared" si="35"/>
        <v>2.3235825418099179</v>
      </c>
      <c r="AO335">
        <f t="shared" si="36"/>
        <v>-1818.12</v>
      </c>
      <c r="AP335" s="2">
        <f t="shared" si="37"/>
        <v>0.42992165465371363</v>
      </c>
      <c r="AQ335" s="2">
        <f t="shared" si="41"/>
        <v>20</v>
      </c>
      <c r="AR335">
        <f t="shared" si="38"/>
        <v>101</v>
      </c>
      <c r="AS335" t="str">
        <f t="shared" si="39"/>
        <v>Low Claim Ratio</v>
      </c>
      <c r="AT335" t="str">
        <f t="shared" si="40"/>
        <v>Low Profit</v>
      </c>
    </row>
    <row r="336" spans="1:46" x14ac:dyDescent="0.2">
      <c r="A336">
        <v>96</v>
      </c>
      <c r="B336">
        <v>30</v>
      </c>
      <c r="C336">
        <v>406567</v>
      </c>
      <c r="D336" s="1">
        <v>37159</v>
      </c>
      <c r="E336" t="s">
        <v>39</v>
      </c>
      <c r="F336" t="s">
        <v>69</v>
      </c>
      <c r="G336">
        <v>500</v>
      </c>
      <c r="H336">
        <v>1399.27</v>
      </c>
      <c r="I336">
        <v>6000000</v>
      </c>
      <c r="J336">
        <v>448913</v>
      </c>
      <c r="K336" t="s">
        <v>41</v>
      </c>
      <c r="L336" t="s">
        <v>141</v>
      </c>
      <c r="M336" t="s">
        <v>101</v>
      </c>
      <c r="N336" t="s">
        <v>149</v>
      </c>
      <c r="O336" t="s">
        <v>119</v>
      </c>
      <c r="P336">
        <v>38900</v>
      </c>
      <c r="Q336">
        <v>-48700</v>
      </c>
      <c r="R336" s="1">
        <v>42059</v>
      </c>
      <c r="S336" t="s">
        <v>46</v>
      </c>
      <c r="T336" t="s">
        <v>47</v>
      </c>
      <c r="U336" t="s">
        <v>107</v>
      </c>
      <c r="V336" t="s">
        <v>99</v>
      </c>
      <c r="W336" t="s">
        <v>121</v>
      </c>
      <c r="X336" t="s">
        <v>87</v>
      </c>
      <c r="Y336" t="s">
        <v>513</v>
      </c>
      <c r="Z336">
        <v>22</v>
      </c>
      <c r="AA336">
        <v>1</v>
      </c>
      <c r="AB336" t="s">
        <v>62</v>
      </c>
      <c r="AC336">
        <v>0</v>
      </c>
      <c r="AD336">
        <v>0</v>
      </c>
      <c r="AE336" t="s">
        <v>53</v>
      </c>
      <c r="AF336">
        <v>53440</v>
      </c>
      <c r="AG336">
        <v>0</v>
      </c>
      <c r="AH336">
        <v>6680</v>
      </c>
      <c r="AI336">
        <v>46760</v>
      </c>
      <c r="AJ336" t="s">
        <v>129</v>
      </c>
      <c r="AK336" t="s">
        <v>172</v>
      </c>
      <c r="AL336">
        <v>2004</v>
      </c>
      <c r="AM336" t="s">
        <v>82</v>
      </c>
      <c r="AN336" s="2">
        <f t="shared" si="35"/>
        <v>38.164068358245196</v>
      </c>
      <c r="AO336">
        <f t="shared" si="36"/>
        <v>-52040.73</v>
      </c>
      <c r="AP336" s="2">
        <f t="shared" si="37"/>
        <v>2.6183454650923449E-2</v>
      </c>
      <c r="AQ336" s="2">
        <f t="shared" si="41"/>
        <v>11</v>
      </c>
      <c r="AR336">
        <f t="shared" si="38"/>
        <v>96</v>
      </c>
      <c r="AS336" t="str">
        <f t="shared" si="39"/>
        <v>High Claim Ratio</v>
      </c>
      <c r="AT336" t="str">
        <f t="shared" si="40"/>
        <v>High Profit</v>
      </c>
    </row>
    <row r="337" spans="1:46" x14ac:dyDescent="0.2">
      <c r="A337">
        <v>121</v>
      </c>
      <c r="B337">
        <v>31</v>
      </c>
      <c r="C337">
        <v>623032</v>
      </c>
      <c r="D337" s="1">
        <v>39152</v>
      </c>
      <c r="E337" t="s">
        <v>83</v>
      </c>
      <c r="F337" t="s">
        <v>91</v>
      </c>
      <c r="G337">
        <v>1000</v>
      </c>
      <c r="H337">
        <v>1061.98</v>
      </c>
      <c r="I337">
        <v>6000000</v>
      </c>
      <c r="J337">
        <v>440837</v>
      </c>
      <c r="K337" t="s">
        <v>70</v>
      </c>
      <c r="L337" t="s">
        <v>161</v>
      </c>
      <c r="M337" t="s">
        <v>84</v>
      </c>
      <c r="N337" t="s">
        <v>118</v>
      </c>
      <c r="O337" t="s">
        <v>85</v>
      </c>
      <c r="P337">
        <v>0</v>
      </c>
      <c r="Q337">
        <v>0</v>
      </c>
      <c r="R337" s="1">
        <v>42036</v>
      </c>
      <c r="S337" t="s">
        <v>46</v>
      </c>
      <c r="T337" t="s">
        <v>76</v>
      </c>
      <c r="U337" t="s">
        <v>63</v>
      </c>
      <c r="V337" t="s">
        <v>49</v>
      </c>
      <c r="W337" t="s">
        <v>113</v>
      </c>
      <c r="X337" t="s">
        <v>122</v>
      </c>
      <c r="Y337" t="s">
        <v>514</v>
      </c>
      <c r="Z337">
        <v>16</v>
      </c>
      <c r="AA337">
        <v>1</v>
      </c>
      <c r="AB337" t="s">
        <v>79</v>
      </c>
      <c r="AC337">
        <v>0</v>
      </c>
      <c r="AD337">
        <v>1</v>
      </c>
      <c r="AE337" t="s">
        <v>53</v>
      </c>
      <c r="AF337">
        <v>65250</v>
      </c>
      <c r="AG337">
        <v>7250</v>
      </c>
      <c r="AH337">
        <v>7250</v>
      </c>
      <c r="AI337">
        <v>50750</v>
      </c>
      <c r="AJ337" t="s">
        <v>187</v>
      </c>
      <c r="AK337" t="s">
        <v>188</v>
      </c>
      <c r="AL337">
        <v>2002</v>
      </c>
      <c r="AM337" t="s">
        <v>82</v>
      </c>
      <c r="AN337" s="2">
        <f t="shared" si="35"/>
        <v>61.384033566012526</v>
      </c>
      <c r="AO337">
        <f t="shared" si="36"/>
        <v>-64188.02</v>
      </c>
      <c r="AP337" s="2">
        <f t="shared" si="37"/>
        <v>1.6275306125576618E-2</v>
      </c>
      <c r="AQ337" s="2">
        <f t="shared" si="41"/>
        <v>13</v>
      </c>
      <c r="AR337">
        <f t="shared" si="38"/>
        <v>121</v>
      </c>
      <c r="AS337" t="str">
        <f t="shared" si="39"/>
        <v>High Claim Ratio</v>
      </c>
      <c r="AT337" t="str">
        <f t="shared" si="40"/>
        <v>High Profit</v>
      </c>
    </row>
    <row r="338" spans="1:46" x14ac:dyDescent="0.2">
      <c r="A338">
        <v>176</v>
      </c>
      <c r="B338">
        <v>39</v>
      </c>
      <c r="C338">
        <v>935442</v>
      </c>
      <c r="D338" s="1">
        <v>40502</v>
      </c>
      <c r="E338" t="s">
        <v>39</v>
      </c>
      <c r="F338" t="s">
        <v>40</v>
      </c>
      <c r="G338">
        <v>500</v>
      </c>
      <c r="H338">
        <v>1365.46</v>
      </c>
      <c r="I338">
        <v>4000000</v>
      </c>
      <c r="J338">
        <v>466634</v>
      </c>
      <c r="K338" t="s">
        <v>41</v>
      </c>
      <c r="L338" t="s">
        <v>141</v>
      </c>
      <c r="M338" t="s">
        <v>84</v>
      </c>
      <c r="N338" t="s">
        <v>44</v>
      </c>
      <c r="O338" t="s">
        <v>85</v>
      </c>
      <c r="P338">
        <v>0</v>
      </c>
      <c r="Q338">
        <v>-56600</v>
      </c>
      <c r="R338" s="1">
        <v>42040</v>
      </c>
      <c r="S338" t="s">
        <v>75</v>
      </c>
      <c r="T338" t="s">
        <v>47</v>
      </c>
      <c r="U338" t="s">
        <v>63</v>
      </c>
      <c r="V338" t="s">
        <v>99</v>
      </c>
      <c r="W338" t="s">
        <v>50</v>
      </c>
      <c r="X338" t="s">
        <v>51</v>
      </c>
      <c r="Y338" t="s">
        <v>515</v>
      </c>
      <c r="Z338">
        <v>14</v>
      </c>
      <c r="AA338">
        <v>3</v>
      </c>
      <c r="AB338" t="s">
        <v>79</v>
      </c>
      <c r="AC338">
        <v>2</v>
      </c>
      <c r="AD338">
        <v>1</v>
      </c>
      <c r="AE338" t="s">
        <v>79</v>
      </c>
      <c r="AF338">
        <v>44280</v>
      </c>
      <c r="AG338">
        <v>4920</v>
      </c>
      <c r="AH338">
        <v>4920</v>
      </c>
      <c r="AI338">
        <v>34440</v>
      </c>
      <c r="AJ338" t="s">
        <v>89</v>
      </c>
      <c r="AK338" t="s">
        <v>223</v>
      </c>
      <c r="AL338">
        <v>2008</v>
      </c>
      <c r="AM338" t="s">
        <v>82</v>
      </c>
      <c r="AN338" s="2">
        <f t="shared" si="35"/>
        <v>32.404900253209021</v>
      </c>
      <c r="AO338">
        <f t="shared" si="36"/>
        <v>-42914.54</v>
      </c>
      <c r="AP338" s="2">
        <f t="shared" si="37"/>
        <v>3.0836250310516927E-2</v>
      </c>
      <c r="AQ338" s="2">
        <f t="shared" si="41"/>
        <v>7</v>
      </c>
      <c r="AR338">
        <f t="shared" si="38"/>
        <v>176</v>
      </c>
      <c r="AS338" t="str">
        <f t="shared" si="39"/>
        <v>High Claim Ratio</v>
      </c>
      <c r="AT338" t="str">
        <f t="shared" si="40"/>
        <v>High Profit</v>
      </c>
    </row>
    <row r="339" spans="1:46" x14ac:dyDescent="0.2">
      <c r="A339">
        <v>159</v>
      </c>
      <c r="B339">
        <v>37</v>
      </c>
      <c r="C339">
        <v>106873</v>
      </c>
      <c r="D339" s="1">
        <v>36035</v>
      </c>
      <c r="E339" t="s">
        <v>83</v>
      </c>
      <c r="F339" t="s">
        <v>91</v>
      </c>
      <c r="G339">
        <v>1000</v>
      </c>
      <c r="H339">
        <v>894.4</v>
      </c>
      <c r="I339">
        <v>0</v>
      </c>
      <c r="J339">
        <v>446435</v>
      </c>
      <c r="K339" t="s">
        <v>41</v>
      </c>
      <c r="L339" t="s">
        <v>92</v>
      </c>
      <c r="M339" t="s">
        <v>97</v>
      </c>
      <c r="N339" t="s">
        <v>118</v>
      </c>
      <c r="O339" t="s">
        <v>119</v>
      </c>
      <c r="P339">
        <v>0</v>
      </c>
      <c r="Q339">
        <v>-53700</v>
      </c>
      <c r="R339" s="1">
        <v>42011</v>
      </c>
      <c r="S339" t="s">
        <v>46</v>
      </c>
      <c r="T339" t="s">
        <v>76</v>
      </c>
      <c r="U339" t="s">
        <v>107</v>
      </c>
      <c r="V339" t="s">
        <v>49</v>
      </c>
      <c r="W339" t="s">
        <v>77</v>
      </c>
      <c r="X339" t="s">
        <v>102</v>
      </c>
      <c r="Y339" t="s">
        <v>516</v>
      </c>
      <c r="Z339">
        <v>13</v>
      </c>
      <c r="AA339">
        <v>1</v>
      </c>
      <c r="AB339" t="s">
        <v>53</v>
      </c>
      <c r="AC339">
        <v>2</v>
      </c>
      <c r="AD339">
        <v>0</v>
      </c>
      <c r="AE339" t="s">
        <v>79</v>
      </c>
      <c r="AF339">
        <v>70290</v>
      </c>
      <c r="AG339">
        <v>7810</v>
      </c>
      <c r="AH339">
        <v>7810</v>
      </c>
      <c r="AI339">
        <v>54670</v>
      </c>
      <c r="AJ339" t="s">
        <v>80</v>
      </c>
      <c r="AK339" t="s">
        <v>81</v>
      </c>
      <c r="AL339">
        <v>1999</v>
      </c>
      <c r="AM339" t="s">
        <v>82</v>
      </c>
      <c r="AN339" s="2">
        <f t="shared" si="35"/>
        <v>78.501228501228496</v>
      </c>
      <c r="AO339">
        <f t="shared" si="36"/>
        <v>-69395.600000000006</v>
      </c>
      <c r="AP339" s="2">
        <f t="shared" si="37"/>
        <v>1.2724246347327538E-2</v>
      </c>
      <c r="AQ339" s="2">
        <f t="shared" si="41"/>
        <v>16</v>
      </c>
      <c r="AR339">
        <f t="shared" si="38"/>
        <v>159</v>
      </c>
      <c r="AS339" t="str">
        <f t="shared" si="39"/>
        <v>High Claim Ratio</v>
      </c>
      <c r="AT339" t="str">
        <f t="shared" si="40"/>
        <v>High Profit</v>
      </c>
    </row>
    <row r="340" spans="1:46" x14ac:dyDescent="0.2">
      <c r="A340">
        <v>120</v>
      </c>
      <c r="B340">
        <v>30</v>
      </c>
      <c r="C340">
        <v>563878</v>
      </c>
      <c r="D340" s="1">
        <v>37453</v>
      </c>
      <c r="E340" t="s">
        <v>57</v>
      </c>
      <c r="F340" t="s">
        <v>40</v>
      </c>
      <c r="G340">
        <v>500</v>
      </c>
      <c r="H340">
        <v>956.69</v>
      </c>
      <c r="I340">
        <v>0</v>
      </c>
      <c r="J340">
        <v>438237</v>
      </c>
      <c r="K340" t="s">
        <v>70</v>
      </c>
      <c r="L340" t="s">
        <v>92</v>
      </c>
      <c r="M340" t="s">
        <v>117</v>
      </c>
      <c r="N340" t="s">
        <v>146</v>
      </c>
      <c r="O340" t="s">
        <v>45</v>
      </c>
      <c r="P340">
        <v>39600</v>
      </c>
      <c r="Q340">
        <v>-64300</v>
      </c>
      <c r="R340" s="1">
        <v>42041</v>
      </c>
      <c r="S340" t="s">
        <v>46</v>
      </c>
      <c r="T340" t="s">
        <v>86</v>
      </c>
      <c r="U340" t="s">
        <v>63</v>
      </c>
      <c r="V340" t="s">
        <v>120</v>
      </c>
      <c r="W340" t="s">
        <v>77</v>
      </c>
      <c r="X340" t="s">
        <v>122</v>
      </c>
      <c r="Y340" t="s">
        <v>517</v>
      </c>
      <c r="Z340">
        <v>20</v>
      </c>
      <c r="AA340">
        <v>1</v>
      </c>
      <c r="AB340" t="s">
        <v>62</v>
      </c>
      <c r="AC340">
        <v>1</v>
      </c>
      <c r="AD340">
        <v>1</v>
      </c>
      <c r="AE340" t="s">
        <v>53</v>
      </c>
      <c r="AF340">
        <v>87100</v>
      </c>
      <c r="AG340">
        <v>8710</v>
      </c>
      <c r="AH340">
        <v>8710</v>
      </c>
      <c r="AI340">
        <v>69680</v>
      </c>
      <c r="AJ340" t="s">
        <v>54</v>
      </c>
      <c r="AK340" t="s">
        <v>55</v>
      </c>
      <c r="AL340">
        <v>2000</v>
      </c>
      <c r="AM340" t="s">
        <v>82</v>
      </c>
      <c r="AN340" s="2">
        <f t="shared" si="35"/>
        <v>90.948010316490723</v>
      </c>
      <c r="AO340">
        <f t="shared" si="36"/>
        <v>-86143.31</v>
      </c>
      <c r="AP340" s="2">
        <f t="shared" si="37"/>
        <v>1.0983685606365026E-2</v>
      </c>
      <c r="AQ340" s="2">
        <f t="shared" si="41"/>
        <v>15</v>
      </c>
      <c r="AR340">
        <f t="shared" si="38"/>
        <v>120</v>
      </c>
      <c r="AS340" t="str">
        <f t="shared" si="39"/>
        <v>High Claim Ratio</v>
      </c>
      <c r="AT340" t="str">
        <f t="shared" si="40"/>
        <v>High Profit</v>
      </c>
    </row>
    <row r="341" spans="1:46" x14ac:dyDescent="0.2">
      <c r="A341">
        <v>212</v>
      </c>
      <c r="B341">
        <v>35</v>
      </c>
      <c r="C341">
        <v>620855</v>
      </c>
      <c r="D341" s="1">
        <v>32992</v>
      </c>
      <c r="E341" t="s">
        <v>57</v>
      </c>
      <c r="F341" t="s">
        <v>91</v>
      </c>
      <c r="G341">
        <v>2000</v>
      </c>
      <c r="H341">
        <v>1123.8900000000001</v>
      </c>
      <c r="I341">
        <v>0</v>
      </c>
      <c r="J341">
        <v>468313</v>
      </c>
      <c r="K341" t="s">
        <v>41</v>
      </c>
      <c r="L341" t="s">
        <v>42</v>
      </c>
      <c r="M341" t="s">
        <v>117</v>
      </c>
      <c r="N341" t="s">
        <v>181</v>
      </c>
      <c r="O341" t="s">
        <v>85</v>
      </c>
      <c r="P341">
        <v>35400</v>
      </c>
      <c r="Q341">
        <v>-49200</v>
      </c>
      <c r="R341" s="1">
        <v>42025</v>
      </c>
      <c r="S341" t="s">
        <v>75</v>
      </c>
      <c r="T341" t="s">
        <v>86</v>
      </c>
      <c r="U341" t="s">
        <v>107</v>
      </c>
      <c r="V341" t="s">
        <v>99</v>
      </c>
      <c r="W341" t="s">
        <v>77</v>
      </c>
      <c r="X341" t="s">
        <v>51</v>
      </c>
      <c r="Y341" t="s">
        <v>518</v>
      </c>
      <c r="Z341">
        <v>0</v>
      </c>
      <c r="AA341">
        <v>3</v>
      </c>
      <c r="AB341" t="s">
        <v>62</v>
      </c>
      <c r="AC341">
        <v>1</v>
      </c>
      <c r="AD341">
        <v>3</v>
      </c>
      <c r="AE341" t="s">
        <v>62</v>
      </c>
      <c r="AF341">
        <v>50380</v>
      </c>
      <c r="AG341">
        <v>4580</v>
      </c>
      <c r="AH341">
        <v>4580</v>
      </c>
      <c r="AI341">
        <v>41220</v>
      </c>
      <c r="AJ341" t="s">
        <v>153</v>
      </c>
      <c r="AK341" t="s">
        <v>167</v>
      </c>
      <c r="AL341">
        <v>1996</v>
      </c>
      <c r="AM341" t="s">
        <v>82</v>
      </c>
      <c r="AN341" s="2">
        <f t="shared" si="35"/>
        <v>44.786601356577087</v>
      </c>
      <c r="AO341">
        <f t="shared" si="36"/>
        <v>-49256.11</v>
      </c>
      <c r="AP341" s="2">
        <f t="shared" si="37"/>
        <v>2.2307814453861576E-2</v>
      </c>
      <c r="AQ341" s="2">
        <f t="shared" si="41"/>
        <v>19</v>
      </c>
      <c r="AR341">
        <f t="shared" si="38"/>
        <v>212</v>
      </c>
      <c r="AS341" t="str">
        <f t="shared" si="39"/>
        <v>High Claim Ratio</v>
      </c>
      <c r="AT341" t="str">
        <f t="shared" si="40"/>
        <v>High Profit</v>
      </c>
    </row>
    <row r="342" spans="1:46" x14ac:dyDescent="0.2">
      <c r="A342">
        <v>290</v>
      </c>
      <c r="B342">
        <v>45</v>
      </c>
      <c r="C342">
        <v>583169</v>
      </c>
      <c r="D342" s="1">
        <v>35827</v>
      </c>
      <c r="E342" t="s">
        <v>83</v>
      </c>
      <c r="F342" t="s">
        <v>69</v>
      </c>
      <c r="G342">
        <v>500</v>
      </c>
      <c r="H342">
        <v>1085.03</v>
      </c>
      <c r="I342">
        <v>0</v>
      </c>
      <c r="J342">
        <v>476303</v>
      </c>
      <c r="K342" t="s">
        <v>70</v>
      </c>
      <c r="L342" t="s">
        <v>161</v>
      </c>
      <c r="M342" t="s">
        <v>72</v>
      </c>
      <c r="N342" t="s">
        <v>242</v>
      </c>
      <c r="O342" t="s">
        <v>119</v>
      </c>
      <c r="P342">
        <v>0</v>
      </c>
      <c r="Q342">
        <v>-61000</v>
      </c>
      <c r="R342" s="1">
        <v>42064</v>
      </c>
      <c r="S342" t="s">
        <v>75</v>
      </c>
      <c r="T342" t="s">
        <v>47</v>
      </c>
      <c r="U342" t="s">
        <v>107</v>
      </c>
      <c r="V342" t="s">
        <v>49</v>
      </c>
      <c r="W342" t="s">
        <v>64</v>
      </c>
      <c r="X342" t="s">
        <v>87</v>
      </c>
      <c r="Y342" t="s">
        <v>519</v>
      </c>
      <c r="Z342">
        <v>23</v>
      </c>
      <c r="AA342">
        <v>3</v>
      </c>
      <c r="AB342" t="s">
        <v>53</v>
      </c>
      <c r="AC342">
        <v>2</v>
      </c>
      <c r="AD342">
        <v>2</v>
      </c>
      <c r="AE342" t="s">
        <v>79</v>
      </c>
      <c r="AF342">
        <v>64800</v>
      </c>
      <c r="AG342">
        <v>12960</v>
      </c>
      <c r="AH342">
        <v>6480</v>
      </c>
      <c r="AI342">
        <v>45360</v>
      </c>
      <c r="AJ342" t="s">
        <v>109</v>
      </c>
      <c r="AK342" t="s">
        <v>134</v>
      </c>
      <c r="AL342">
        <v>2014</v>
      </c>
      <c r="AM342" t="s">
        <v>56</v>
      </c>
      <c r="AN342" s="2">
        <f t="shared" si="35"/>
        <v>59.666860031490842</v>
      </c>
      <c r="AO342">
        <f t="shared" si="36"/>
        <v>-63714.97</v>
      </c>
      <c r="AP342" s="2">
        <f t="shared" si="37"/>
        <v>1.6744031727905433E-2</v>
      </c>
      <c r="AQ342" s="2">
        <f t="shared" si="41"/>
        <v>1</v>
      </c>
      <c r="AR342">
        <f t="shared" si="38"/>
        <v>290</v>
      </c>
      <c r="AS342" t="str">
        <f t="shared" si="39"/>
        <v>High Claim Ratio</v>
      </c>
      <c r="AT342" t="str">
        <f t="shared" si="40"/>
        <v>High Profit</v>
      </c>
    </row>
    <row r="343" spans="1:46" x14ac:dyDescent="0.2">
      <c r="A343">
        <v>299</v>
      </c>
      <c r="B343">
        <v>42</v>
      </c>
      <c r="C343">
        <v>337677</v>
      </c>
      <c r="D343" s="1">
        <v>39649</v>
      </c>
      <c r="E343" t="s">
        <v>39</v>
      </c>
      <c r="F343" t="s">
        <v>69</v>
      </c>
      <c r="G343">
        <v>2000</v>
      </c>
      <c r="H343">
        <v>1437.33</v>
      </c>
      <c r="I343">
        <v>0</v>
      </c>
      <c r="J343">
        <v>450339</v>
      </c>
      <c r="K343" t="s">
        <v>70</v>
      </c>
      <c r="L343" t="s">
        <v>92</v>
      </c>
      <c r="M343" t="s">
        <v>43</v>
      </c>
      <c r="N343" t="s">
        <v>146</v>
      </c>
      <c r="O343" t="s">
        <v>119</v>
      </c>
      <c r="P343">
        <v>25000</v>
      </c>
      <c r="Q343">
        <v>0</v>
      </c>
      <c r="R343" s="1">
        <v>42059</v>
      </c>
      <c r="S343" t="s">
        <v>46</v>
      </c>
      <c r="T343" t="s">
        <v>76</v>
      </c>
      <c r="U343" t="s">
        <v>63</v>
      </c>
      <c r="V343" t="s">
        <v>120</v>
      </c>
      <c r="W343" t="s">
        <v>50</v>
      </c>
      <c r="X343" t="s">
        <v>51</v>
      </c>
      <c r="Y343" t="s">
        <v>520</v>
      </c>
      <c r="Z343">
        <v>13</v>
      </c>
      <c r="AA343">
        <v>1</v>
      </c>
      <c r="AB343" t="s">
        <v>53</v>
      </c>
      <c r="AC343">
        <v>1</v>
      </c>
      <c r="AD343">
        <v>3</v>
      </c>
      <c r="AE343" t="s">
        <v>79</v>
      </c>
      <c r="AF343">
        <v>70400</v>
      </c>
      <c r="AG343">
        <v>12800</v>
      </c>
      <c r="AH343">
        <v>12800</v>
      </c>
      <c r="AI343">
        <v>44800</v>
      </c>
      <c r="AJ343" t="s">
        <v>187</v>
      </c>
      <c r="AK343" t="s">
        <v>188</v>
      </c>
      <c r="AL343">
        <v>2000</v>
      </c>
      <c r="AM343" t="s">
        <v>82</v>
      </c>
      <c r="AN343" s="2">
        <f t="shared" si="35"/>
        <v>48.945652249483778</v>
      </c>
      <c r="AO343">
        <f t="shared" si="36"/>
        <v>-68962.67</v>
      </c>
      <c r="AP343" s="2">
        <f t="shared" si="37"/>
        <v>2.0416329313504067E-2</v>
      </c>
      <c r="AQ343" s="2">
        <f t="shared" si="41"/>
        <v>15</v>
      </c>
      <c r="AR343">
        <f t="shared" si="38"/>
        <v>299</v>
      </c>
      <c r="AS343" t="str">
        <f t="shared" si="39"/>
        <v>High Claim Ratio</v>
      </c>
      <c r="AT343" t="str">
        <f t="shared" si="40"/>
        <v>High Profit</v>
      </c>
    </row>
    <row r="344" spans="1:46" x14ac:dyDescent="0.2">
      <c r="A344">
        <v>66</v>
      </c>
      <c r="B344">
        <v>26</v>
      </c>
      <c r="C344">
        <v>445973</v>
      </c>
      <c r="D344" s="1">
        <v>36112</v>
      </c>
      <c r="E344" t="s">
        <v>83</v>
      </c>
      <c r="F344" t="s">
        <v>40</v>
      </c>
      <c r="G344">
        <v>1000</v>
      </c>
      <c r="H344">
        <v>988.29</v>
      </c>
      <c r="I344">
        <v>0</v>
      </c>
      <c r="J344">
        <v>476502</v>
      </c>
      <c r="K344" t="s">
        <v>41</v>
      </c>
      <c r="L344" t="s">
        <v>141</v>
      </c>
      <c r="M344" t="s">
        <v>84</v>
      </c>
      <c r="N344" t="s">
        <v>132</v>
      </c>
      <c r="O344" t="s">
        <v>74</v>
      </c>
      <c r="P344">
        <v>0</v>
      </c>
      <c r="Q344">
        <v>0</v>
      </c>
      <c r="R344" s="1">
        <v>42037</v>
      </c>
      <c r="S344" t="s">
        <v>46</v>
      </c>
      <c r="T344" t="s">
        <v>76</v>
      </c>
      <c r="U344" t="s">
        <v>48</v>
      </c>
      <c r="V344" t="s">
        <v>49</v>
      </c>
      <c r="W344" t="s">
        <v>77</v>
      </c>
      <c r="X344" t="s">
        <v>127</v>
      </c>
      <c r="Y344" t="s">
        <v>521</v>
      </c>
      <c r="Z344">
        <v>8</v>
      </c>
      <c r="AA344">
        <v>1</v>
      </c>
      <c r="AB344" t="s">
        <v>62</v>
      </c>
      <c r="AC344">
        <v>2</v>
      </c>
      <c r="AD344">
        <v>2</v>
      </c>
      <c r="AE344" t="s">
        <v>53</v>
      </c>
      <c r="AF344">
        <v>57860</v>
      </c>
      <c r="AG344">
        <v>0</v>
      </c>
      <c r="AH344">
        <v>10520</v>
      </c>
      <c r="AI344">
        <v>47340</v>
      </c>
      <c r="AJ344" t="s">
        <v>153</v>
      </c>
      <c r="AK344" t="s">
        <v>163</v>
      </c>
      <c r="AL344">
        <v>2008</v>
      </c>
      <c r="AM344" t="s">
        <v>56</v>
      </c>
      <c r="AN344" s="2">
        <f t="shared" si="35"/>
        <v>58.486389228638721</v>
      </c>
      <c r="AO344">
        <f t="shared" si="36"/>
        <v>-56871.71</v>
      </c>
      <c r="AP344" s="2">
        <f t="shared" si="37"/>
        <v>1.7080416861098149E-2</v>
      </c>
      <c r="AQ344" s="2">
        <f t="shared" si="41"/>
        <v>7</v>
      </c>
      <c r="AR344">
        <f t="shared" si="38"/>
        <v>66</v>
      </c>
      <c r="AS344" t="str">
        <f t="shared" si="39"/>
        <v>High Claim Ratio</v>
      </c>
      <c r="AT344" t="str">
        <f t="shared" si="40"/>
        <v>High Profit</v>
      </c>
    </row>
    <row r="345" spans="1:46" x14ac:dyDescent="0.2">
      <c r="A345">
        <v>334</v>
      </c>
      <c r="B345">
        <v>47</v>
      </c>
      <c r="C345">
        <v>156694</v>
      </c>
      <c r="D345" s="1">
        <v>37035</v>
      </c>
      <c r="E345" t="s">
        <v>83</v>
      </c>
      <c r="F345" t="s">
        <v>91</v>
      </c>
      <c r="G345">
        <v>500</v>
      </c>
      <c r="H345">
        <v>1238.8900000000001</v>
      </c>
      <c r="I345">
        <v>0</v>
      </c>
      <c r="J345">
        <v>600561</v>
      </c>
      <c r="K345" t="s">
        <v>41</v>
      </c>
      <c r="L345" t="s">
        <v>124</v>
      </c>
      <c r="M345" t="s">
        <v>135</v>
      </c>
      <c r="N345" t="s">
        <v>44</v>
      </c>
      <c r="O345" t="s">
        <v>60</v>
      </c>
      <c r="P345">
        <v>0</v>
      </c>
      <c r="Q345">
        <v>0</v>
      </c>
      <c r="R345" s="1">
        <v>42035</v>
      </c>
      <c r="S345" t="s">
        <v>61</v>
      </c>
      <c r="T345" t="s">
        <v>62</v>
      </c>
      <c r="U345" t="s">
        <v>63</v>
      </c>
      <c r="V345" t="s">
        <v>93</v>
      </c>
      <c r="W345" t="s">
        <v>113</v>
      </c>
      <c r="X345" t="s">
        <v>127</v>
      </c>
      <c r="Y345" t="s">
        <v>522</v>
      </c>
      <c r="Z345">
        <v>3</v>
      </c>
      <c r="AA345">
        <v>1</v>
      </c>
      <c r="AB345" t="s">
        <v>62</v>
      </c>
      <c r="AC345">
        <v>0</v>
      </c>
      <c r="AD345">
        <v>3</v>
      </c>
      <c r="AE345" t="s">
        <v>79</v>
      </c>
      <c r="AF345">
        <v>6240</v>
      </c>
      <c r="AG345">
        <v>960</v>
      </c>
      <c r="AH345">
        <v>960</v>
      </c>
      <c r="AI345">
        <v>4320</v>
      </c>
      <c r="AJ345" t="s">
        <v>129</v>
      </c>
      <c r="AK345" t="s">
        <v>249</v>
      </c>
      <c r="AL345">
        <v>2011</v>
      </c>
      <c r="AM345" t="s">
        <v>82</v>
      </c>
      <c r="AN345" s="2">
        <f t="shared" si="35"/>
        <v>5.0327045141101223</v>
      </c>
      <c r="AO345">
        <f t="shared" si="36"/>
        <v>-5001.1099999999997</v>
      </c>
      <c r="AP345" s="2">
        <f t="shared" si="37"/>
        <v>0.19850825188271112</v>
      </c>
      <c r="AQ345" s="2">
        <f t="shared" si="41"/>
        <v>4</v>
      </c>
      <c r="AR345">
        <f t="shared" si="38"/>
        <v>334</v>
      </c>
      <c r="AS345" t="str">
        <f t="shared" si="39"/>
        <v>Medium Claim Ratio</v>
      </c>
      <c r="AT345" t="str">
        <f t="shared" si="40"/>
        <v>High Profit</v>
      </c>
    </row>
    <row r="346" spans="1:46" x14ac:dyDescent="0.2">
      <c r="A346">
        <v>216</v>
      </c>
      <c r="B346">
        <v>38</v>
      </c>
      <c r="C346">
        <v>421940</v>
      </c>
      <c r="D346" s="1">
        <v>41793</v>
      </c>
      <c r="E346" t="s">
        <v>57</v>
      </c>
      <c r="F346" t="s">
        <v>69</v>
      </c>
      <c r="G346">
        <v>1000</v>
      </c>
      <c r="H346">
        <v>1384.64</v>
      </c>
      <c r="I346">
        <v>5000000</v>
      </c>
      <c r="J346">
        <v>600754</v>
      </c>
      <c r="K346" t="s">
        <v>70</v>
      </c>
      <c r="L346" t="s">
        <v>92</v>
      </c>
      <c r="M346" t="s">
        <v>97</v>
      </c>
      <c r="N346" t="s">
        <v>73</v>
      </c>
      <c r="O346" t="s">
        <v>85</v>
      </c>
      <c r="P346">
        <v>0</v>
      </c>
      <c r="Q346">
        <v>0</v>
      </c>
      <c r="R346" s="1">
        <v>42013</v>
      </c>
      <c r="S346" t="s">
        <v>46</v>
      </c>
      <c r="T346" t="s">
        <v>76</v>
      </c>
      <c r="U346" t="s">
        <v>107</v>
      </c>
      <c r="V346" t="s">
        <v>49</v>
      </c>
      <c r="W346" t="s">
        <v>64</v>
      </c>
      <c r="X346" t="s">
        <v>51</v>
      </c>
      <c r="Y346" t="s">
        <v>523</v>
      </c>
      <c r="Z346">
        <v>16</v>
      </c>
      <c r="AA346">
        <v>1</v>
      </c>
      <c r="AB346" t="s">
        <v>62</v>
      </c>
      <c r="AC346">
        <v>2</v>
      </c>
      <c r="AD346">
        <v>3</v>
      </c>
      <c r="AE346" t="s">
        <v>79</v>
      </c>
      <c r="AF346">
        <v>66600</v>
      </c>
      <c r="AG346">
        <v>16650</v>
      </c>
      <c r="AH346">
        <v>11100</v>
      </c>
      <c r="AI346">
        <v>38850</v>
      </c>
      <c r="AJ346" t="s">
        <v>197</v>
      </c>
      <c r="AK346" t="s">
        <v>375</v>
      </c>
      <c r="AL346">
        <v>2012</v>
      </c>
      <c r="AM346" t="s">
        <v>56</v>
      </c>
      <c r="AN346" s="2">
        <f t="shared" si="35"/>
        <v>48.064432320083135</v>
      </c>
      <c r="AO346">
        <f t="shared" si="36"/>
        <v>-65215.360000000001</v>
      </c>
      <c r="AP346" s="2">
        <f t="shared" si="37"/>
        <v>2.079007822705365E-2</v>
      </c>
      <c r="AQ346" s="2">
        <f t="shared" si="41"/>
        <v>3</v>
      </c>
      <c r="AR346">
        <f t="shared" si="38"/>
        <v>216</v>
      </c>
      <c r="AS346" t="str">
        <f t="shared" si="39"/>
        <v>High Claim Ratio</v>
      </c>
      <c r="AT346" t="str">
        <f t="shared" si="40"/>
        <v>High Profit</v>
      </c>
    </row>
    <row r="347" spans="1:46" x14ac:dyDescent="0.2">
      <c r="A347">
        <v>86</v>
      </c>
      <c r="B347">
        <v>28</v>
      </c>
      <c r="C347">
        <v>613226</v>
      </c>
      <c r="D347" s="1">
        <v>33472</v>
      </c>
      <c r="E347" t="s">
        <v>57</v>
      </c>
      <c r="F347" t="s">
        <v>69</v>
      </c>
      <c r="G347">
        <v>2000</v>
      </c>
      <c r="H347">
        <v>1595.07</v>
      </c>
      <c r="I347">
        <v>0</v>
      </c>
      <c r="J347">
        <v>439304</v>
      </c>
      <c r="K347" t="s">
        <v>41</v>
      </c>
      <c r="L347" t="s">
        <v>71</v>
      </c>
      <c r="M347" t="s">
        <v>145</v>
      </c>
      <c r="N347" t="s">
        <v>149</v>
      </c>
      <c r="O347" t="s">
        <v>85</v>
      </c>
      <c r="P347">
        <v>75800</v>
      </c>
      <c r="Q347">
        <v>0</v>
      </c>
      <c r="R347" s="1">
        <v>42058</v>
      </c>
      <c r="S347" t="s">
        <v>46</v>
      </c>
      <c r="T347" t="s">
        <v>47</v>
      </c>
      <c r="U347" t="s">
        <v>63</v>
      </c>
      <c r="V347" t="s">
        <v>49</v>
      </c>
      <c r="W347" t="s">
        <v>64</v>
      </c>
      <c r="X347" t="s">
        <v>122</v>
      </c>
      <c r="Y347" t="s">
        <v>524</v>
      </c>
      <c r="Z347">
        <v>19</v>
      </c>
      <c r="AA347">
        <v>1</v>
      </c>
      <c r="AB347" t="s">
        <v>53</v>
      </c>
      <c r="AC347">
        <v>0</v>
      </c>
      <c r="AD347">
        <v>2</v>
      </c>
      <c r="AE347" t="s">
        <v>53</v>
      </c>
      <c r="AF347">
        <v>70920</v>
      </c>
      <c r="AG347">
        <v>11820</v>
      </c>
      <c r="AH347">
        <v>11820</v>
      </c>
      <c r="AI347">
        <v>47280</v>
      </c>
      <c r="AJ347" t="s">
        <v>197</v>
      </c>
      <c r="AK347" t="s">
        <v>198</v>
      </c>
      <c r="AL347">
        <v>2002</v>
      </c>
      <c r="AM347" t="s">
        <v>82</v>
      </c>
      <c r="AN347" s="2">
        <f t="shared" si="35"/>
        <v>44.434141359714801</v>
      </c>
      <c r="AO347">
        <f t="shared" si="36"/>
        <v>-69324.929999999993</v>
      </c>
      <c r="AP347" s="2">
        <f t="shared" si="37"/>
        <v>2.2490799622114747E-2</v>
      </c>
      <c r="AQ347" s="2">
        <f t="shared" si="41"/>
        <v>13</v>
      </c>
      <c r="AR347">
        <f t="shared" si="38"/>
        <v>86</v>
      </c>
      <c r="AS347" t="str">
        <f t="shared" si="39"/>
        <v>High Claim Ratio</v>
      </c>
      <c r="AT347" t="str">
        <f t="shared" si="40"/>
        <v>High Profit</v>
      </c>
    </row>
    <row r="348" spans="1:46" x14ac:dyDescent="0.2">
      <c r="A348">
        <v>429</v>
      </c>
      <c r="B348">
        <v>56</v>
      </c>
      <c r="C348">
        <v>804410</v>
      </c>
      <c r="D348" s="1">
        <v>36141</v>
      </c>
      <c r="E348" t="s">
        <v>39</v>
      </c>
      <c r="F348" t="s">
        <v>40</v>
      </c>
      <c r="G348">
        <v>1000</v>
      </c>
      <c r="H348">
        <v>1127.8900000000001</v>
      </c>
      <c r="I348">
        <v>6000000</v>
      </c>
      <c r="J348">
        <v>460722</v>
      </c>
      <c r="K348" t="s">
        <v>41</v>
      </c>
      <c r="L348" t="s">
        <v>92</v>
      </c>
      <c r="M348" t="s">
        <v>58</v>
      </c>
      <c r="N348" t="s">
        <v>132</v>
      </c>
      <c r="O348" t="s">
        <v>74</v>
      </c>
      <c r="P348">
        <v>67400</v>
      </c>
      <c r="Q348">
        <v>-43800</v>
      </c>
      <c r="R348" s="1">
        <v>42032</v>
      </c>
      <c r="S348" t="s">
        <v>46</v>
      </c>
      <c r="T348" t="s">
        <v>76</v>
      </c>
      <c r="U348" t="s">
        <v>63</v>
      </c>
      <c r="V348" t="s">
        <v>136</v>
      </c>
      <c r="W348" t="s">
        <v>113</v>
      </c>
      <c r="X348" t="s">
        <v>102</v>
      </c>
      <c r="Y348" t="s">
        <v>525</v>
      </c>
      <c r="Z348">
        <v>0</v>
      </c>
      <c r="AA348">
        <v>1</v>
      </c>
      <c r="AB348" t="s">
        <v>53</v>
      </c>
      <c r="AC348">
        <v>2</v>
      </c>
      <c r="AD348">
        <v>0</v>
      </c>
      <c r="AE348" t="s">
        <v>53</v>
      </c>
      <c r="AF348">
        <v>39480</v>
      </c>
      <c r="AG348">
        <v>6580</v>
      </c>
      <c r="AH348">
        <v>6580</v>
      </c>
      <c r="AI348">
        <v>26320</v>
      </c>
      <c r="AJ348" t="s">
        <v>153</v>
      </c>
      <c r="AK348" t="s">
        <v>167</v>
      </c>
      <c r="AL348">
        <v>2002</v>
      </c>
      <c r="AM348" t="s">
        <v>82</v>
      </c>
      <c r="AN348" s="2">
        <f t="shared" si="35"/>
        <v>34.97240652322192</v>
      </c>
      <c r="AO348">
        <f t="shared" si="36"/>
        <v>-38352.11</v>
      </c>
      <c r="AP348" s="2">
        <f t="shared" si="37"/>
        <v>2.8567918745725795E-2</v>
      </c>
      <c r="AQ348" s="2">
        <f t="shared" si="41"/>
        <v>13</v>
      </c>
      <c r="AR348">
        <f t="shared" si="38"/>
        <v>429</v>
      </c>
      <c r="AS348" t="str">
        <f t="shared" si="39"/>
        <v>High Claim Ratio</v>
      </c>
      <c r="AT348" t="str">
        <f t="shared" si="40"/>
        <v>High Profit</v>
      </c>
    </row>
    <row r="349" spans="1:46" x14ac:dyDescent="0.2">
      <c r="A349">
        <v>257</v>
      </c>
      <c r="B349">
        <v>43</v>
      </c>
      <c r="C349">
        <v>553565</v>
      </c>
      <c r="D349" s="1">
        <v>36209</v>
      </c>
      <c r="E349" t="s">
        <v>57</v>
      </c>
      <c r="F349" t="s">
        <v>91</v>
      </c>
      <c r="G349">
        <v>2000</v>
      </c>
      <c r="H349">
        <v>929.7</v>
      </c>
      <c r="I349">
        <v>6000000</v>
      </c>
      <c r="J349">
        <v>618632</v>
      </c>
      <c r="K349" t="s">
        <v>70</v>
      </c>
      <c r="L349" t="s">
        <v>71</v>
      </c>
      <c r="M349" t="s">
        <v>159</v>
      </c>
      <c r="N349" t="s">
        <v>106</v>
      </c>
      <c r="O349" t="s">
        <v>45</v>
      </c>
      <c r="P349">
        <v>46400</v>
      </c>
      <c r="Q349">
        <v>-74300</v>
      </c>
      <c r="R349" s="1">
        <v>42018</v>
      </c>
      <c r="S349" t="s">
        <v>46</v>
      </c>
      <c r="T349" t="s">
        <v>86</v>
      </c>
      <c r="U349" t="s">
        <v>107</v>
      </c>
      <c r="V349" t="s">
        <v>120</v>
      </c>
      <c r="W349" t="s">
        <v>64</v>
      </c>
      <c r="X349" t="s">
        <v>87</v>
      </c>
      <c r="Y349" t="s">
        <v>526</v>
      </c>
      <c r="Z349">
        <v>12</v>
      </c>
      <c r="AA349">
        <v>1</v>
      </c>
      <c r="AB349" t="s">
        <v>62</v>
      </c>
      <c r="AC349">
        <v>2</v>
      </c>
      <c r="AD349">
        <v>2</v>
      </c>
      <c r="AE349" t="s">
        <v>53</v>
      </c>
      <c r="AF349">
        <v>63240</v>
      </c>
      <c r="AG349">
        <v>10540</v>
      </c>
      <c r="AH349">
        <v>5270</v>
      </c>
      <c r="AI349">
        <v>47430</v>
      </c>
      <c r="AJ349" t="s">
        <v>67</v>
      </c>
      <c r="AK349" t="s">
        <v>68</v>
      </c>
      <c r="AL349">
        <v>2005</v>
      </c>
      <c r="AM349" t="s">
        <v>82</v>
      </c>
      <c r="AN349" s="2">
        <f t="shared" si="35"/>
        <v>67.948855700010739</v>
      </c>
      <c r="AO349">
        <f t="shared" si="36"/>
        <v>-62310.3</v>
      </c>
      <c r="AP349" s="2">
        <f t="shared" si="37"/>
        <v>1.4700906057778974E-2</v>
      </c>
      <c r="AQ349" s="2">
        <f t="shared" si="41"/>
        <v>10</v>
      </c>
      <c r="AR349">
        <f t="shared" si="38"/>
        <v>257</v>
      </c>
      <c r="AS349" t="str">
        <f t="shared" si="39"/>
        <v>High Claim Ratio</v>
      </c>
      <c r="AT349" t="str">
        <f t="shared" si="40"/>
        <v>High Profit</v>
      </c>
    </row>
    <row r="350" spans="1:46" x14ac:dyDescent="0.2">
      <c r="A350">
        <v>15</v>
      </c>
      <c r="B350">
        <v>34</v>
      </c>
      <c r="C350">
        <v>399524</v>
      </c>
      <c r="D350" s="1">
        <v>35733</v>
      </c>
      <c r="E350" t="s">
        <v>83</v>
      </c>
      <c r="F350" t="s">
        <v>69</v>
      </c>
      <c r="G350">
        <v>1000</v>
      </c>
      <c r="H350">
        <v>1829.63</v>
      </c>
      <c r="I350">
        <v>0</v>
      </c>
      <c r="J350">
        <v>452204</v>
      </c>
      <c r="K350" t="s">
        <v>41</v>
      </c>
      <c r="L350" t="s">
        <v>161</v>
      </c>
      <c r="M350" t="s">
        <v>97</v>
      </c>
      <c r="N350" t="s">
        <v>242</v>
      </c>
      <c r="O350" t="s">
        <v>142</v>
      </c>
      <c r="P350">
        <v>56700</v>
      </c>
      <c r="Q350">
        <v>0</v>
      </c>
      <c r="R350" s="1">
        <v>42038</v>
      </c>
      <c r="S350" t="s">
        <v>75</v>
      </c>
      <c r="T350" t="s">
        <v>47</v>
      </c>
      <c r="U350" t="s">
        <v>107</v>
      </c>
      <c r="V350" t="s">
        <v>120</v>
      </c>
      <c r="W350" t="s">
        <v>50</v>
      </c>
      <c r="X350" t="s">
        <v>87</v>
      </c>
      <c r="Y350" t="s">
        <v>527</v>
      </c>
      <c r="Z350">
        <v>21</v>
      </c>
      <c r="AA350">
        <v>3</v>
      </c>
      <c r="AB350" t="s">
        <v>53</v>
      </c>
      <c r="AC350">
        <v>1</v>
      </c>
      <c r="AD350">
        <v>0</v>
      </c>
      <c r="AE350" t="s">
        <v>62</v>
      </c>
      <c r="AF350">
        <v>67650</v>
      </c>
      <c r="AG350">
        <v>12300</v>
      </c>
      <c r="AH350">
        <v>6150</v>
      </c>
      <c r="AI350">
        <v>49200</v>
      </c>
      <c r="AJ350" t="s">
        <v>109</v>
      </c>
      <c r="AK350" t="s">
        <v>110</v>
      </c>
      <c r="AL350">
        <v>2009</v>
      </c>
      <c r="AM350" t="s">
        <v>82</v>
      </c>
      <c r="AN350" s="2">
        <f t="shared" si="35"/>
        <v>36.954491076842395</v>
      </c>
      <c r="AO350">
        <f t="shared" si="36"/>
        <v>-65820.37</v>
      </c>
      <c r="AP350" s="2">
        <f t="shared" si="37"/>
        <v>2.7045128675111975E-2</v>
      </c>
      <c r="AQ350" s="2">
        <f t="shared" si="41"/>
        <v>6</v>
      </c>
      <c r="AR350">
        <f t="shared" si="38"/>
        <v>15</v>
      </c>
      <c r="AS350" t="str">
        <f t="shared" si="39"/>
        <v>High Claim Ratio</v>
      </c>
      <c r="AT350" t="str">
        <f t="shared" si="40"/>
        <v>High Profit</v>
      </c>
    </row>
    <row r="351" spans="1:46" x14ac:dyDescent="0.2">
      <c r="A351">
        <v>230</v>
      </c>
      <c r="B351">
        <v>39</v>
      </c>
      <c r="C351">
        <v>331595</v>
      </c>
      <c r="D351" s="1">
        <v>36493</v>
      </c>
      <c r="E351" t="s">
        <v>83</v>
      </c>
      <c r="F351" t="s">
        <v>69</v>
      </c>
      <c r="G351">
        <v>1000</v>
      </c>
      <c r="H351">
        <v>904.7</v>
      </c>
      <c r="I351">
        <v>7000000</v>
      </c>
      <c r="J351">
        <v>454530</v>
      </c>
      <c r="K351" t="s">
        <v>70</v>
      </c>
      <c r="L351" t="s">
        <v>42</v>
      </c>
      <c r="M351" t="s">
        <v>43</v>
      </c>
      <c r="N351" t="s">
        <v>98</v>
      </c>
      <c r="O351" t="s">
        <v>85</v>
      </c>
      <c r="P351">
        <v>68600</v>
      </c>
      <c r="Q351">
        <v>-22300</v>
      </c>
      <c r="R351" s="1">
        <v>42052</v>
      </c>
      <c r="S351" t="s">
        <v>46</v>
      </c>
      <c r="T351" t="s">
        <v>86</v>
      </c>
      <c r="U351" t="s">
        <v>48</v>
      </c>
      <c r="V351" t="s">
        <v>99</v>
      </c>
      <c r="W351" t="s">
        <v>50</v>
      </c>
      <c r="X351" t="s">
        <v>65</v>
      </c>
      <c r="Y351" t="s">
        <v>528</v>
      </c>
      <c r="Z351">
        <v>0</v>
      </c>
      <c r="AA351">
        <v>1</v>
      </c>
      <c r="AB351" t="s">
        <v>62</v>
      </c>
      <c r="AC351">
        <v>1</v>
      </c>
      <c r="AD351">
        <v>3</v>
      </c>
      <c r="AE351" t="s">
        <v>79</v>
      </c>
      <c r="AF351">
        <v>74200</v>
      </c>
      <c r="AG351">
        <v>14840</v>
      </c>
      <c r="AH351">
        <v>14840</v>
      </c>
      <c r="AI351">
        <v>44520</v>
      </c>
      <c r="AJ351" t="s">
        <v>95</v>
      </c>
      <c r="AK351" t="s">
        <v>158</v>
      </c>
      <c r="AL351">
        <v>2002</v>
      </c>
      <c r="AM351" t="s">
        <v>56</v>
      </c>
      <c r="AN351" s="2">
        <f t="shared" si="35"/>
        <v>81.925582422435681</v>
      </c>
      <c r="AO351">
        <f t="shared" si="36"/>
        <v>-73295.3</v>
      </c>
      <c r="AP351" s="2">
        <f t="shared" si="37"/>
        <v>1.2192558051778279E-2</v>
      </c>
      <c r="AQ351" s="2">
        <f t="shared" si="41"/>
        <v>13</v>
      </c>
      <c r="AR351">
        <f t="shared" si="38"/>
        <v>230</v>
      </c>
      <c r="AS351" t="str">
        <f t="shared" si="39"/>
        <v>High Claim Ratio</v>
      </c>
      <c r="AT351" t="str">
        <f t="shared" si="40"/>
        <v>High Profit</v>
      </c>
    </row>
    <row r="352" spans="1:46" x14ac:dyDescent="0.2">
      <c r="A352">
        <v>250</v>
      </c>
      <c r="B352">
        <v>43</v>
      </c>
      <c r="C352">
        <v>380067</v>
      </c>
      <c r="D352" s="1">
        <v>41462</v>
      </c>
      <c r="E352" t="s">
        <v>39</v>
      </c>
      <c r="F352" t="s">
        <v>91</v>
      </c>
      <c r="G352">
        <v>1000</v>
      </c>
      <c r="H352">
        <v>1243.8399999999999</v>
      </c>
      <c r="I352">
        <v>0</v>
      </c>
      <c r="J352">
        <v>474848</v>
      </c>
      <c r="K352" t="s">
        <v>70</v>
      </c>
      <c r="L352" t="s">
        <v>161</v>
      </c>
      <c r="M352" t="s">
        <v>97</v>
      </c>
      <c r="N352" t="s">
        <v>173</v>
      </c>
      <c r="O352" t="s">
        <v>74</v>
      </c>
      <c r="P352">
        <v>47900</v>
      </c>
      <c r="Q352">
        <v>-73400</v>
      </c>
      <c r="R352" s="1">
        <v>42034</v>
      </c>
      <c r="S352" t="s">
        <v>46</v>
      </c>
      <c r="T352" t="s">
        <v>47</v>
      </c>
      <c r="U352" t="s">
        <v>63</v>
      </c>
      <c r="V352" t="s">
        <v>120</v>
      </c>
      <c r="W352" t="s">
        <v>64</v>
      </c>
      <c r="X352" t="s">
        <v>51</v>
      </c>
      <c r="Y352" t="s">
        <v>529</v>
      </c>
      <c r="Z352">
        <v>22</v>
      </c>
      <c r="AA352">
        <v>1</v>
      </c>
      <c r="AB352" t="s">
        <v>53</v>
      </c>
      <c r="AC352">
        <v>1</v>
      </c>
      <c r="AD352">
        <v>3</v>
      </c>
      <c r="AE352" t="s">
        <v>79</v>
      </c>
      <c r="AF352">
        <v>64900</v>
      </c>
      <c r="AG352">
        <v>12980</v>
      </c>
      <c r="AH352">
        <v>12980</v>
      </c>
      <c r="AI352">
        <v>38940</v>
      </c>
      <c r="AJ352" t="s">
        <v>214</v>
      </c>
      <c r="AK352" t="s">
        <v>258</v>
      </c>
      <c r="AL352">
        <v>2011</v>
      </c>
      <c r="AM352" t="s">
        <v>82</v>
      </c>
      <c r="AN352" s="2">
        <f t="shared" si="35"/>
        <v>52.135214164069282</v>
      </c>
      <c r="AO352">
        <f t="shared" si="36"/>
        <v>-63656.160000000003</v>
      </c>
      <c r="AP352" s="2">
        <f t="shared" si="37"/>
        <v>1.9165190058704797E-2</v>
      </c>
      <c r="AQ352" s="2">
        <f t="shared" si="41"/>
        <v>4</v>
      </c>
      <c r="AR352">
        <f t="shared" si="38"/>
        <v>250</v>
      </c>
      <c r="AS352" t="str">
        <f t="shared" si="39"/>
        <v>High Claim Ratio</v>
      </c>
      <c r="AT352" t="str">
        <f t="shared" si="40"/>
        <v>High Profit</v>
      </c>
    </row>
    <row r="353" spans="1:46" x14ac:dyDescent="0.2">
      <c r="A353">
        <v>270</v>
      </c>
      <c r="B353">
        <v>44</v>
      </c>
      <c r="C353">
        <v>701521</v>
      </c>
      <c r="D353" s="1">
        <v>37807</v>
      </c>
      <c r="E353" t="s">
        <v>83</v>
      </c>
      <c r="F353" t="s">
        <v>91</v>
      </c>
      <c r="G353">
        <v>2000</v>
      </c>
      <c r="H353">
        <v>1030.95</v>
      </c>
      <c r="I353">
        <v>0</v>
      </c>
      <c r="J353">
        <v>435985</v>
      </c>
      <c r="K353" t="s">
        <v>70</v>
      </c>
      <c r="L353" t="s">
        <v>92</v>
      </c>
      <c r="M353" t="s">
        <v>58</v>
      </c>
      <c r="N353" t="s">
        <v>165</v>
      </c>
      <c r="O353" t="s">
        <v>60</v>
      </c>
      <c r="P353">
        <v>47200</v>
      </c>
      <c r="Q353">
        <v>0</v>
      </c>
      <c r="R353" s="1">
        <v>42038</v>
      </c>
      <c r="S353" t="s">
        <v>75</v>
      </c>
      <c r="T353" t="s">
        <v>76</v>
      </c>
      <c r="U353" t="s">
        <v>48</v>
      </c>
      <c r="V353" t="s">
        <v>136</v>
      </c>
      <c r="W353" t="s">
        <v>121</v>
      </c>
      <c r="X353" t="s">
        <v>127</v>
      </c>
      <c r="Y353" t="s">
        <v>530</v>
      </c>
      <c r="Z353">
        <v>20</v>
      </c>
      <c r="AA353">
        <v>3</v>
      </c>
      <c r="AB353" t="s">
        <v>62</v>
      </c>
      <c r="AC353">
        <v>1</v>
      </c>
      <c r="AD353">
        <v>0</v>
      </c>
      <c r="AE353" t="s">
        <v>79</v>
      </c>
      <c r="AF353">
        <v>35900</v>
      </c>
      <c r="AG353">
        <v>7180</v>
      </c>
      <c r="AH353">
        <v>3590</v>
      </c>
      <c r="AI353">
        <v>25130</v>
      </c>
      <c r="AJ353" t="s">
        <v>109</v>
      </c>
      <c r="AK353" t="s">
        <v>134</v>
      </c>
      <c r="AL353">
        <v>2007</v>
      </c>
      <c r="AM353" t="s">
        <v>56</v>
      </c>
      <c r="AN353" s="2">
        <f t="shared" si="35"/>
        <v>34.78850719511604</v>
      </c>
      <c r="AO353">
        <f t="shared" si="36"/>
        <v>-34869.050000000003</v>
      </c>
      <c r="AP353" s="2">
        <f t="shared" si="37"/>
        <v>2.8716470293306595E-2</v>
      </c>
      <c r="AQ353" s="2">
        <f t="shared" si="41"/>
        <v>8</v>
      </c>
      <c r="AR353">
        <f t="shared" si="38"/>
        <v>270</v>
      </c>
      <c r="AS353" t="str">
        <f t="shared" si="39"/>
        <v>High Claim Ratio</v>
      </c>
      <c r="AT353" t="str">
        <f t="shared" si="40"/>
        <v>High Profit</v>
      </c>
    </row>
    <row r="354" spans="1:46" x14ac:dyDescent="0.2">
      <c r="A354">
        <v>65</v>
      </c>
      <c r="B354">
        <v>26</v>
      </c>
      <c r="C354">
        <v>360770</v>
      </c>
      <c r="D354" s="1">
        <v>38616</v>
      </c>
      <c r="E354" t="s">
        <v>57</v>
      </c>
      <c r="F354" t="s">
        <v>69</v>
      </c>
      <c r="G354">
        <v>500</v>
      </c>
      <c r="H354">
        <v>1285.03</v>
      </c>
      <c r="I354">
        <v>3000000</v>
      </c>
      <c r="J354">
        <v>457942</v>
      </c>
      <c r="K354" t="s">
        <v>70</v>
      </c>
      <c r="L354" t="s">
        <v>131</v>
      </c>
      <c r="M354" t="s">
        <v>43</v>
      </c>
      <c r="N354" t="s">
        <v>118</v>
      </c>
      <c r="O354" t="s">
        <v>85</v>
      </c>
      <c r="P354">
        <v>0</v>
      </c>
      <c r="Q354">
        <v>-41500</v>
      </c>
      <c r="R354" s="1">
        <v>42038</v>
      </c>
      <c r="S354" t="s">
        <v>46</v>
      </c>
      <c r="T354" t="s">
        <v>76</v>
      </c>
      <c r="U354" t="s">
        <v>63</v>
      </c>
      <c r="V354" t="s">
        <v>99</v>
      </c>
      <c r="W354" t="s">
        <v>64</v>
      </c>
      <c r="X354" t="s">
        <v>65</v>
      </c>
      <c r="Y354" t="s">
        <v>531</v>
      </c>
      <c r="Z354">
        <v>0</v>
      </c>
      <c r="AA354">
        <v>1</v>
      </c>
      <c r="AB354" t="s">
        <v>79</v>
      </c>
      <c r="AC354">
        <v>1</v>
      </c>
      <c r="AD354">
        <v>3</v>
      </c>
      <c r="AE354" t="s">
        <v>62</v>
      </c>
      <c r="AF354">
        <v>52200</v>
      </c>
      <c r="AG354">
        <v>5220</v>
      </c>
      <c r="AH354">
        <v>10440</v>
      </c>
      <c r="AI354">
        <v>36540</v>
      </c>
      <c r="AJ354" t="s">
        <v>209</v>
      </c>
      <c r="AK354" t="s">
        <v>225</v>
      </c>
      <c r="AL354">
        <v>2011</v>
      </c>
      <c r="AM354" t="s">
        <v>82</v>
      </c>
      <c r="AN354" s="2">
        <f t="shared" si="35"/>
        <v>40.590032891923208</v>
      </c>
      <c r="AO354">
        <f t="shared" si="36"/>
        <v>-50914.97</v>
      </c>
      <c r="AP354" s="2">
        <f t="shared" si="37"/>
        <v>2.4616961360893468E-2</v>
      </c>
      <c r="AQ354" s="2">
        <f t="shared" si="41"/>
        <v>4</v>
      </c>
      <c r="AR354">
        <f t="shared" si="38"/>
        <v>65</v>
      </c>
      <c r="AS354" t="str">
        <f t="shared" si="39"/>
        <v>High Claim Ratio</v>
      </c>
      <c r="AT354" t="str">
        <f t="shared" si="40"/>
        <v>High Profit</v>
      </c>
    </row>
    <row r="355" spans="1:46" x14ac:dyDescent="0.2">
      <c r="A355">
        <v>475</v>
      </c>
      <c r="B355">
        <v>57</v>
      </c>
      <c r="C355">
        <v>958785</v>
      </c>
      <c r="D355" s="1">
        <v>34748</v>
      </c>
      <c r="E355" t="s">
        <v>39</v>
      </c>
      <c r="F355" t="s">
        <v>69</v>
      </c>
      <c r="G355">
        <v>500</v>
      </c>
      <c r="H355">
        <v>1216.56</v>
      </c>
      <c r="I355">
        <v>0</v>
      </c>
      <c r="J355">
        <v>436522</v>
      </c>
      <c r="K355" t="s">
        <v>41</v>
      </c>
      <c r="L355" t="s">
        <v>124</v>
      </c>
      <c r="M355" t="s">
        <v>185</v>
      </c>
      <c r="N355" t="s">
        <v>132</v>
      </c>
      <c r="O355" t="s">
        <v>74</v>
      </c>
      <c r="P355">
        <v>67400</v>
      </c>
      <c r="Q355">
        <v>-83200</v>
      </c>
      <c r="R355" s="1">
        <v>42035</v>
      </c>
      <c r="S355" t="s">
        <v>46</v>
      </c>
      <c r="T355" t="s">
        <v>86</v>
      </c>
      <c r="U355" t="s">
        <v>63</v>
      </c>
      <c r="V355" t="s">
        <v>49</v>
      </c>
      <c r="W355" t="s">
        <v>50</v>
      </c>
      <c r="X355" t="s">
        <v>122</v>
      </c>
      <c r="Y355" t="s">
        <v>532</v>
      </c>
      <c r="Z355">
        <v>20</v>
      </c>
      <c r="AA355">
        <v>1</v>
      </c>
      <c r="AB355" t="s">
        <v>62</v>
      </c>
      <c r="AC355">
        <v>0</v>
      </c>
      <c r="AD355">
        <v>2</v>
      </c>
      <c r="AE355" t="s">
        <v>79</v>
      </c>
      <c r="AF355">
        <v>78000</v>
      </c>
      <c r="AG355">
        <v>6500</v>
      </c>
      <c r="AH355">
        <v>13000</v>
      </c>
      <c r="AI355">
        <v>58500</v>
      </c>
      <c r="AJ355" t="s">
        <v>153</v>
      </c>
      <c r="AK355" t="s">
        <v>167</v>
      </c>
      <c r="AL355">
        <v>2000</v>
      </c>
      <c r="AM355" t="s">
        <v>82</v>
      </c>
      <c r="AN355" s="2">
        <f t="shared" si="35"/>
        <v>64.062551332172546</v>
      </c>
      <c r="AO355">
        <f t="shared" si="36"/>
        <v>-76783.44</v>
      </c>
      <c r="AP355" s="2">
        <f t="shared" si="37"/>
        <v>1.5596723118934373E-2</v>
      </c>
      <c r="AQ355" s="2">
        <f t="shared" si="41"/>
        <v>15</v>
      </c>
      <c r="AR355">
        <f t="shared" si="38"/>
        <v>475</v>
      </c>
      <c r="AS355" t="str">
        <f t="shared" si="39"/>
        <v>High Claim Ratio</v>
      </c>
      <c r="AT355" t="str">
        <f t="shared" si="40"/>
        <v>High Profit</v>
      </c>
    </row>
    <row r="356" spans="1:46" x14ac:dyDescent="0.2">
      <c r="A356">
        <v>77</v>
      </c>
      <c r="B356">
        <v>27</v>
      </c>
      <c r="C356">
        <v>797934</v>
      </c>
      <c r="D356" s="1">
        <v>36257</v>
      </c>
      <c r="E356" t="s">
        <v>57</v>
      </c>
      <c r="F356" t="s">
        <v>91</v>
      </c>
      <c r="G356">
        <v>2000</v>
      </c>
      <c r="H356">
        <v>966.26</v>
      </c>
      <c r="I356">
        <v>0</v>
      </c>
      <c r="J356">
        <v>471704</v>
      </c>
      <c r="K356" t="s">
        <v>70</v>
      </c>
      <c r="L356" t="s">
        <v>131</v>
      </c>
      <c r="M356" t="s">
        <v>185</v>
      </c>
      <c r="N356" t="s">
        <v>106</v>
      </c>
      <c r="O356" t="s">
        <v>74</v>
      </c>
      <c r="P356">
        <v>56400</v>
      </c>
      <c r="Q356">
        <v>-32800</v>
      </c>
      <c r="R356" s="1">
        <v>42041</v>
      </c>
      <c r="S356" t="s">
        <v>75</v>
      </c>
      <c r="T356" t="s">
        <v>86</v>
      </c>
      <c r="U356" t="s">
        <v>63</v>
      </c>
      <c r="V356" t="s">
        <v>136</v>
      </c>
      <c r="W356" t="s">
        <v>77</v>
      </c>
      <c r="X356" t="s">
        <v>102</v>
      </c>
      <c r="Y356" t="s">
        <v>533</v>
      </c>
      <c r="Z356">
        <v>1</v>
      </c>
      <c r="AA356">
        <v>3</v>
      </c>
      <c r="AB356" t="s">
        <v>53</v>
      </c>
      <c r="AC356">
        <v>0</v>
      </c>
      <c r="AD356">
        <v>0</v>
      </c>
      <c r="AE356" t="s">
        <v>62</v>
      </c>
      <c r="AF356">
        <v>67200</v>
      </c>
      <c r="AG356">
        <v>6720</v>
      </c>
      <c r="AH356">
        <v>6720</v>
      </c>
      <c r="AI356">
        <v>53760</v>
      </c>
      <c r="AJ356" t="s">
        <v>214</v>
      </c>
      <c r="AK356" t="s">
        <v>215</v>
      </c>
      <c r="AL356">
        <v>1995</v>
      </c>
      <c r="AM356" t="s">
        <v>82</v>
      </c>
      <c r="AN356" s="2">
        <f t="shared" si="35"/>
        <v>69.474598349978294</v>
      </c>
      <c r="AO356">
        <f t="shared" si="36"/>
        <v>-66233.740000000005</v>
      </c>
      <c r="AP356" s="2">
        <f t="shared" si="37"/>
        <v>1.4378655079537507E-2</v>
      </c>
      <c r="AQ356" s="2">
        <f t="shared" si="41"/>
        <v>20</v>
      </c>
      <c r="AR356">
        <f t="shared" si="38"/>
        <v>77</v>
      </c>
      <c r="AS356" t="str">
        <f t="shared" si="39"/>
        <v>High Claim Ratio</v>
      </c>
      <c r="AT356" t="str">
        <f t="shared" si="40"/>
        <v>High Profit</v>
      </c>
    </row>
    <row r="357" spans="1:46" x14ac:dyDescent="0.2">
      <c r="A357">
        <v>256</v>
      </c>
      <c r="B357">
        <v>43</v>
      </c>
      <c r="C357">
        <v>883980</v>
      </c>
      <c r="D357" s="1">
        <v>41986</v>
      </c>
      <c r="E357" t="s">
        <v>39</v>
      </c>
      <c r="F357" t="s">
        <v>69</v>
      </c>
      <c r="G357">
        <v>500</v>
      </c>
      <c r="H357">
        <v>1203.17</v>
      </c>
      <c r="I357">
        <v>0</v>
      </c>
      <c r="J357">
        <v>455810</v>
      </c>
      <c r="K357" t="s">
        <v>70</v>
      </c>
      <c r="L357" t="s">
        <v>42</v>
      </c>
      <c r="M357" t="s">
        <v>101</v>
      </c>
      <c r="N357" t="s">
        <v>112</v>
      </c>
      <c r="O357" t="s">
        <v>85</v>
      </c>
      <c r="P357">
        <v>56700</v>
      </c>
      <c r="Q357">
        <v>-65600</v>
      </c>
      <c r="R357" s="1">
        <v>42041</v>
      </c>
      <c r="S357" t="s">
        <v>46</v>
      </c>
      <c r="T357" t="s">
        <v>76</v>
      </c>
      <c r="U357" t="s">
        <v>107</v>
      </c>
      <c r="V357" t="s">
        <v>99</v>
      </c>
      <c r="W357" t="s">
        <v>113</v>
      </c>
      <c r="X357" t="s">
        <v>122</v>
      </c>
      <c r="Y357" t="s">
        <v>534</v>
      </c>
      <c r="Z357">
        <v>11</v>
      </c>
      <c r="AA357">
        <v>1</v>
      </c>
      <c r="AB357" t="s">
        <v>79</v>
      </c>
      <c r="AC357">
        <v>0</v>
      </c>
      <c r="AD357">
        <v>0</v>
      </c>
      <c r="AE357" t="s">
        <v>62</v>
      </c>
      <c r="AF357">
        <v>63250</v>
      </c>
      <c r="AG357">
        <v>11500</v>
      </c>
      <c r="AH357">
        <v>5750</v>
      </c>
      <c r="AI357">
        <v>46000</v>
      </c>
      <c r="AJ357" t="s">
        <v>104</v>
      </c>
      <c r="AK357" t="s">
        <v>287</v>
      </c>
      <c r="AL357">
        <v>1997</v>
      </c>
      <c r="AM357" t="s">
        <v>82</v>
      </c>
      <c r="AN357" s="2">
        <f t="shared" si="35"/>
        <v>52.525806156937968</v>
      </c>
      <c r="AO357">
        <f t="shared" si="36"/>
        <v>-62046.83</v>
      </c>
      <c r="AP357" s="2">
        <f t="shared" si="37"/>
        <v>1.9022149847433244E-2</v>
      </c>
      <c r="AQ357" s="2">
        <f t="shared" si="41"/>
        <v>18</v>
      </c>
      <c r="AR357">
        <f t="shared" si="38"/>
        <v>256</v>
      </c>
      <c r="AS357" t="str">
        <f t="shared" si="39"/>
        <v>High Claim Ratio</v>
      </c>
      <c r="AT357" t="str">
        <f t="shared" si="40"/>
        <v>High Profit</v>
      </c>
    </row>
    <row r="358" spans="1:46" x14ac:dyDescent="0.2">
      <c r="A358">
        <v>229</v>
      </c>
      <c r="B358">
        <v>37</v>
      </c>
      <c r="C358">
        <v>340614</v>
      </c>
      <c r="D358" s="1">
        <v>35582</v>
      </c>
      <c r="E358" t="s">
        <v>83</v>
      </c>
      <c r="F358" t="s">
        <v>40</v>
      </c>
      <c r="G358">
        <v>2000</v>
      </c>
      <c r="H358">
        <v>1212.1199999999999</v>
      </c>
      <c r="I358">
        <v>0</v>
      </c>
      <c r="J358">
        <v>446544</v>
      </c>
      <c r="K358" t="s">
        <v>70</v>
      </c>
      <c r="L358" t="s">
        <v>42</v>
      </c>
      <c r="M358" t="s">
        <v>43</v>
      </c>
      <c r="N358" t="s">
        <v>165</v>
      </c>
      <c r="O358" t="s">
        <v>142</v>
      </c>
      <c r="P358">
        <v>65600</v>
      </c>
      <c r="Q358">
        <v>0</v>
      </c>
      <c r="R358" s="1">
        <v>42033</v>
      </c>
      <c r="S358" t="s">
        <v>75</v>
      </c>
      <c r="T358" t="s">
        <v>47</v>
      </c>
      <c r="U358" t="s">
        <v>48</v>
      </c>
      <c r="V358" t="s">
        <v>120</v>
      </c>
      <c r="W358" t="s">
        <v>113</v>
      </c>
      <c r="X358" t="s">
        <v>51</v>
      </c>
      <c r="Y358" t="s">
        <v>535</v>
      </c>
      <c r="Z358">
        <v>14</v>
      </c>
      <c r="AA358">
        <v>3</v>
      </c>
      <c r="AB358" t="s">
        <v>53</v>
      </c>
      <c r="AC358">
        <v>1</v>
      </c>
      <c r="AD358">
        <v>1</v>
      </c>
      <c r="AE358" t="s">
        <v>53</v>
      </c>
      <c r="AF358">
        <v>68760</v>
      </c>
      <c r="AG358">
        <v>11460</v>
      </c>
      <c r="AH358">
        <v>5730</v>
      </c>
      <c r="AI358">
        <v>51570</v>
      </c>
      <c r="AJ358" t="s">
        <v>129</v>
      </c>
      <c r="AK358" t="s">
        <v>249</v>
      </c>
      <c r="AL358">
        <v>1995</v>
      </c>
      <c r="AM358" t="s">
        <v>82</v>
      </c>
      <c r="AN358" s="2">
        <f t="shared" si="35"/>
        <v>56.680295436560279</v>
      </c>
      <c r="AO358">
        <f t="shared" si="36"/>
        <v>-67547.88</v>
      </c>
      <c r="AP358" s="2">
        <f t="shared" si="37"/>
        <v>1.7628015881095388E-2</v>
      </c>
      <c r="AQ358" s="2">
        <f t="shared" si="41"/>
        <v>20</v>
      </c>
      <c r="AR358">
        <f t="shared" si="38"/>
        <v>229</v>
      </c>
      <c r="AS358" t="str">
        <f t="shared" si="39"/>
        <v>High Claim Ratio</v>
      </c>
      <c r="AT358" t="str">
        <f t="shared" si="40"/>
        <v>High Profit</v>
      </c>
    </row>
    <row r="359" spans="1:46" x14ac:dyDescent="0.2">
      <c r="A359">
        <v>110</v>
      </c>
      <c r="B359">
        <v>28</v>
      </c>
      <c r="C359">
        <v>435784</v>
      </c>
      <c r="D359" s="1">
        <v>41468</v>
      </c>
      <c r="E359" t="s">
        <v>39</v>
      </c>
      <c r="F359" t="s">
        <v>40</v>
      </c>
      <c r="G359">
        <v>1000</v>
      </c>
      <c r="H359">
        <v>1573.93</v>
      </c>
      <c r="I359">
        <v>0</v>
      </c>
      <c r="J359">
        <v>461919</v>
      </c>
      <c r="K359" t="s">
        <v>41</v>
      </c>
      <c r="L359" t="s">
        <v>141</v>
      </c>
      <c r="M359" t="s">
        <v>111</v>
      </c>
      <c r="N359" t="s">
        <v>146</v>
      </c>
      <c r="O359" t="s">
        <v>60</v>
      </c>
      <c r="P359">
        <v>30400</v>
      </c>
      <c r="Q359">
        <v>0</v>
      </c>
      <c r="R359" s="1">
        <v>42011</v>
      </c>
      <c r="S359" t="s">
        <v>75</v>
      </c>
      <c r="T359" t="s">
        <v>47</v>
      </c>
      <c r="U359" t="s">
        <v>63</v>
      </c>
      <c r="V359" t="s">
        <v>49</v>
      </c>
      <c r="W359" t="s">
        <v>77</v>
      </c>
      <c r="X359" t="s">
        <v>102</v>
      </c>
      <c r="Y359" t="s">
        <v>536</v>
      </c>
      <c r="Z359">
        <v>20</v>
      </c>
      <c r="AA359">
        <v>3</v>
      </c>
      <c r="AB359" t="s">
        <v>53</v>
      </c>
      <c r="AC359">
        <v>0</v>
      </c>
      <c r="AD359">
        <v>2</v>
      </c>
      <c r="AE359" t="s">
        <v>62</v>
      </c>
      <c r="AF359">
        <v>65040</v>
      </c>
      <c r="AG359">
        <v>10840</v>
      </c>
      <c r="AH359">
        <v>10840</v>
      </c>
      <c r="AI359">
        <v>43360</v>
      </c>
      <c r="AJ359" t="s">
        <v>153</v>
      </c>
      <c r="AK359" t="s">
        <v>163</v>
      </c>
      <c r="AL359">
        <v>2010</v>
      </c>
      <c r="AM359" t="s">
        <v>82</v>
      </c>
      <c r="AN359" s="2">
        <f t="shared" si="35"/>
        <v>41.297073520727906</v>
      </c>
      <c r="AO359">
        <f t="shared" si="36"/>
        <v>-63466.07</v>
      </c>
      <c r="AP359" s="2">
        <f t="shared" si="37"/>
        <v>2.4199043680140222E-2</v>
      </c>
      <c r="AQ359" s="2">
        <f t="shared" si="41"/>
        <v>5</v>
      </c>
      <c r="AR359">
        <f t="shared" si="38"/>
        <v>110</v>
      </c>
      <c r="AS359" t="str">
        <f t="shared" si="39"/>
        <v>High Claim Ratio</v>
      </c>
      <c r="AT359" t="str">
        <f t="shared" si="40"/>
        <v>High Profit</v>
      </c>
    </row>
    <row r="360" spans="1:46" x14ac:dyDescent="0.2">
      <c r="A360">
        <v>177</v>
      </c>
      <c r="B360">
        <v>33</v>
      </c>
      <c r="C360">
        <v>563837</v>
      </c>
      <c r="D360" s="1">
        <v>37620</v>
      </c>
      <c r="E360" t="s">
        <v>83</v>
      </c>
      <c r="F360" t="s">
        <v>69</v>
      </c>
      <c r="G360">
        <v>1000</v>
      </c>
      <c r="H360">
        <v>1609.67</v>
      </c>
      <c r="I360">
        <v>0</v>
      </c>
      <c r="J360">
        <v>470128</v>
      </c>
      <c r="K360" t="s">
        <v>41</v>
      </c>
      <c r="L360" t="s">
        <v>141</v>
      </c>
      <c r="M360" t="s">
        <v>185</v>
      </c>
      <c r="N360" t="s">
        <v>155</v>
      </c>
      <c r="O360" t="s">
        <v>119</v>
      </c>
      <c r="P360">
        <v>0</v>
      </c>
      <c r="Q360">
        <v>-13200</v>
      </c>
      <c r="R360" s="1">
        <v>42024</v>
      </c>
      <c r="S360" t="s">
        <v>46</v>
      </c>
      <c r="T360" t="s">
        <v>47</v>
      </c>
      <c r="U360" t="s">
        <v>48</v>
      </c>
      <c r="V360" t="s">
        <v>136</v>
      </c>
      <c r="W360" t="s">
        <v>50</v>
      </c>
      <c r="X360" t="s">
        <v>102</v>
      </c>
      <c r="Y360" t="s">
        <v>537</v>
      </c>
      <c r="Z360">
        <v>22</v>
      </c>
      <c r="AA360">
        <v>1</v>
      </c>
      <c r="AB360" t="s">
        <v>62</v>
      </c>
      <c r="AC360">
        <v>1</v>
      </c>
      <c r="AD360">
        <v>3</v>
      </c>
      <c r="AE360" t="s">
        <v>62</v>
      </c>
      <c r="AF360">
        <v>82800</v>
      </c>
      <c r="AG360">
        <v>20700</v>
      </c>
      <c r="AH360">
        <v>13800</v>
      </c>
      <c r="AI360">
        <v>48300</v>
      </c>
      <c r="AJ360" t="s">
        <v>197</v>
      </c>
      <c r="AK360" t="s">
        <v>375</v>
      </c>
      <c r="AL360">
        <v>2004</v>
      </c>
      <c r="AM360" t="s">
        <v>56</v>
      </c>
      <c r="AN360" s="2">
        <f t="shared" si="35"/>
        <v>51.407178379183819</v>
      </c>
      <c r="AO360">
        <f t="shared" si="36"/>
        <v>-81190.33</v>
      </c>
      <c r="AP360" s="2">
        <f t="shared" si="37"/>
        <v>1.9440224151882225E-2</v>
      </c>
      <c r="AQ360" s="2">
        <f t="shared" si="41"/>
        <v>11</v>
      </c>
      <c r="AR360">
        <f t="shared" si="38"/>
        <v>177</v>
      </c>
      <c r="AS360" t="str">
        <f t="shared" si="39"/>
        <v>High Claim Ratio</v>
      </c>
      <c r="AT360" t="str">
        <f t="shared" si="40"/>
        <v>High Profit</v>
      </c>
    </row>
    <row r="361" spans="1:46" x14ac:dyDescent="0.2">
      <c r="A361">
        <v>292</v>
      </c>
      <c r="B361">
        <v>44</v>
      </c>
      <c r="C361">
        <v>200827</v>
      </c>
      <c r="D361" s="1">
        <v>35489</v>
      </c>
      <c r="E361" t="s">
        <v>39</v>
      </c>
      <c r="F361" t="s">
        <v>91</v>
      </c>
      <c r="G361">
        <v>500</v>
      </c>
      <c r="H361">
        <v>1097.57</v>
      </c>
      <c r="I361">
        <v>0</v>
      </c>
      <c r="J361">
        <v>462836</v>
      </c>
      <c r="K361" t="s">
        <v>41</v>
      </c>
      <c r="L361" t="s">
        <v>71</v>
      </c>
      <c r="M361" t="s">
        <v>117</v>
      </c>
      <c r="N361" t="s">
        <v>179</v>
      </c>
      <c r="O361" t="s">
        <v>85</v>
      </c>
      <c r="P361">
        <v>0</v>
      </c>
      <c r="Q361">
        <v>0</v>
      </c>
      <c r="R361" s="1">
        <v>42063</v>
      </c>
      <c r="S361" t="s">
        <v>46</v>
      </c>
      <c r="T361" t="s">
        <v>47</v>
      </c>
      <c r="U361" t="s">
        <v>107</v>
      </c>
      <c r="V361" t="s">
        <v>120</v>
      </c>
      <c r="W361" t="s">
        <v>50</v>
      </c>
      <c r="X361" t="s">
        <v>51</v>
      </c>
      <c r="Y361" t="s">
        <v>538</v>
      </c>
      <c r="Z361">
        <v>12</v>
      </c>
      <c r="AA361">
        <v>1</v>
      </c>
      <c r="AB361" t="s">
        <v>79</v>
      </c>
      <c r="AC361">
        <v>1</v>
      </c>
      <c r="AD361">
        <v>0</v>
      </c>
      <c r="AE361" t="s">
        <v>53</v>
      </c>
      <c r="AF361">
        <v>61700</v>
      </c>
      <c r="AG361">
        <v>6170</v>
      </c>
      <c r="AH361">
        <v>6170</v>
      </c>
      <c r="AI361">
        <v>49360</v>
      </c>
      <c r="AJ361" t="s">
        <v>54</v>
      </c>
      <c r="AK361">
        <v>93</v>
      </c>
      <c r="AL361">
        <v>2005</v>
      </c>
      <c r="AM361" t="s">
        <v>82</v>
      </c>
      <c r="AN361" s="2">
        <f t="shared" si="35"/>
        <v>56.163922189755773</v>
      </c>
      <c r="AO361">
        <f t="shared" si="36"/>
        <v>-60602.43</v>
      </c>
      <c r="AP361" s="2">
        <f t="shared" si="37"/>
        <v>1.7788528548970031E-2</v>
      </c>
      <c r="AQ361" s="2">
        <f t="shared" si="41"/>
        <v>10</v>
      </c>
      <c r="AR361">
        <f t="shared" si="38"/>
        <v>292</v>
      </c>
      <c r="AS361" t="str">
        <f t="shared" si="39"/>
        <v>High Claim Ratio</v>
      </c>
      <c r="AT361" t="str">
        <f t="shared" si="40"/>
        <v>High Profit</v>
      </c>
    </row>
    <row r="362" spans="1:46" x14ac:dyDescent="0.2">
      <c r="A362">
        <v>451</v>
      </c>
      <c r="B362">
        <v>61</v>
      </c>
      <c r="C362">
        <v>533941</v>
      </c>
      <c r="D362" s="1">
        <v>35964</v>
      </c>
      <c r="E362" t="s">
        <v>57</v>
      </c>
      <c r="F362" t="s">
        <v>40</v>
      </c>
      <c r="G362">
        <v>2000</v>
      </c>
      <c r="H362">
        <v>1618.65</v>
      </c>
      <c r="I362">
        <v>2000000</v>
      </c>
      <c r="J362">
        <v>475407</v>
      </c>
      <c r="K362" t="s">
        <v>70</v>
      </c>
      <c r="L362" t="s">
        <v>92</v>
      </c>
      <c r="M362" t="s">
        <v>145</v>
      </c>
      <c r="N362" t="s">
        <v>173</v>
      </c>
      <c r="O362" t="s">
        <v>85</v>
      </c>
      <c r="P362">
        <v>0</v>
      </c>
      <c r="Q362">
        <v>-42600</v>
      </c>
      <c r="R362" s="1">
        <v>42039</v>
      </c>
      <c r="S362" t="s">
        <v>75</v>
      </c>
      <c r="T362" t="s">
        <v>76</v>
      </c>
      <c r="U362" t="s">
        <v>48</v>
      </c>
      <c r="V362" t="s">
        <v>136</v>
      </c>
      <c r="W362" t="s">
        <v>39</v>
      </c>
      <c r="X362" t="s">
        <v>51</v>
      </c>
      <c r="Y362" t="s">
        <v>539</v>
      </c>
      <c r="Z362">
        <v>3</v>
      </c>
      <c r="AA362">
        <v>3</v>
      </c>
      <c r="AB362" t="s">
        <v>53</v>
      </c>
      <c r="AC362">
        <v>2</v>
      </c>
      <c r="AD362">
        <v>1</v>
      </c>
      <c r="AE362" t="s">
        <v>53</v>
      </c>
      <c r="AF362">
        <v>78100</v>
      </c>
      <c r="AG362">
        <v>15620</v>
      </c>
      <c r="AH362">
        <v>7810</v>
      </c>
      <c r="AI362">
        <v>54670</v>
      </c>
      <c r="AJ362" t="s">
        <v>89</v>
      </c>
      <c r="AK362" t="s">
        <v>90</v>
      </c>
      <c r="AL362">
        <v>1997</v>
      </c>
      <c r="AM362" t="s">
        <v>56</v>
      </c>
      <c r="AN362" s="2">
        <f t="shared" si="35"/>
        <v>48.220294508072726</v>
      </c>
      <c r="AO362">
        <f t="shared" si="36"/>
        <v>-76481.350000000006</v>
      </c>
      <c r="AP362" s="2">
        <f t="shared" si="37"/>
        <v>2.0725086746648573E-2</v>
      </c>
      <c r="AQ362" s="2">
        <f t="shared" si="41"/>
        <v>18</v>
      </c>
      <c r="AR362">
        <f t="shared" si="38"/>
        <v>451</v>
      </c>
      <c r="AS362" t="str">
        <f t="shared" si="39"/>
        <v>High Claim Ratio</v>
      </c>
      <c r="AT362" t="str">
        <f t="shared" si="40"/>
        <v>High Profit</v>
      </c>
    </row>
    <row r="363" spans="1:46" x14ac:dyDescent="0.2">
      <c r="A363">
        <v>61</v>
      </c>
      <c r="B363">
        <v>24</v>
      </c>
      <c r="C363">
        <v>265026</v>
      </c>
      <c r="D363" s="1">
        <v>35103</v>
      </c>
      <c r="E363" t="s">
        <v>57</v>
      </c>
      <c r="F363" t="s">
        <v>69</v>
      </c>
      <c r="G363">
        <v>500</v>
      </c>
      <c r="H363">
        <v>922.67</v>
      </c>
      <c r="I363">
        <v>0</v>
      </c>
      <c r="J363">
        <v>473611</v>
      </c>
      <c r="K363" t="s">
        <v>70</v>
      </c>
      <c r="L363" t="s">
        <v>141</v>
      </c>
      <c r="M363" t="s">
        <v>117</v>
      </c>
      <c r="N363" t="s">
        <v>165</v>
      </c>
      <c r="O363" t="s">
        <v>60</v>
      </c>
      <c r="P363">
        <v>47400</v>
      </c>
      <c r="Q363">
        <v>0</v>
      </c>
      <c r="R363" s="1">
        <v>42016</v>
      </c>
      <c r="S363" t="s">
        <v>75</v>
      </c>
      <c r="T363" t="s">
        <v>76</v>
      </c>
      <c r="U363" t="s">
        <v>48</v>
      </c>
      <c r="V363" t="s">
        <v>136</v>
      </c>
      <c r="W363" t="s">
        <v>50</v>
      </c>
      <c r="X363" t="s">
        <v>127</v>
      </c>
      <c r="Y363" t="s">
        <v>540</v>
      </c>
      <c r="Z363">
        <v>15</v>
      </c>
      <c r="AA363">
        <v>3</v>
      </c>
      <c r="AB363" t="s">
        <v>53</v>
      </c>
      <c r="AC363">
        <v>2</v>
      </c>
      <c r="AD363">
        <v>1</v>
      </c>
      <c r="AE363" t="s">
        <v>62</v>
      </c>
      <c r="AF363">
        <v>65520</v>
      </c>
      <c r="AG363">
        <v>9360</v>
      </c>
      <c r="AH363">
        <v>9360</v>
      </c>
      <c r="AI363">
        <v>46800</v>
      </c>
      <c r="AJ363" t="s">
        <v>115</v>
      </c>
      <c r="AK363" t="s">
        <v>140</v>
      </c>
      <c r="AL363">
        <v>2011</v>
      </c>
      <c r="AM363" t="s">
        <v>56</v>
      </c>
      <c r="AN363" s="2">
        <f t="shared" si="35"/>
        <v>70.93442463217383</v>
      </c>
      <c r="AO363">
        <f t="shared" si="36"/>
        <v>-64597.33</v>
      </c>
      <c r="AP363" s="2">
        <f t="shared" si="37"/>
        <v>1.4082050029761451E-2</v>
      </c>
      <c r="AQ363" s="2">
        <f t="shared" si="41"/>
        <v>4</v>
      </c>
      <c r="AR363">
        <f t="shared" si="38"/>
        <v>61</v>
      </c>
      <c r="AS363" t="str">
        <f t="shared" si="39"/>
        <v>High Claim Ratio</v>
      </c>
      <c r="AT363" t="str">
        <f t="shared" si="40"/>
        <v>High Profit</v>
      </c>
    </row>
    <row r="364" spans="1:46" x14ac:dyDescent="0.2">
      <c r="A364">
        <v>150</v>
      </c>
      <c r="B364">
        <v>30</v>
      </c>
      <c r="C364">
        <v>354481</v>
      </c>
      <c r="D364" s="1">
        <v>38308</v>
      </c>
      <c r="E364" t="s">
        <v>57</v>
      </c>
      <c r="F364" t="s">
        <v>69</v>
      </c>
      <c r="G364">
        <v>1000</v>
      </c>
      <c r="H364">
        <v>1342.02</v>
      </c>
      <c r="I364">
        <v>0</v>
      </c>
      <c r="J364">
        <v>608425</v>
      </c>
      <c r="K364" t="s">
        <v>41</v>
      </c>
      <c r="L364" t="s">
        <v>42</v>
      </c>
      <c r="M364" t="s">
        <v>101</v>
      </c>
      <c r="N364" t="s">
        <v>173</v>
      </c>
      <c r="O364" t="s">
        <v>74</v>
      </c>
      <c r="P364">
        <v>0</v>
      </c>
      <c r="Q364">
        <v>0</v>
      </c>
      <c r="R364" s="1">
        <v>42063</v>
      </c>
      <c r="S364" t="s">
        <v>138</v>
      </c>
      <c r="T364" t="s">
        <v>62</v>
      </c>
      <c r="U364" t="s">
        <v>212</v>
      </c>
      <c r="V364" t="s">
        <v>93</v>
      </c>
      <c r="W364" t="s">
        <v>64</v>
      </c>
      <c r="X364" t="s">
        <v>87</v>
      </c>
      <c r="Y364" t="s">
        <v>541</v>
      </c>
      <c r="Z364">
        <v>8</v>
      </c>
      <c r="AA364">
        <v>1</v>
      </c>
      <c r="AB364" t="s">
        <v>53</v>
      </c>
      <c r="AC364">
        <v>0</v>
      </c>
      <c r="AD364">
        <v>2</v>
      </c>
      <c r="AE364" t="s">
        <v>79</v>
      </c>
      <c r="AF364">
        <v>4500</v>
      </c>
      <c r="AG364">
        <v>450</v>
      </c>
      <c r="AH364">
        <v>450</v>
      </c>
      <c r="AI364">
        <v>3600</v>
      </c>
      <c r="AJ364" t="s">
        <v>54</v>
      </c>
      <c r="AK364">
        <v>93</v>
      </c>
      <c r="AL364">
        <v>1999</v>
      </c>
      <c r="AM364" t="s">
        <v>82</v>
      </c>
      <c r="AN364" s="2">
        <f t="shared" si="35"/>
        <v>3.3506574734553469</v>
      </c>
      <c r="AO364">
        <f t="shared" si="36"/>
        <v>-3157.98</v>
      </c>
      <c r="AP364" s="2">
        <f t="shared" si="37"/>
        <v>0.2981604087980449</v>
      </c>
      <c r="AQ364" s="2">
        <f t="shared" si="41"/>
        <v>16</v>
      </c>
      <c r="AR364">
        <f t="shared" si="38"/>
        <v>150</v>
      </c>
      <c r="AS364" t="str">
        <f t="shared" si="39"/>
        <v>Low Claim Ratio</v>
      </c>
      <c r="AT364" t="str">
        <f t="shared" si="40"/>
        <v>Low Profit</v>
      </c>
    </row>
    <row r="365" spans="1:46" x14ac:dyDescent="0.2">
      <c r="A365">
        <v>283</v>
      </c>
      <c r="B365">
        <v>41</v>
      </c>
      <c r="C365">
        <v>566720</v>
      </c>
      <c r="D365" s="1">
        <v>41207</v>
      </c>
      <c r="E365" t="s">
        <v>39</v>
      </c>
      <c r="F365" t="s">
        <v>69</v>
      </c>
      <c r="G365">
        <v>500</v>
      </c>
      <c r="H365">
        <v>1195.01</v>
      </c>
      <c r="I365">
        <v>0</v>
      </c>
      <c r="J365">
        <v>476227</v>
      </c>
      <c r="K365" t="s">
        <v>70</v>
      </c>
      <c r="L365" t="s">
        <v>92</v>
      </c>
      <c r="M365" t="s">
        <v>72</v>
      </c>
      <c r="N365" t="s">
        <v>59</v>
      </c>
      <c r="O365" t="s">
        <v>74</v>
      </c>
      <c r="P365">
        <v>60700</v>
      </c>
      <c r="Q365">
        <v>-54300</v>
      </c>
      <c r="R365" s="1">
        <v>42012</v>
      </c>
      <c r="S365" t="s">
        <v>75</v>
      </c>
      <c r="T365" t="s">
        <v>47</v>
      </c>
      <c r="U365" t="s">
        <v>48</v>
      </c>
      <c r="V365" t="s">
        <v>120</v>
      </c>
      <c r="W365" t="s">
        <v>113</v>
      </c>
      <c r="X365" t="s">
        <v>127</v>
      </c>
      <c r="Y365" t="s">
        <v>542</v>
      </c>
      <c r="Z365">
        <v>13</v>
      </c>
      <c r="AA365">
        <v>3</v>
      </c>
      <c r="AB365" t="s">
        <v>79</v>
      </c>
      <c r="AC365">
        <v>0</v>
      </c>
      <c r="AD365">
        <v>2</v>
      </c>
      <c r="AE365" t="s">
        <v>62</v>
      </c>
      <c r="AF365">
        <v>42700</v>
      </c>
      <c r="AG365">
        <v>0</v>
      </c>
      <c r="AH365">
        <v>6100</v>
      </c>
      <c r="AI365">
        <v>36600</v>
      </c>
      <c r="AJ365" t="s">
        <v>67</v>
      </c>
      <c r="AK365" t="s">
        <v>271</v>
      </c>
      <c r="AL365">
        <v>2011</v>
      </c>
      <c r="AM365" t="s">
        <v>56</v>
      </c>
      <c r="AN365" s="2">
        <f t="shared" si="35"/>
        <v>35.702042625061665</v>
      </c>
      <c r="AO365">
        <f t="shared" si="36"/>
        <v>-41504.99</v>
      </c>
      <c r="AP365" s="2">
        <f t="shared" si="37"/>
        <v>2.7985527271024099E-2</v>
      </c>
      <c r="AQ365" s="2">
        <f t="shared" si="41"/>
        <v>4</v>
      </c>
      <c r="AR365">
        <f t="shared" si="38"/>
        <v>283</v>
      </c>
      <c r="AS365" t="str">
        <f t="shared" si="39"/>
        <v>High Claim Ratio</v>
      </c>
      <c r="AT365" t="str">
        <f t="shared" si="40"/>
        <v>High Profit</v>
      </c>
    </row>
    <row r="366" spans="1:46" x14ac:dyDescent="0.2">
      <c r="A366">
        <v>291</v>
      </c>
      <c r="B366">
        <v>46</v>
      </c>
      <c r="C366">
        <v>832746</v>
      </c>
      <c r="D366" s="1">
        <v>38820</v>
      </c>
      <c r="E366" t="s">
        <v>39</v>
      </c>
      <c r="F366" t="s">
        <v>91</v>
      </c>
      <c r="G366">
        <v>1000</v>
      </c>
      <c r="H366">
        <v>994.74</v>
      </c>
      <c r="I366">
        <v>0</v>
      </c>
      <c r="J366">
        <v>452701</v>
      </c>
      <c r="K366" t="s">
        <v>70</v>
      </c>
      <c r="L366" t="s">
        <v>131</v>
      </c>
      <c r="M366" t="s">
        <v>185</v>
      </c>
      <c r="N366" t="s">
        <v>173</v>
      </c>
      <c r="O366" t="s">
        <v>74</v>
      </c>
      <c r="P366">
        <v>0</v>
      </c>
      <c r="Q366">
        <v>-55300</v>
      </c>
      <c r="R366" s="1">
        <v>42029</v>
      </c>
      <c r="S366" t="s">
        <v>138</v>
      </c>
      <c r="T366" t="s">
        <v>62</v>
      </c>
      <c r="U366" t="s">
        <v>63</v>
      </c>
      <c r="V366" t="s">
        <v>49</v>
      </c>
      <c r="W366" t="s">
        <v>50</v>
      </c>
      <c r="X366" t="s">
        <v>122</v>
      </c>
      <c r="Y366" t="s">
        <v>543</v>
      </c>
      <c r="Z366">
        <v>8</v>
      </c>
      <c r="AA366">
        <v>1</v>
      </c>
      <c r="AB366" t="s">
        <v>79</v>
      </c>
      <c r="AC366">
        <v>2</v>
      </c>
      <c r="AD366">
        <v>2</v>
      </c>
      <c r="AE366" t="s">
        <v>53</v>
      </c>
      <c r="AF366">
        <v>5580</v>
      </c>
      <c r="AG366">
        <v>620</v>
      </c>
      <c r="AH366">
        <v>620</v>
      </c>
      <c r="AI366">
        <v>4340</v>
      </c>
      <c r="AJ366" t="s">
        <v>214</v>
      </c>
      <c r="AK366" t="s">
        <v>215</v>
      </c>
      <c r="AL366">
        <v>2005</v>
      </c>
      <c r="AM366" t="s">
        <v>56</v>
      </c>
      <c r="AN366" s="2">
        <f t="shared" si="35"/>
        <v>5.6038724968365239</v>
      </c>
      <c r="AO366">
        <f t="shared" si="36"/>
        <v>-4585.26</v>
      </c>
      <c r="AP366" s="2">
        <f t="shared" si="37"/>
        <v>0.1782368751119871</v>
      </c>
      <c r="AQ366" s="2">
        <f t="shared" si="41"/>
        <v>10</v>
      </c>
      <c r="AR366">
        <f t="shared" si="38"/>
        <v>291</v>
      </c>
      <c r="AS366" t="str">
        <f t="shared" si="39"/>
        <v>Medium Claim Ratio</v>
      </c>
      <c r="AT366" t="str">
        <f t="shared" si="40"/>
        <v>Low Profit</v>
      </c>
    </row>
    <row r="367" spans="1:46" x14ac:dyDescent="0.2">
      <c r="A367">
        <v>162</v>
      </c>
      <c r="B367">
        <v>31</v>
      </c>
      <c r="C367">
        <v>386690</v>
      </c>
      <c r="D367" s="1">
        <v>38769</v>
      </c>
      <c r="E367" t="s">
        <v>57</v>
      </c>
      <c r="F367" t="s">
        <v>69</v>
      </c>
      <c r="G367">
        <v>1000</v>
      </c>
      <c r="H367">
        <v>1050.24</v>
      </c>
      <c r="I367">
        <v>0</v>
      </c>
      <c r="J367">
        <v>456789</v>
      </c>
      <c r="K367" t="s">
        <v>70</v>
      </c>
      <c r="L367" t="s">
        <v>124</v>
      </c>
      <c r="M367" t="s">
        <v>185</v>
      </c>
      <c r="N367" t="s">
        <v>168</v>
      </c>
      <c r="O367" t="s">
        <v>119</v>
      </c>
      <c r="P367">
        <v>30700</v>
      </c>
      <c r="Q367">
        <v>0</v>
      </c>
      <c r="R367" s="1">
        <v>42061</v>
      </c>
      <c r="S367" t="s">
        <v>138</v>
      </c>
      <c r="T367" t="s">
        <v>62</v>
      </c>
      <c r="U367" t="s">
        <v>63</v>
      </c>
      <c r="V367" t="s">
        <v>93</v>
      </c>
      <c r="W367" t="s">
        <v>121</v>
      </c>
      <c r="X367" t="s">
        <v>87</v>
      </c>
      <c r="Y367" t="s">
        <v>544</v>
      </c>
      <c r="Z367">
        <v>7</v>
      </c>
      <c r="AA367">
        <v>1</v>
      </c>
      <c r="AB367" t="s">
        <v>62</v>
      </c>
      <c r="AC367">
        <v>0</v>
      </c>
      <c r="AD367">
        <v>0</v>
      </c>
      <c r="AE367" t="s">
        <v>79</v>
      </c>
      <c r="AF367">
        <v>3600</v>
      </c>
      <c r="AG367">
        <v>360</v>
      </c>
      <c r="AH367">
        <v>720</v>
      </c>
      <c r="AI367">
        <v>2520</v>
      </c>
      <c r="AJ367" t="s">
        <v>187</v>
      </c>
      <c r="AK367" t="s">
        <v>203</v>
      </c>
      <c r="AL367">
        <v>2013</v>
      </c>
      <c r="AM367" t="s">
        <v>56</v>
      </c>
      <c r="AN367" s="2">
        <f t="shared" si="35"/>
        <v>3.4245272249914387</v>
      </c>
      <c r="AO367">
        <f t="shared" si="36"/>
        <v>-2549.7600000000002</v>
      </c>
      <c r="AP367" s="2">
        <f t="shared" si="37"/>
        <v>0.29165231880033327</v>
      </c>
      <c r="AQ367" s="2">
        <f t="shared" si="41"/>
        <v>2</v>
      </c>
      <c r="AR367">
        <f t="shared" si="38"/>
        <v>162</v>
      </c>
      <c r="AS367" t="str">
        <f t="shared" si="39"/>
        <v>Low Claim Ratio</v>
      </c>
      <c r="AT367" t="str">
        <f t="shared" si="40"/>
        <v>Low Profit</v>
      </c>
    </row>
    <row r="368" spans="1:46" x14ac:dyDescent="0.2">
      <c r="A368">
        <v>154</v>
      </c>
      <c r="B368">
        <v>36</v>
      </c>
      <c r="C368">
        <v>979285</v>
      </c>
      <c r="D368" s="1">
        <v>37972</v>
      </c>
      <c r="E368" t="s">
        <v>83</v>
      </c>
      <c r="F368" t="s">
        <v>40</v>
      </c>
      <c r="G368">
        <v>2000</v>
      </c>
      <c r="H368">
        <v>1313.51</v>
      </c>
      <c r="I368">
        <v>7000000</v>
      </c>
      <c r="J368">
        <v>600904</v>
      </c>
      <c r="K368" t="s">
        <v>70</v>
      </c>
      <c r="L368" t="s">
        <v>124</v>
      </c>
      <c r="M368" t="s">
        <v>125</v>
      </c>
      <c r="N368" t="s">
        <v>126</v>
      </c>
      <c r="O368" t="s">
        <v>74</v>
      </c>
      <c r="P368">
        <v>68500</v>
      </c>
      <c r="Q368">
        <v>0</v>
      </c>
      <c r="R368" s="1">
        <v>42038</v>
      </c>
      <c r="S368" t="s">
        <v>61</v>
      </c>
      <c r="T368" t="s">
        <v>62</v>
      </c>
      <c r="U368" t="s">
        <v>212</v>
      </c>
      <c r="V368" t="s">
        <v>93</v>
      </c>
      <c r="W368" t="s">
        <v>50</v>
      </c>
      <c r="X368" t="s">
        <v>156</v>
      </c>
      <c r="Y368" t="s">
        <v>545</v>
      </c>
      <c r="Z368">
        <v>9</v>
      </c>
      <c r="AA368">
        <v>1</v>
      </c>
      <c r="AB368" t="s">
        <v>62</v>
      </c>
      <c r="AC368">
        <v>2</v>
      </c>
      <c r="AD368">
        <v>0</v>
      </c>
      <c r="AE368" t="s">
        <v>62</v>
      </c>
      <c r="AF368">
        <v>2800</v>
      </c>
      <c r="AG368">
        <v>280</v>
      </c>
      <c r="AH368">
        <v>280</v>
      </c>
      <c r="AI368">
        <v>2240</v>
      </c>
      <c r="AJ368" t="s">
        <v>214</v>
      </c>
      <c r="AK368" t="s">
        <v>215</v>
      </c>
      <c r="AL368">
        <v>2015</v>
      </c>
      <c r="AM368" t="s">
        <v>82</v>
      </c>
      <c r="AN368" s="2">
        <f t="shared" si="35"/>
        <v>2.1300712813139495</v>
      </c>
      <c r="AO368">
        <f t="shared" si="36"/>
        <v>-1486.49</v>
      </c>
      <c r="AP368" s="2">
        <f t="shared" si="37"/>
        <v>0.46894323455908604</v>
      </c>
      <c r="AQ368" s="2">
        <f t="shared" si="41"/>
        <v>0</v>
      </c>
      <c r="AR368">
        <f t="shared" si="38"/>
        <v>154</v>
      </c>
      <c r="AS368" t="str">
        <f t="shared" si="39"/>
        <v>Low Claim Ratio</v>
      </c>
      <c r="AT368" t="str">
        <f t="shared" si="40"/>
        <v>Low Profit</v>
      </c>
    </row>
    <row r="369" spans="1:46" x14ac:dyDescent="0.2">
      <c r="A369">
        <v>289</v>
      </c>
      <c r="B369">
        <v>47</v>
      </c>
      <c r="C369">
        <v>594722</v>
      </c>
      <c r="D369" s="1">
        <v>36372</v>
      </c>
      <c r="E369" t="s">
        <v>39</v>
      </c>
      <c r="F369" t="s">
        <v>91</v>
      </c>
      <c r="G369">
        <v>2000</v>
      </c>
      <c r="H369">
        <v>1102.29</v>
      </c>
      <c r="I369">
        <v>0</v>
      </c>
      <c r="J369">
        <v>450889</v>
      </c>
      <c r="K369" t="s">
        <v>70</v>
      </c>
      <c r="L369" t="s">
        <v>92</v>
      </c>
      <c r="M369" t="s">
        <v>185</v>
      </c>
      <c r="N369" t="s">
        <v>149</v>
      </c>
      <c r="O369" t="s">
        <v>74</v>
      </c>
      <c r="P369">
        <v>73000</v>
      </c>
      <c r="Q369">
        <v>-37900</v>
      </c>
      <c r="R369" s="1">
        <v>42035</v>
      </c>
      <c r="S369" t="s">
        <v>46</v>
      </c>
      <c r="T369" t="s">
        <v>86</v>
      </c>
      <c r="U369" t="s">
        <v>63</v>
      </c>
      <c r="V369" t="s">
        <v>136</v>
      </c>
      <c r="W369" t="s">
        <v>64</v>
      </c>
      <c r="X369" t="s">
        <v>127</v>
      </c>
      <c r="Y369" t="s">
        <v>546</v>
      </c>
      <c r="Z369">
        <v>15</v>
      </c>
      <c r="AA369">
        <v>1</v>
      </c>
      <c r="AB369" t="s">
        <v>79</v>
      </c>
      <c r="AC369">
        <v>1</v>
      </c>
      <c r="AD369">
        <v>0</v>
      </c>
      <c r="AE369" t="s">
        <v>53</v>
      </c>
      <c r="AF369">
        <v>54000</v>
      </c>
      <c r="AG369">
        <v>6000</v>
      </c>
      <c r="AH369">
        <v>6000</v>
      </c>
      <c r="AI369">
        <v>42000</v>
      </c>
      <c r="AJ369" t="s">
        <v>115</v>
      </c>
      <c r="AK369" t="s">
        <v>140</v>
      </c>
      <c r="AL369">
        <v>1996</v>
      </c>
      <c r="AM369" t="s">
        <v>82</v>
      </c>
      <c r="AN369" s="2">
        <f t="shared" si="35"/>
        <v>48.944520479656305</v>
      </c>
      <c r="AO369">
        <f t="shared" si="36"/>
        <v>-52897.71</v>
      </c>
      <c r="AP369" s="2">
        <f t="shared" si="37"/>
        <v>2.0412399770374623E-2</v>
      </c>
      <c r="AQ369" s="2">
        <f t="shared" si="41"/>
        <v>19</v>
      </c>
      <c r="AR369">
        <f t="shared" si="38"/>
        <v>289</v>
      </c>
      <c r="AS369" t="str">
        <f t="shared" si="39"/>
        <v>High Claim Ratio</v>
      </c>
      <c r="AT369" t="str">
        <f t="shared" si="40"/>
        <v>High Profit</v>
      </c>
    </row>
    <row r="370" spans="1:46" x14ac:dyDescent="0.2">
      <c r="A370">
        <v>10</v>
      </c>
      <c r="B370">
        <v>19</v>
      </c>
      <c r="C370">
        <v>216738</v>
      </c>
      <c r="D370" s="1">
        <v>41856</v>
      </c>
      <c r="E370" t="s">
        <v>57</v>
      </c>
      <c r="F370" t="s">
        <v>40</v>
      </c>
      <c r="G370">
        <v>1000</v>
      </c>
      <c r="H370">
        <v>1185.78</v>
      </c>
      <c r="I370">
        <v>0</v>
      </c>
      <c r="J370">
        <v>478837</v>
      </c>
      <c r="K370" t="s">
        <v>70</v>
      </c>
      <c r="L370" t="s">
        <v>161</v>
      </c>
      <c r="M370" t="s">
        <v>43</v>
      </c>
      <c r="N370" t="s">
        <v>155</v>
      </c>
      <c r="O370" t="s">
        <v>119</v>
      </c>
      <c r="P370">
        <v>0</v>
      </c>
      <c r="Q370">
        <v>-60700</v>
      </c>
      <c r="R370" s="1">
        <v>42036</v>
      </c>
      <c r="S370" t="s">
        <v>46</v>
      </c>
      <c r="T370" t="s">
        <v>47</v>
      </c>
      <c r="U370" t="s">
        <v>63</v>
      </c>
      <c r="V370" t="s">
        <v>49</v>
      </c>
      <c r="W370" t="s">
        <v>121</v>
      </c>
      <c r="X370" t="s">
        <v>127</v>
      </c>
      <c r="Y370" t="s">
        <v>547</v>
      </c>
      <c r="Z370">
        <v>5</v>
      </c>
      <c r="AA370">
        <v>1</v>
      </c>
      <c r="AB370" t="s">
        <v>62</v>
      </c>
      <c r="AC370">
        <v>0</v>
      </c>
      <c r="AD370">
        <v>2</v>
      </c>
      <c r="AE370" t="s">
        <v>62</v>
      </c>
      <c r="AF370">
        <v>48950</v>
      </c>
      <c r="AG370">
        <v>4450</v>
      </c>
      <c r="AH370">
        <v>8900</v>
      </c>
      <c r="AI370">
        <v>35600</v>
      </c>
      <c r="AJ370" t="s">
        <v>95</v>
      </c>
      <c r="AK370" t="s">
        <v>158</v>
      </c>
      <c r="AL370">
        <v>2011</v>
      </c>
      <c r="AM370" t="s">
        <v>56</v>
      </c>
      <c r="AN370" s="2">
        <f t="shared" si="35"/>
        <v>41.246060769477076</v>
      </c>
      <c r="AO370">
        <f t="shared" si="36"/>
        <v>-47764.22</v>
      </c>
      <c r="AP370" s="2">
        <f t="shared" si="37"/>
        <v>2.4223815652387081E-2</v>
      </c>
      <c r="AQ370" s="2">
        <f t="shared" si="41"/>
        <v>4</v>
      </c>
      <c r="AR370">
        <f t="shared" si="38"/>
        <v>10</v>
      </c>
      <c r="AS370" t="str">
        <f t="shared" si="39"/>
        <v>High Claim Ratio</v>
      </c>
      <c r="AT370" t="str">
        <f t="shared" si="40"/>
        <v>High Profit</v>
      </c>
    </row>
    <row r="371" spans="1:46" x14ac:dyDescent="0.2">
      <c r="A371">
        <v>309</v>
      </c>
      <c r="B371">
        <v>47</v>
      </c>
      <c r="C371">
        <v>369048</v>
      </c>
      <c r="D371" s="1">
        <v>40699</v>
      </c>
      <c r="E371" t="s">
        <v>83</v>
      </c>
      <c r="F371" t="s">
        <v>91</v>
      </c>
      <c r="G371">
        <v>500</v>
      </c>
      <c r="H371">
        <v>1527.95</v>
      </c>
      <c r="I371">
        <v>0</v>
      </c>
      <c r="J371">
        <v>611322</v>
      </c>
      <c r="K371" t="s">
        <v>41</v>
      </c>
      <c r="L371" t="s">
        <v>71</v>
      </c>
      <c r="M371" t="s">
        <v>125</v>
      </c>
      <c r="N371" t="s">
        <v>149</v>
      </c>
      <c r="O371" t="s">
        <v>60</v>
      </c>
      <c r="P371">
        <v>69400</v>
      </c>
      <c r="Q371">
        <v>0</v>
      </c>
      <c r="R371" s="1">
        <v>42056</v>
      </c>
      <c r="S371" t="s">
        <v>75</v>
      </c>
      <c r="T371" t="s">
        <v>76</v>
      </c>
      <c r="U371" t="s">
        <v>48</v>
      </c>
      <c r="V371" t="s">
        <v>120</v>
      </c>
      <c r="W371" t="s">
        <v>113</v>
      </c>
      <c r="X371" t="s">
        <v>127</v>
      </c>
      <c r="Y371" t="s">
        <v>548</v>
      </c>
      <c r="Z371">
        <v>15</v>
      </c>
      <c r="AA371">
        <v>4</v>
      </c>
      <c r="AB371" t="s">
        <v>53</v>
      </c>
      <c r="AC371">
        <v>0</v>
      </c>
      <c r="AD371">
        <v>1</v>
      </c>
      <c r="AE371" t="s">
        <v>62</v>
      </c>
      <c r="AF371">
        <v>77800</v>
      </c>
      <c r="AG371">
        <v>15560</v>
      </c>
      <c r="AH371">
        <v>15560</v>
      </c>
      <c r="AI371">
        <v>46680</v>
      </c>
      <c r="AJ371" t="s">
        <v>80</v>
      </c>
      <c r="AK371" t="s">
        <v>81</v>
      </c>
      <c r="AL371">
        <v>2002</v>
      </c>
      <c r="AM371" t="s">
        <v>82</v>
      </c>
      <c r="AN371" s="2">
        <f t="shared" si="35"/>
        <v>50.884594002419959</v>
      </c>
      <c r="AO371">
        <f t="shared" si="36"/>
        <v>-76272.05</v>
      </c>
      <c r="AP371" s="2">
        <f t="shared" si="37"/>
        <v>1.9639207722265781E-2</v>
      </c>
      <c r="AQ371" s="2">
        <f t="shared" si="41"/>
        <v>13</v>
      </c>
      <c r="AR371">
        <f t="shared" si="38"/>
        <v>309</v>
      </c>
      <c r="AS371" t="str">
        <f t="shared" si="39"/>
        <v>High Claim Ratio</v>
      </c>
      <c r="AT371" t="str">
        <f t="shared" si="40"/>
        <v>High Profit</v>
      </c>
    </row>
    <row r="372" spans="1:46" x14ac:dyDescent="0.2">
      <c r="A372">
        <v>396</v>
      </c>
      <c r="B372">
        <v>57</v>
      </c>
      <c r="C372">
        <v>514424</v>
      </c>
      <c r="D372" s="1">
        <v>33888</v>
      </c>
      <c r="E372" t="s">
        <v>57</v>
      </c>
      <c r="F372" t="s">
        <v>69</v>
      </c>
      <c r="G372">
        <v>1000</v>
      </c>
      <c r="H372">
        <v>1366.39</v>
      </c>
      <c r="I372">
        <v>0</v>
      </c>
      <c r="J372">
        <v>438180</v>
      </c>
      <c r="K372" t="s">
        <v>41</v>
      </c>
      <c r="L372" t="s">
        <v>131</v>
      </c>
      <c r="M372" t="s">
        <v>135</v>
      </c>
      <c r="N372" t="s">
        <v>264</v>
      </c>
      <c r="O372" t="s">
        <v>60</v>
      </c>
      <c r="P372">
        <v>0</v>
      </c>
      <c r="Q372">
        <v>-22400</v>
      </c>
      <c r="R372" s="1">
        <v>42034</v>
      </c>
      <c r="S372" t="s">
        <v>75</v>
      </c>
      <c r="T372" t="s">
        <v>86</v>
      </c>
      <c r="U372" t="s">
        <v>48</v>
      </c>
      <c r="V372" t="s">
        <v>120</v>
      </c>
      <c r="W372" t="s">
        <v>121</v>
      </c>
      <c r="X372" t="s">
        <v>51</v>
      </c>
      <c r="Y372" t="s">
        <v>549</v>
      </c>
      <c r="Z372">
        <v>22</v>
      </c>
      <c r="AA372">
        <v>3</v>
      </c>
      <c r="AB372" t="s">
        <v>53</v>
      </c>
      <c r="AC372">
        <v>2</v>
      </c>
      <c r="AD372">
        <v>1</v>
      </c>
      <c r="AE372" t="s">
        <v>79</v>
      </c>
      <c r="AF372">
        <v>52560</v>
      </c>
      <c r="AG372">
        <v>11680</v>
      </c>
      <c r="AH372">
        <v>5840</v>
      </c>
      <c r="AI372">
        <v>35040</v>
      </c>
      <c r="AJ372" t="s">
        <v>54</v>
      </c>
      <c r="AK372">
        <v>93</v>
      </c>
      <c r="AL372">
        <v>1995</v>
      </c>
      <c r="AM372" t="s">
        <v>82</v>
      </c>
      <c r="AN372" s="2">
        <f t="shared" si="35"/>
        <v>38.438192468864038</v>
      </c>
      <c r="AO372">
        <f t="shared" si="36"/>
        <v>-51193.61</v>
      </c>
      <c r="AP372" s="2">
        <f t="shared" si="37"/>
        <v>2.5996270999410213E-2</v>
      </c>
      <c r="AQ372" s="2">
        <f t="shared" si="41"/>
        <v>20</v>
      </c>
      <c r="AR372">
        <f t="shared" si="38"/>
        <v>396</v>
      </c>
      <c r="AS372" t="str">
        <f t="shared" si="39"/>
        <v>High Claim Ratio</v>
      </c>
      <c r="AT372" t="str">
        <f t="shared" si="40"/>
        <v>High Profit</v>
      </c>
    </row>
    <row r="373" spans="1:46" x14ac:dyDescent="0.2">
      <c r="A373">
        <v>273</v>
      </c>
      <c r="B373">
        <v>41</v>
      </c>
      <c r="C373">
        <v>954191</v>
      </c>
      <c r="D373" s="1">
        <v>40226</v>
      </c>
      <c r="E373" t="s">
        <v>39</v>
      </c>
      <c r="F373" t="s">
        <v>91</v>
      </c>
      <c r="G373">
        <v>1000</v>
      </c>
      <c r="H373">
        <v>1403.9</v>
      </c>
      <c r="I373">
        <v>0</v>
      </c>
      <c r="J373">
        <v>449793</v>
      </c>
      <c r="K373" t="s">
        <v>70</v>
      </c>
      <c r="L373" t="s">
        <v>71</v>
      </c>
      <c r="M373" t="s">
        <v>189</v>
      </c>
      <c r="N373" t="s">
        <v>126</v>
      </c>
      <c r="O373" t="s">
        <v>74</v>
      </c>
      <c r="P373">
        <v>0</v>
      </c>
      <c r="Q373">
        <v>0</v>
      </c>
      <c r="R373" s="1">
        <v>42035</v>
      </c>
      <c r="S373" t="s">
        <v>75</v>
      </c>
      <c r="T373" t="s">
        <v>47</v>
      </c>
      <c r="U373" t="s">
        <v>107</v>
      </c>
      <c r="V373" t="s">
        <v>49</v>
      </c>
      <c r="W373" t="s">
        <v>64</v>
      </c>
      <c r="X373" t="s">
        <v>65</v>
      </c>
      <c r="Y373" t="s">
        <v>550</v>
      </c>
      <c r="Z373">
        <v>16</v>
      </c>
      <c r="AA373">
        <v>2</v>
      </c>
      <c r="AB373" t="s">
        <v>62</v>
      </c>
      <c r="AC373">
        <v>1</v>
      </c>
      <c r="AD373">
        <v>2</v>
      </c>
      <c r="AE373" t="s">
        <v>53</v>
      </c>
      <c r="AF373">
        <v>44110</v>
      </c>
      <c r="AG373">
        <v>4010</v>
      </c>
      <c r="AH373">
        <v>8020</v>
      </c>
      <c r="AI373">
        <v>32080</v>
      </c>
      <c r="AJ373" t="s">
        <v>209</v>
      </c>
      <c r="AK373" t="s">
        <v>231</v>
      </c>
      <c r="AL373">
        <v>2015</v>
      </c>
      <c r="AM373" t="s">
        <v>82</v>
      </c>
      <c r="AN373" s="2">
        <f t="shared" si="35"/>
        <v>31.397252473485654</v>
      </c>
      <c r="AO373">
        <f t="shared" si="36"/>
        <v>-42706.1</v>
      </c>
      <c r="AP373" s="2">
        <f t="shared" si="37"/>
        <v>3.1826528530298569E-2</v>
      </c>
      <c r="AQ373" s="2">
        <f t="shared" si="41"/>
        <v>0</v>
      </c>
      <c r="AR373">
        <f t="shared" si="38"/>
        <v>273</v>
      </c>
      <c r="AS373" t="str">
        <f t="shared" si="39"/>
        <v>High Claim Ratio</v>
      </c>
      <c r="AT373" t="str">
        <f t="shared" si="40"/>
        <v>High Profit</v>
      </c>
    </row>
    <row r="374" spans="1:46" x14ac:dyDescent="0.2">
      <c r="A374">
        <v>129</v>
      </c>
      <c r="B374">
        <v>30</v>
      </c>
      <c r="C374">
        <v>150181</v>
      </c>
      <c r="D374" s="1">
        <v>39208</v>
      </c>
      <c r="E374" t="s">
        <v>83</v>
      </c>
      <c r="F374" t="s">
        <v>91</v>
      </c>
      <c r="G374">
        <v>2000</v>
      </c>
      <c r="H374">
        <v>927.23</v>
      </c>
      <c r="I374">
        <v>0</v>
      </c>
      <c r="J374">
        <v>450730</v>
      </c>
      <c r="K374" t="s">
        <v>70</v>
      </c>
      <c r="L374" t="s">
        <v>71</v>
      </c>
      <c r="M374" t="s">
        <v>72</v>
      </c>
      <c r="N374" t="s">
        <v>181</v>
      </c>
      <c r="O374" t="s">
        <v>45</v>
      </c>
      <c r="P374">
        <v>51500</v>
      </c>
      <c r="Q374">
        <v>0</v>
      </c>
      <c r="R374" s="1">
        <v>42017</v>
      </c>
      <c r="S374" t="s">
        <v>46</v>
      </c>
      <c r="T374" t="s">
        <v>86</v>
      </c>
      <c r="U374" t="s">
        <v>107</v>
      </c>
      <c r="V374" t="s">
        <v>120</v>
      </c>
      <c r="W374" t="s">
        <v>50</v>
      </c>
      <c r="X374" t="s">
        <v>122</v>
      </c>
      <c r="Y374" t="s">
        <v>551</v>
      </c>
      <c r="Z374">
        <v>7</v>
      </c>
      <c r="AA374">
        <v>1</v>
      </c>
      <c r="AB374" t="s">
        <v>79</v>
      </c>
      <c r="AC374">
        <v>1</v>
      </c>
      <c r="AD374">
        <v>3</v>
      </c>
      <c r="AE374" t="s">
        <v>62</v>
      </c>
      <c r="AF374">
        <v>74360</v>
      </c>
      <c r="AG374">
        <v>13520</v>
      </c>
      <c r="AH374">
        <v>6760</v>
      </c>
      <c r="AI374">
        <v>54080</v>
      </c>
      <c r="AJ374" t="s">
        <v>153</v>
      </c>
      <c r="AK374" t="s">
        <v>167</v>
      </c>
      <c r="AL374">
        <v>2009</v>
      </c>
      <c r="AM374" t="s">
        <v>82</v>
      </c>
      <c r="AN374" s="2">
        <f t="shared" si="35"/>
        <v>80.109455630608792</v>
      </c>
      <c r="AO374">
        <f t="shared" si="36"/>
        <v>-73432.77</v>
      </c>
      <c r="AP374" s="2">
        <f t="shared" si="37"/>
        <v>1.2469305146514974E-2</v>
      </c>
      <c r="AQ374" s="2">
        <f t="shared" si="41"/>
        <v>6</v>
      </c>
      <c r="AR374">
        <f t="shared" si="38"/>
        <v>129</v>
      </c>
      <c r="AS374" t="str">
        <f t="shared" si="39"/>
        <v>High Claim Ratio</v>
      </c>
      <c r="AT374" t="str">
        <f t="shared" si="40"/>
        <v>High Profit</v>
      </c>
    </row>
    <row r="375" spans="1:46" x14ac:dyDescent="0.2">
      <c r="A375">
        <v>140</v>
      </c>
      <c r="B375">
        <v>31</v>
      </c>
      <c r="C375">
        <v>388671</v>
      </c>
      <c r="D375" s="1">
        <v>35551</v>
      </c>
      <c r="E375" t="s">
        <v>39</v>
      </c>
      <c r="F375" t="s">
        <v>40</v>
      </c>
      <c r="G375">
        <v>2000</v>
      </c>
      <c r="H375">
        <v>1554.86</v>
      </c>
      <c r="I375">
        <v>6000000</v>
      </c>
      <c r="J375">
        <v>608758</v>
      </c>
      <c r="K375" t="s">
        <v>70</v>
      </c>
      <c r="L375" t="s">
        <v>161</v>
      </c>
      <c r="M375" t="s">
        <v>84</v>
      </c>
      <c r="N375" t="s">
        <v>106</v>
      </c>
      <c r="O375" t="s">
        <v>119</v>
      </c>
      <c r="P375">
        <v>59000</v>
      </c>
      <c r="Q375">
        <v>0</v>
      </c>
      <c r="R375" s="1">
        <v>42051</v>
      </c>
      <c r="S375" t="s">
        <v>138</v>
      </c>
      <c r="T375" t="s">
        <v>62</v>
      </c>
      <c r="U375" t="s">
        <v>63</v>
      </c>
      <c r="V375" t="s">
        <v>93</v>
      </c>
      <c r="W375" t="s">
        <v>113</v>
      </c>
      <c r="X375" t="s">
        <v>87</v>
      </c>
      <c r="Y375" t="s">
        <v>552</v>
      </c>
      <c r="Z375">
        <v>2</v>
      </c>
      <c r="AA375">
        <v>1</v>
      </c>
      <c r="AB375" t="s">
        <v>53</v>
      </c>
      <c r="AC375">
        <v>1</v>
      </c>
      <c r="AD375">
        <v>2</v>
      </c>
      <c r="AE375" t="s">
        <v>62</v>
      </c>
      <c r="AF375">
        <v>6120</v>
      </c>
      <c r="AG375">
        <v>680</v>
      </c>
      <c r="AH375">
        <v>680</v>
      </c>
      <c r="AI375">
        <v>4760</v>
      </c>
      <c r="AJ375" t="s">
        <v>209</v>
      </c>
      <c r="AK375" t="s">
        <v>210</v>
      </c>
      <c r="AL375">
        <v>2002</v>
      </c>
      <c r="AM375" t="s">
        <v>56</v>
      </c>
      <c r="AN375" s="2">
        <f t="shared" si="35"/>
        <v>3.93351586903706</v>
      </c>
      <c r="AO375">
        <f t="shared" si="36"/>
        <v>-4565.1400000000003</v>
      </c>
      <c r="AP375" s="2">
        <f t="shared" si="37"/>
        <v>0.25402058487175294</v>
      </c>
      <c r="AQ375" s="2">
        <f t="shared" si="41"/>
        <v>13</v>
      </c>
      <c r="AR375">
        <f t="shared" si="38"/>
        <v>140</v>
      </c>
      <c r="AS375" t="str">
        <f t="shared" si="39"/>
        <v>Low Claim Ratio</v>
      </c>
      <c r="AT375" t="str">
        <f t="shared" si="40"/>
        <v>Low Profit</v>
      </c>
    </row>
    <row r="376" spans="1:46" x14ac:dyDescent="0.2">
      <c r="A376">
        <v>419</v>
      </c>
      <c r="B376">
        <v>53</v>
      </c>
      <c r="C376">
        <v>457244</v>
      </c>
      <c r="D376" s="1">
        <v>35823</v>
      </c>
      <c r="E376" t="s">
        <v>83</v>
      </c>
      <c r="F376" t="s">
        <v>91</v>
      </c>
      <c r="G376">
        <v>2000</v>
      </c>
      <c r="H376">
        <v>736.07</v>
      </c>
      <c r="I376">
        <v>6000000</v>
      </c>
      <c r="J376">
        <v>445339</v>
      </c>
      <c r="K376" t="s">
        <v>41</v>
      </c>
      <c r="L376" t="s">
        <v>141</v>
      </c>
      <c r="M376" t="s">
        <v>145</v>
      </c>
      <c r="N376" t="s">
        <v>168</v>
      </c>
      <c r="O376" t="s">
        <v>85</v>
      </c>
      <c r="P376">
        <v>45700</v>
      </c>
      <c r="Q376">
        <v>0</v>
      </c>
      <c r="R376" s="1">
        <v>42039</v>
      </c>
      <c r="S376" t="s">
        <v>75</v>
      </c>
      <c r="T376" t="s">
        <v>47</v>
      </c>
      <c r="U376" t="s">
        <v>63</v>
      </c>
      <c r="V376" t="s">
        <v>49</v>
      </c>
      <c r="W376" t="s">
        <v>50</v>
      </c>
      <c r="X376" t="s">
        <v>127</v>
      </c>
      <c r="Y376" t="s">
        <v>553</v>
      </c>
      <c r="Z376">
        <v>17</v>
      </c>
      <c r="AA376">
        <v>4</v>
      </c>
      <c r="AB376" t="s">
        <v>62</v>
      </c>
      <c r="AC376">
        <v>0</v>
      </c>
      <c r="AD376">
        <v>0</v>
      </c>
      <c r="AE376" t="s">
        <v>53</v>
      </c>
      <c r="AF376">
        <v>62280</v>
      </c>
      <c r="AG376">
        <v>5190</v>
      </c>
      <c r="AH376">
        <v>10380</v>
      </c>
      <c r="AI376">
        <v>46710</v>
      </c>
      <c r="AJ376" t="s">
        <v>153</v>
      </c>
      <c r="AK376" t="s">
        <v>167</v>
      </c>
      <c r="AL376">
        <v>2012</v>
      </c>
      <c r="AM376" t="s">
        <v>82</v>
      </c>
      <c r="AN376" s="2">
        <f t="shared" si="35"/>
        <v>84.496723513370497</v>
      </c>
      <c r="AO376">
        <f t="shared" si="36"/>
        <v>-61543.93</v>
      </c>
      <c r="AP376" s="2">
        <f t="shared" si="37"/>
        <v>1.181853213660667E-2</v>
      </c>
      <c r="AQ376" s="2">
        <f t="shared" si="41"/>
        <v>3</v>
      </c>
      <c r="AR376">
        <f t="shared" si="38"/>
        <v>419</v>
      </c>
      <c r="AS376" t="str">
        <f t="shared" si="39"/>
        <v>High Claim Ratio</v>
      </c>
      <c r="AT376" t="str">
        <f t="shared" si="40"/>
        <v>High Profit</v>
      </c>
    </row>
    <row r="377" spans="1:46" x14ac:dyDescent="0.2">
      <c r="A377">
        <v>315</v>
      </c>
      <c r="B377">
        <v>44</v>
      </c>
      <c r="C377">
        <v>206667</v>
      </c>
      <c r="D377" s="1">
        <v>34094</v>
      </c>
      <c r="E377" t="s">
        <v>83</v>
      </c>
      <c r="F377" t="s">
        <v>40</v>
      </c>
      <c r="G377">
        <v>1000</v>
      </c>
      <c r="H377">
        <v>974.16</v>
      </c>
      <c r="I377">
        <v>6000000</v>
      </c>
      <c r="J377">
        <v>438328</v>
      </c>
      <c r="K377" t="s">
        <v>70</v>
      </c>
      <c r="L377" t="s">
        <v>124</v>
      </c>
      <c r="M377" t="s">
        <v>72</v>
      </c>
      <c r="N377" t="s">
        <v>59</v>
      </c>
      <c r="O377" t="s">
        <v>60</v>
      </c>
      <c r="P377">
        <v>0</v>
      </c>
      <c r="Q377">
        <v>-56800</v>
      </c>
      <c r="R377" s="1">
        <v>42042</v>
      </c>
      <c r="S377" t="s">
        <v>75</v>
      </c>
      <c r="T377" t="s">
        <v>86</v>
      </c>
      <c r="U377" t="s">
        <v>107</v>
      </c>
      <c r="V377" t="s">
        <v>120</v>
      </c>
      <c r="W377" t="s">
        <v>77</v>
      </c>
      <c r="X377" t="s">
        <v>102</v>
      </c>
      <c r="Y377" t="s">
        <v>554</v>
      </c>
      <c r="Z377">
        <v>12</v>
      </c>
      <c r="AA377">
        <v>3</v>
      </c>
      <c r="AB377" t="s">
        <v>62</v>
      </c>
      <c r="AC377">
        <v>1</v>
      </c>
      <c r="AD377">
        <v>0</v>
      </c>
      <c r="AE377" t="s">
        <v>53</v>
      </c>
      <c r="AF377">
        <v>26730</v>
      </c>
      <c r="AG377">
        <v>4860</v>
      </c>
      <c r="AH377">
        <v>4860</v>
      </c>
      <c r="AI377">
        <v>17010</v>
      </c>
      <c r="AJ377" t="s">
        <v>214</v>
      </c>
      <c r="AK377" t="s">
        <v>258</v>
      </c>
      <c r="AL377">
        <v>2006</v>
      </c>
      <c r="AM377" t="s">
        <v>82</v>
      </c>
      <c r="AN377" s="2">
        <f t="shared" si="35"/>
        <v>27.410886418638995</v>
      </c>
      <c r="AO377">
        <f t="shared" si="36"/>
        <v>-25755.84</v>
      </c>
      <c r="AP377" s="2">
        <f t="shared" si="37"/>
        <v>3.6443081066926036E-2</v>
      </c>
      <c r="AQ377" s="2">
        <f t="shared" si="41"/>
        <v>9</v>
      </c>
      <c r="AR377">
        <f t="shared" si="38"/>
        <v>315</v>
      </c>
      <c r="AS377" t="str">
        <f t="shared" si="39"/>
        <v>High Claim Ratio</v>
      </c>
      <c r="AT377" t="str">
        <f t="shared" si="40"/>
        <v>High Profit</v>
      </c>
    </row>
    <row r="378" spans="1:46" x14ac:dyDescent="0.2">
      <c r="A378">
        <v>72</v>
      </c>
      <c r="B378">
        <v>29</v>
      </c>
      <c r="C378">
        <v>745200</v>
      </c>
      <c r="D378" s="1">
        <v>34552</v>
      </c>
      <c r="E378" t="s">
        <v>39</v>
      </c>
      <c r="F378" t="s">
        <v>91</v>
      </c>
      <c r="G378">
        <v>500</v>
      </c>
      <c r="H378">
        <v>973.8</v>
      </c>
      <c r="I378">
        <v>0</v>
      </c>
      <c r="J378">
        <v>479913</v>
      </c>
      <c r="K378" t="s">
        <v>70</v>
      </c>
      <c r="L378" t="s">
        <v>92</v>
      </c>
      <c r="M378" t="s">
        <v>43</v>
      </c>
      <c r="N378" t="s">
        <v>264</v>
      </c>
      <c r="O378" t="s">
        <v>74</v>
      </c>
      <c r="P378">
        <v>0</v>
      </c>
      <c r="Q378">
        <v>-85900</v>
      </c>
      <c r="R378" s="1">
        <v>42020</v>
      </c>
      <c r="S378" t="s">
        <v>46</v>
      </c>
      <c r="T378" t="s">
        <v>76</v>
      </c>
      <c r="U378" t="s">
        <v>48</v>
      </c>
      <c r="V378" t="s">
        <v>136</v>
      </c>
      <c r="W378" t="s">
        <v>113</v>
      </c>
      <c r="X378" t="s">
        <v>87</v>
      </c>
      <c r="Y378" t="s">
        <v>555</v>
      </c>
      <c r="Z378">
        <v>9</v>
      </c>
      <c r="AA378">
        <v>1</v>
      </c>
      <c r="AB378" t="s">
        <v>62</v>
      </c>
      <c r="AC378">
        <v>1</v>
      </c>
      <c r="AD378">
        <v>0</v>
      </c>
      <c r="AE378" t="s">
        <v>79</v>
      </c>
      <c r="AF378">
        <v>66200</v>
      </c>
      <c r="AG378">
        <v>6620</v>
      </c>
      <c r="AH378">
        <v>6620</v>
      </c>
      <c r="AI378">
        <v>52960</v>
      </c>
      <c r="AJ378" t="s">
        <v>80</v>
      </c>
      <c r="AK378" t="s">
        <v>144</v>
      </c>
      <c r="AL378">
        <v>2013</v>
      </c>
      <c r="AM378" t="s">
        <v>82</v>
      </c>
      <c r="AN378" s="2">
        <f t="shared" si="35"/>
        <v>67.911366434140334</v>
      </c>
      <c r="AO378">
        <f t="shared" si="36"/>
        <v>-65226.2</v>
      </c>
      <c r="AP378" s="2">
        <f t="shared" si="37"/>
        <v>1.4709747586894457E-2</v>
      </c>
      <c r="AQ378" s="2">
        <f t="shared" si="41"/>
        <v>2</v>
      </c>
      <c r="AR378">
        <f t="shared" si="38"/>
        <v>72</v>
      </c>
      <c r="AS378" t="str">
        <f t="shared" si="39"/>
        <v>High Claim Ratio</v>
      </c>
      <c r="AT378" t="str">
        <f t="shared" si="40"/>
        <v>High Profit</v>
      </c>
    </row>
    <row r="379" spans="1:46" x14ac:dyDescent="0.2">
      <c r="A379">
        <v>32</v>
      </c>
      <c r="B379">
        <v>26</v>
      </c>
      <c r="C379">
        <v>412703</v>
      </c>
      <c r="D379" s="1">
        <v>41957</v>
      </c>
      <c r="E379" t="s">
        <v>39</v>
      </c>
      <c r="F379" t="s">
        <v>69</v>
      </c>
      <c r="G379">
        <v>2000</v>
      </c>
      <c r="H379">
        <v>1260.32</v>
      </c>
      <c r="I379">
        <v>6000000</v>
      </c>
      <c r="J379">
        <v>460760</v>
      </c>
      <c r="K379" t="s">
        <v>41</v>
      </c>
      <c r="L379" t="s">
        <v>161</v>
      </c>
      <c r="M379" t="s">
        <v>111</v>
      </c>
      <c r="N379" t="s">
        <v>173</v>
      </c>
      <c r="O379" t="s">
        <v>142</v>
      </c>
      <c r="P379">
        <v>0</v>
      </c>
      <c r="Q379">
        <v>-79800</v>
      </c>
      <c r="R379" s="1">
        <v>42063</v>
      </c>
      <c r="S379" t="s">
        <v>46</v>
      </c>
      <c r="T379" t="s">
        <v>47</v>
      </c>
      <c r="U379" t="s">
        <v>107</v>
      </c>
      <c r="V379" t="s">
        <v>99</v>
      </c>
      <c r="W379" t="s">
        <v>64</v>
      </c>
      <c r="X379" t="s">
        <v>156</v>
      </c>
      <c r="Y379" t="s">
        <v>556</v>
      </c>
      <c r="Z379">
        <v>16</v>
      </c>
      <c r="AA379">
        <v>1</v>
      </c>
      <c r="AB379" t="s">
        <v>62</v>
      </c>
      <c r="AC379">
        <v>1</v>
      </c>
      <c r="AD379">
        <v>2</v>
      </c>
      <c r="AE379" t="s">
        <v>62</v>
      </c>
      <c r="AF379">
        <v>45500</v>
      </c>
      <c r="AG379">
        <v>9100</v>
      </c>
      <c r="AH379">
        <v>4550</v>
      </c>
      <c r="AI379">
        <v>31850</v>
      </c>
      <c r="AJ379" t="s">
        <v>115</v>
      </c>
      <c r="AK379" t="s">
        <v>183</v>
      </c>
      <c r="AL379">
        <v>2009</v>
      </c>
      <c r="AM379" t="s">
        <v>82</v>
      </c>
      <c r="AN379" s="2">
        <f t="shared" si="35"/>
        <v>36.073320013953641</v>
      </c>
      <c r="AO379">
        <f t="shared" si="36"/>
        <v>-44239.68</v>
      </c>
      <c r="AP379" s="2">
        <f t="shared" si="37"/>
        <v>2.7698731896002284E-2</v>
      </c>
      <c r="AQ379" s="2">
        <f t="shared" si="41"/>
        <v>6</v>
      </c>
      <c r="AR379">
        <f t="shared" si="38"/>
        <v>32</v>
      </c>
      <c r="AS379" t="str">
        <f t="shared" si="39"/>
        <v>High Claim Ratio</v>
      </c>
      <c r="AT379" t="str">
        <f t="shared" si="40"/>
        <v>High Profit</v>
      </c>
    </row>
    <row r="380" spans="1:46" x14ac:dyDescent="0.2">
      <c r="A380">
        <v>230</v>
      </c>
      <c r="B380">
        <v>41</v>
      </c>
      <c r="C380">
        <v>736771</v>
      </c>
      <c r="D380" s="1">
        <v>33586</v>
      </c>
      <c r="E380" t="s">
        <v>57</v>
      </c>
      <c r="F380" t="s">
        <v>69</v>
      </c>
      <c r="G380">
        <v>1000</v>
      </c>
      <c r="H380">
        <v>1464.03</v>
      </c>
      <c r="I380">
        <v>0</v>
      </c>
      <c r="J380">
        <v>444797</v>
      </c>
      <c r="K380" t="s">
        <v>41</v>
      </c>
      <c r="L380" t="s">
        <v>161</v>
      </c>
      <c r="M380" t="s">
        <v>145</v>
      </c>
      <c r="N380" t="s">
        <v>44</v>
      </c>
      <c r="O380" t="s">
        <v>74</v>
      </c>
      <c r="P380">
        <v>0</v>
      </c>
      <c r="Q380">
        <v>0</v>
      </c>
      <c r="R380" s="1">
        <v>42043</v>
      </c>
      <c r="S380" t="s">
        <v>75</v>
      </c>
      <c r="T380" t="s">
        <v>47</v>
      </c>
      <c r="U380" t="s">
        <v>63</v>
      </c>
      <c r="V380" t="s">
        <v>136</v>
      </c>
      <c r="W380" t="s">
        <v>77</v>
      </c>
      <c r="X380" t="s">
        <v>102</v>
      </c>
      <c r="Y380" t="s">
        <v>557</v>
      </c>
      <c r="Z380">
        <v>19</v>
      </c>
      <c r="AA380">
        <v>3</v>
      </c>
      <c r="AB380" t="s">
        <v>62</v>
      </c>
      <c r="AC380">
        <v>2</v>
      </c>
      <c r="AD380">
        <v>0</v>
      </c>
      <c r="AE380" t="s">
        <v>62</v>
      </c>
      <c r="AF380">
        <v>53040</v>
      </c>
      <c r="AG380">
        <v>4420</v>
      </c>
      <c r="AH380">
        <v>4420</v>
      </c>
      <c r="AI380">
        <v>44200</v>
      </c>
      <c r="AJ380" t="s">
        <v>109</v>
      </c>
      <c r="AK380" t="s">
        <v>134</v>
      </c>
      <c r="AL380">
        <v>2006</v>
      </c>
      <c r="AM380" t="s">
        <v>82</v>
      </c>
      <c r="AN380" s="2">
        <f t="shared" si="35"/>
        <v>36.204036777403878</v>
      </c>
      <c r="AO380">
        <f t="shared" si="36"/>
        <v>-51575.97</v>
      </c>
      <c r="AP380" s="2">
        <f t="shared" si="37"/>
        <v>2.7601855168643125E-2</v>
      </c>
      <c r="AQ380" s="2">
        <f t="shared" si="41"/>
        <v>9</v>
      </c>
      <c r="AR380">
        <f t="shared" si="38"/>
        <v>230</v>
      </c>
      <c r="AS380" t="str">
        <f t="shared" si="39"/>
        <v>High Claim Ratio</v>
      </c>
      <c r="AT380" t="str">
        <f t="shared" si="40"/>
        <v>High Profit</v>
      </c>
    </row>
    <row r="381" spans="1:46" x14ac:dyDescent="0.2">
      <c r="A381">
        <v>157</v>
      </c>
      <c r="B381">
        <v>32</v>
      </c>
      <c r="C381">
        <v>347984</v>
      </c>
      <c r="D381" s="1">
        <v>40107</v>
      </c>
      <c r="E381" t="s">
        <v>39</v>
      </c>
      <c r="F381" t="s">
        <v>69</v>
      </c>
      <c r="G381">
        <v>2000</v>
      </c>
      <c r="H381">
        <v>617.11</v>
      </c>
      <c r="I381">
        <v>0</v>
      </c>
      <c r="J381">
        <v>436711</v>
      </c>
      <c r="K381" t="s">
        <v>41</v>
      </c>
      <c r="L381" t="s">
        <v>141</v>
      </c>
      <c r="M381" t="s">
        <v>111</v>
      </c>
      <c r="N381" t="s">
        <v>59</v>
      </c>
      <c r="O381" t="s">
        <v>60</v>
      </c>
      <c r="P381">
        <v>0</v>
      </c>
      <c r="Q381">
        <v>-54100</v>
      </c>
      <c r="R381" s="1">
        <v>42006</v>
      </c>
      <c r="S381" t="s">
        <v>75</v>
      </c>
      <c r="T381" t="s">
        <v>86</v>
      </c>
      <c r="U381" t="s">
        <v>48</v>
      </c>
      <c r="V381" t="s">
        <v>120</v>
      </c>
      <c r="W381" t="s">
        <v>64</v>
      </c>
      <c r="X381" t="s">
        <v>51</v>
      </c>
      <c r="Y381" t="s">
        <v>558</v>
      </c>
      <c r="Z381">
        <v>14</v>
      </c>
      <c r="AA381">
        <v>3</v>
      </c>
      <c r="AB381" t="s">
        <v>62</v>
      </c>
      <c r="AC381">
        <v>1</v>
      </c>
      <c r="AD381">
        <v>2</v>
      </c>
      <c r="AE381" t="s">
        <v>79</v>
      </c>
      <c r="AF381">
        <v>50800</v>
      </c>
      <c r="AG381">
        <v>10160</v>
      </c>
      <c r="AH381">
        <v>5080</v>
      </c>
      <c r="AI381">
        <v>35560</v>
      </c>
      <c r="AJ381" t="s">
        <v>67</v>
      </c>
      <c r="AK381" t="s">
        <v>68</v>
      </c>
      <c r="AL381">
        <v>2013</v>
      </c>
      <c r="AM381" t="s">
        <v>56</v>
      </c>
      <c r="AN381" s="2">
        <f t="shared" si="35"/>
        <v>82.18601866981605</v>
      </c>
      <c r="AO381">
        <f t="shared" si="36"/>
        <v>-50182.89</v>
      </c>
      <c r="AP381" s="2">
        <f t="shared" si="37"/>
        <v>1.2147595519773234E-2</v>
      </c>
      <c r="AQ381" s="2">
        <f t="shared" si="41"/>
        <v>2</v>
      </c>
      <c r="AR381">
        <f t="shared" si="38"/>
        <v>157</v>
      </c>
      <c r="AS381" t="str">
        <f t="shared" si="39"/>
        <v>High Claim Ratio</v>
      </c>
      <c r="AT381" t="str">
        <f t="shared" si="40"/>
        <v>High Profit</v>
      </c>
    </row>
    <row r="382" spans="1:46" x14ac:dyDescent="0.2">
      <c r="A382">
        <v>265</v>
      </c>
      <c r="B382">
        <v>41</v>
      </c>
      <c r="C382">
        <v>626074</v>
      </c>
      <c r="D382" s="1">
        <v>35702</v>
      </c>
      <c r="E382" t="s">
        <v>57</v>
      </c>
      <c r="F382" t="s">
        <v>40</v>
      </c>
      <c r="G382">
        <v>2000</v>
      </c>
      <c r="H382">
        <v>1724.46</v>
      </c>
      <c r="I382">
        <v>6000000</v>
      </c>
      <c r="J382">
        <v>432491</v>
      </c>
      <c r="K382" t="s">
        <v>70</v>
      </c>
      <c r="L382" t="s">
        <v>92</v>
      </c>
      <c r="M382" t="s">
        <v>43</v>
      </c>
      <c r="N382" t="s">
        <v>44</v>
      </c>
      <c r="O382" t="s">
        <v>74</v>
      </c>
      <c r="P382">
        <v>81800</v>
      </c>
      <c r="Q382">
        <v>0</v>
      </c>
      <c r="R382" s="1">
        <v>42017</v>
      </c>
      <c r="S382" t="s">
        <v>75</v>
      </c>
      <c r="T382" t="s">
        <v>47</v>
      </c>
      <c r="U382" t="s">
        <v>107</v>
      </c>
      <c r="V382" t="s">
        <v>49</v>
      </c>
      <c r="W382" t="s">
        <v>50</v>
      </c>
      <c r="X382" t="s">
        <v>127</v>
      </c>
      <c r="Y382" t="s">
        <v>559</v>
      </c>
      <c r="Z382">
        <v>18</v>
      </c>
      <c r="AA382">
        <v>3</v>
      </c>
      <c r="AB382" t="s">
        <v>62</v>
      </c>
      <c r="AC382">
        <v>1</v>
      </c>
      <c r="AD382">
        <v>3</v>
      </c>
      <c r="AE382" t="s">
        <v>62</v>
      </c>
      <c r="AF382">
        <v>44200</v>
      </c>
      <c r="AG382">
        <v>4420</v>
      </c>
      <c r="AH382">
        <v>4420</v>
      </c>
      <c r="AI382">
        <v>35360</v>
      </c>
      <c r="AJ382" t="s">
        <v>109</v>
      </c>
      <c r="AK382" t="s">
        <v>110</v>
      </c>
      <c r="AL382">
        <v>2014</v>
      </c>
      <c r="AM382" t="s">
        <v>82</v>
      </c>
      <c r="AN382" s="2">
        <f t="shared" si="35"/>
        <v>25.61635737716319</v>
      </c>
      <c r="AO382">
        <f t="shared" si="36"/>
        <v>-42475.54</v>
      </c>
      <c r="AP382" s="2">
        <f t="shared" si="37"/>
        <v>3.9014049455894664E-2</v>
      </c>
      <c r="AQ382" s="2">
        <f t="shared" si="41"/>
        <v>1</v>
      </c>
      <c r="AR382">
        <f t="shared" si="38"/>
        <v>265</v>
      </c>
      <c r="AS382" t="str">
        <f t="shared" si="39"/>
        <v>High Claim Ratio</v>
      </c>
      <c r="AT382" t="str">
        <f t="shared" si="40"/>
        <v>High Profit</v>
      </c>
    </row>
    <row r="383" spans="1:46" x14ac:dyDescent="0.2">
      <c r="A383">
        <v>47</v>
      </c>
      <c r="B383">
        <v>34</v>
      </c>
      <c r="C383">
        <v>218109</v>
      </c>
      <c r="D383" s="1">
        <v>37986</v>
      </c>
      <c r="E383" t="s">
        <v>83</v>
      </c>
      <c r="F383" t="s">
        <v>91</v>
      </c>
      <c r="G383">
        <v>500</v>
      </c>
      <c r="H383">
        <v>1161.31</v>
      </c>
      <c r="I383">
        <v>0</v>
      </c>
      <c r="J383">
        <v>617527</v>
      </c>
      <c r="K383" t="s">
        <v>70</v>
      </c>
      <c r="L383" t="s">
        <v>71</v>
      </c>
      <c r="M383" t="s">
        <v>125</v>
      </c>
      <c r="N383" t="s">
        <v>106</v>
      </c>
      <c r="O383" t="s">
        <v>60</v>
      </c>
      <c r="P383">
        <v>64800</v>
      </c>
      <c r="Q383">
        <v>-24300</v>
      </c>
      <c r="R383" s="1">
        <v>42011</v>
      </c>
      <c r="S383" t="s">
        <v>46</v>
      </c>
      <c r="T383" t="s">
        <v>86</v>
      </c>
      <c r="U383" t="s">
        <v>63</v>
      </c>
      <c r="V383" t="s">
        <v>49</v>
      </c>
      <c r="W383" t="s">
        <v>50</v>
      </c>
      <c r="X383" t="s">
        <v>102</v>
      </c>
      <c r="Y383" t="s">
        <v>560</v>
      </c>
      <c r="Z383">
        <v>23</v>
      </c>
      <c r="AA383">
        <v>1</v>
      </c>
      <c r="AB383" t="s">
        <v>53</v>
      </c>
      <c r="AC383">
        <v>1</v>
      </c>
      <c r="AD383">
        <v>3</v>
      </c>
      <c r="AE383" t="s">
        <v>62</v>
      </c>
      <c r="AF383">
        <v>62920</v>
      </c>
      <c r="AG383">
        <v>11440</v>
      </c>
      <c r="AH383">
        <v>5720</v>
      </c>
      <c r="AI383">
        <v>45760</v>
      </c>
      <c r="AJ383" t="s">
        <v>89</v>
      </c>
      <c r="AK383" t="s">
        <v>245</v>
      </c>
      <c r="AL383">
        <v>2012</v>
      </c>
      <c r="AM383" t="s">
        <v>82</v>
      </c>
      <c r="AN383" s="2">
        <f t="shared" si="35"/>
        <v>54.133578821484804</v>
      </c>
      <c r="AO383">
        <f t="shared" si="36"/>
        <v>-61758.69</v>
      </c>
      <c r="AP383" s="2">
        <f t="shared" si="37"/>
        <v>1.8456636099235549E-2</v>
      </c>
      <c r="AQ383" s="2">
        <f t="shared" si="41"/>
        <v>3</v>
      </c>
      <c r="AR383">
        <f t="shared" si="38"/>
        <v>47</v>
      </c>
      <c r="AS383" t="str">
        <f t="shared" si="39"/>
        <v>High Claim Ratio</v>
      </c>
      <c r="AT383" t="str">
        <f t="shared" si="40"/>
        <v>High Profit</v>
      </c>
    </row>
    <row r="384" spans="1:46" x14ac:dyDescent="0.2">
      <c r="A384">
        <v>113</v>
      </c>
      <c r="B384">
        <v>29</v>
      </c>
      <c r="C384">
        <v>999435</v>
      </c>
      <c r="D384" s="1">
        <v>39448</v>
      </c>
      <c r="E384" t="s">
        <v>39</v>
      </c>
      <c r="F384" t="s">
        <v>40</v>
      </c>
      <c r="G384">
        <v>2000</v>
      </c>
      <c r="H384">
        <v>1091.73</v>
      </c>
      <c r="I384">
        <v>0</v>
      </c>
      <c r="J384">
        <v>601213</v>
      </c>
      <c r="K384" t="s">
        <v>41</v>
      </c>
      <c r="L384" t="s">
        <v>71</v>
      </c>
      <c r="M384" t="s">
        <v>125</v>
      </c>
      <c r="N384" t="s">
        <v>112</v>
      </c>
      <c r="O384" t="s">
        <v>142</v>
      </c>
      <c r="P384">
        <v>36100</v>
      </c>
      <c r="Q384">
        <v>-42300</v>
      </c>
      <c r="R384" s="1">
        <v>42009</v>
      </c>
      <c r="S384" t="s">
        <v>75</v>
      </c>
      <c r="T384" t="s">
        <v>76</v>
      </c>
      <c r="U384" t="s">
        <v>63</v>
      </c>
      <c r="V384" t="s">
        <v>120</v>
      </c>
      <c r="W384" t="s">
        <v>77</v>
      </c>
      <c r="X384" t="s">
        <v>102</v>
      </c>
      <c r="Y384" t="s">
        <v>561</v>
      </c>
      <c r="Z384">
        <v>15</v>
      </c>
      <c r="AA384">
        <v>3</v>
      </c>
      <c r="AB384" t="s">
        <v>62</v>
      </c>
      <c r="AC384">
        <v>0</v>
      </c>
      <c r="AD384">
        <v>2</v>
      </c>
      <c r="AE384" t="s">
        <v>53</v>
      </c>
      <c r="AF384">
        <v>49950</v>
      </c>
      <c r="AG384">
        <v>5550</v>
      </c>
      <c r="AH384">
        <v>5550</v>
      </c>
      <c r="AI384">
        <v>38850</v>
      </c>
      <c r="AJ384" t="s">
        <v>104</v>
      </c>
      <c r="AK384" t="s">
        <v>287</v>
      </c>
      <c r="AL384">
        <v>2004</v>
      </c>
      <c r="AM384" t="s">
        <v>56</v>
      </c>
      <c r="AN384" s="2">
        <f t="shared" si="35"/>
        <v>45.711200388018995</v>
      </c>
      <c r="AO384">
        <f t="shared" si="36"/>
        <v>-48858.27</v>
      </c>
      <c r="AP384" s="2">
        <f t="shared" si="37"/>
        <v>2.1856018898520551E-2</v>
      </c>
      <c r="AQ384" s="2">
        <f t="shared" si="41"/>
        <v>11</v>
      </c>
      <c r="AR384">
        <f t="shared" si="38"/>
        <v>113</v>
      </c>
      <c r="AS384" t="str">
        <f t="shared" si="39"/>
        <v>High Claim Ratio</v>
      </c>
      <c r="AT384" t="str">
        <f t="shared" si="40"/>
        <v>High Profit</v>
      </c>
    </row>
    <row r="385" spans="1:46" x14ac:dyDescent="0.2">
      <c r="A385">
        <v>289</v>
      </c>
      <c r="B385">
        <v>46</v>
      </c>
      <c r="C385">
        <v>858060</v>
      </c>
      <c r="D385" s="1">
        <v>38138</v>
      </c>
      <c r="E385" t="s">
        <v>83</v>
      </c>
      <c r="F385" t="s">
        <v>40</v>
      </c>
      <c r="G385">
        <v>2000</v>
      </c>
      <c r="H385">
        <v>1209.07</v>
      </c>
      <c r="I385">
        <v>0</v>
      </c>
      <c r="J385">
        <v>604138</v>
      </c>
      <c r="K385" t="s">
        <v>41</v>
      </c>
      <c r="L385" t="s">
        <v>161</v>
      </c>
      <c r="M385" t="s">
        <v>84</v>
      </c>
      <c r="N385" t="s">
        <v>168</v>
      </c>
      <c r="O385" t="s">
        <v>85</v>
      </c>
      <c r="P385">
        <v>0</v>
      </c>
      <c r="Q385">
        <v>0</v>
      </c>
      <c r="R385" s="1">
        <v>42063</v>
      </c>
      <c r="S385" t="s">
        <v>46</v>
      </c>
      <c r="T385" t="s">
        <v>76</v>
      </c>
      <c r="U385" t="s">
        <v>63</v>
      </c>
      <c r="V385" t="s">
        <v>136</v>
      </c>
      <c r="W385" t="s">
        <v>121</v>
      </c>
      <c r="X385" t="s">
        <v>87</v>
      </c>
      <c r="Y385" t="s">
        <v>562</v>
      </c>
      <c r="Z385">
        <v>18</v>
      </c>
      <c r="AA385">
        <v>1</v>
      </c>
      <c r="AB385" t="s">
        <v>53</v>
      </c>
      <c r="AC385">
        <v>0</v>
      </c>
      <c r="AD385">
        <v>1</v>
      </c>
      <c r="AE385" t="s">
        <v>53</v>
      </c>
      <c r="AF385">
        <v>56430</v>
      </c>
      <c r="AG385">
        <v>6270</v>
      </c>
      <c r="AH385">
        <v>6270</v>
      </c>
      <c r="AI385">
        <v>43890</v>
      </c>
      <c r="AJ385" t="s">
        <v>187</v>
      </c>
      <c r="AK385" t="s">
        <v>188</v>
      </c>
      <c r="AL385">
        <v>1995</v>
      </c>
      <c r="AM385" t="s">
        <v>56</v>
      </c>
      <c r="AN385" s="2">
        <f t="shared" si="35"/>
        <v>46.633665820985563</v>
      </c>
      <c r="AO385">
        <f t="shared" si="36"/>
        <v>-55220.93</v>
      </c>
      <c r="AP385" s="2">
        <f t="shared" si="37"/>
        <v>2.1425634846095231E-2</v>
      </c>
      <c r="AQ385" s="2">
        <f t="shared" si="41"/>
        <v>20</v>
      </c>
      <c r="AR385">
        <f t="shared" si="38"/>
        <v>289</v>
      </c>
      <c r="AS385" t="str">
        <f t="shared" si="39"/>
        <v>High Claim Ratio</v>
      </c>
      <c r="AT385" t="str">
        <f t="shared" si="40"/>
        <v>High Profit</v>
      </c>
    </row>
    <row r="386" spans="1:46" x14ac:dyDescent="0.2">
      <c r="A386">
        <v>254</v>
      </c>
      <c r="B386">
        <v>41</v>
      </c>
      <c r="C386">
        <v>500384</v>
      </c>
      <c r="D386" s="1">
        <v>41626</v>
      </c>
      <c r="E386" t="s">
        <v>83</v>
      </c>
      <c r="F386" t="s">
        <v>40</v>
      </c>
      <c r="G386">
        <v>2000</v>
      </c>
      <c r="H386">
        <v>1241.04</v>
      </c>
      <c r="I386">
        <v>0</v>
      </c>
      <c r="J386">
        <v>431361</v>
      </c>
      <c r="K386" t="s">
        <v>70</v>
      </c>
      <c r="L386" t="s">
        <v>124</v>
      </c>
      <c r="M386" t="s">
        <v>135</v>
      </c>
      <c r="N386" t="s">
        <v>73</v>
      </c>
      <c r="O386" t="s">
        <v>74</v>
      </c>
      <c r="P386">
        <v>0</v>
      </c>
      <c r="Q386">
        <v>0</v>
      </c>
      <c r="R386" s="1">
        <v>42008</v>
      </c>
      <c r="S386" t="s">
        <v>46</v>
      </c>
      <c r="T386" t="s">
        <v>86</v>
      </c>
      <c r="U386" t="s">
        <v>63</v>
      </c>
      <c r="V386" t="s">
        <v>49</v>
      </c>
      <c r="W386" t="s">
        <v>77</v>
      </c>
      <c r="X386" t="s">
        <v>65</v>
      </c>
      <c r="Y386" t="s">
        <v>563</v>
      </c>
      <c r="Z386">
        <v>16</v>
      </c>
      <c r="AA386">
        <v>1</v>
      </c>
      <c r="AB386" t="s">
        <v>79</v>
      </c>
      <c r="AC386">
        <v>2</v>
      </c>
      <c r="AD386">
        <v>2</v>
      </c>
      <c r="AE386" t="s">
        <v>53</v>
      </c>
      <c r="AF386">
        <v>100210</v>
      </c>
      <c r="AG386">
        <v>18220</v>
      </c>
      <c r="AH386">
        <v>18220</v>
      </c>
      <c r="AI386">
        <v>63770</v>
      </c>
      <c r="AJ386" t="s">
        <v>109</v>
      </c>
      <c r="AK386" t="s">
        <v>110</v>
      </c>
      <c r="AL386">
        <v>2014</v>
      </c>
      <c r="AM386" t="s">
        <v>82</v>
      </c>
      <c r="AN386" s="2">
        <f t="shared" si="35"/>
        <v>80.681781585134132</v>
      </c>
      <c r="AO386">
        <f t="shared" si="36"/>
        <v>-98968.960000000006</v>
      </c>
      <c r="AP386" s="2">
        <f t="shared" si="37"/>
        <v>1.238426919200487E-2</v>
      </c>
      <c r="AQ386" s="2">
        <f t="shared" si="41"/>
        <v>1</v>
      </c>
      <c r="AR386">
        <f t="shared" si="38"/>
        <v>254</v>
      </c>
      <c r="AS386" t="str">
        <f t="shared" si="39"/>
        <v>High Claim Ratio</v>
      </c>
      <c r="AT386" t="str">
        <f t="shared" si="40"/>
        <v>High Profit</v>
      </c>
    </row>
    <row r="387" spans="1:46" x14ac:dyDescent="0.2">
      <c r="A387">
        <v>115</v>
      </c>
      <c r="B387">
        <v>30</v>
      </c>
      <c r="C387">
        <v>903785</v>
      </c>
      <c r="D387" s="1">
        <v>36762</v>
      </c>
      <c r="E387" t="s">
        <v>39</v>
      </c>
      <c r="F387" t="s">
        <v>91</v>
      </c>
      <c r="G387">
        <v>500</v>
      </c>
      <c r="H387">
        <v>1757.21</v>
      </c>
      <c r="I387">
        <v>0</v>
      </c>
      <c r="J387">
        <v>477695</v>
      </c>
      <c r="K387" t="s">
        <v>41</v>
      </c>
      <c r="L387" t="s">
        <v>131</v>
      </c>
      <c r="M387" t="s">
        <v>101</v>
      </c>
      <c r="N387" t="s">
        <v>106</v>
      </c>
      <c r="O387" t="s">
        <v>119</v>
      </c>
      <c r="P387">
        <v>46400</v>
      </c>
      <c r="Q387">
        <v>0</v>
      </c>
      <c r="R387" s="1">
        <v>42037</v>
      </c>
      <c r="S387" t="s">
        <v>75</v>
      </c>
      <c r="T387" t="s">
        <v>86</v>
      </c>
      <c r="U387" t="s">
        <v>63</v>
      </c>
      <c r="V387" t="s">
        <v>99</v>
      </c>
      <c r="W387" t="s">
        <v>77</v>
      </c>
      <c r="X387" t="s">
        <v>127</v>
      </c>
      <c r="Y387" t="s">
        <v>564</v>
      </c>
      <c r="Z387">
        <v>12</v>
      </c>
      <c r="AA387">
        <v>3</v>
      </c>
      <c r="AB387" t="s">
        <v>79</v>
      </c>
      <c r="AC387">
        <v>1</v>
      </c>
      <c r="AD387">
        <v>0</v>
      </c>
      <c r="AE387" t="s">
        <v>53</v>
      </c>
      <c r="AF387">
        <v>49140</v>
      </c>
      <c r="AG387">
        <v>5460</v>
      </c>
      <c r="AH387">
        <v>5460</v>
      </c>
      <c r="AI387">
        <v>38220</v>
      </c>
      <c r="AJ387" t="s">
        <v>129</v>
      </c>
      <c r="AK387" t="s">
        <v>130</v>
      </c>
      <c r="AL387">
        <v>2007</v>
      </c>
      <c r="AM387" t="s">
        <v>82</v>
      </c>
      <c r="AN387" s="2">
        <f t="shared" ref="AN387:AN450" si="42">AF387/(H387+1)</f>
        <v>27.948879826641868</v>
      </c>
      <c r="AO387">
        <f t="shared" ref="AO387:AO450" si="43">H387-AF387</f>
        <v>-47382.79</v>
      </c>
      <c r="AP387" s="2">
        <f t="shared" ref="AP387:AP450" si="44">H387/(AF387+1)</f>
        <v>3.5758531572414078E-2</v>
      </c>
      <c r="AQ387" s="2">
        <f t="shared" si="41"/>
        <v>8</v>
      </c>
      <c r="AR387">
        <f t="shared" ref="AR387:AR450" si="45">A387</f>
        <v>115</v>
      </c>
      <c r="AS387" t="str">
        <f t="shared" ref="AS387:AS450" si="46">IF(AN387&lt;5,"Low Claim Ratio",
 IF(AN387&lt;20,"Medium Claim Ratio",
 "High Claim Ratio"))</f>
        <v>High Claim Ratio</v>
      </c>
      <c r="AT387" t="str">
        <f t="shared" ref="AT387:AT450" si="47">IF(-AO387&lt;0,"Loss Making",
 IF(-AO387&lt;5000,"Low Profit",
 "High Profit"))</f>
        <v>High Profit</v>
      </c>
    </row>
    <row r="388" spans="1:46" x14ac:dyDescent="0.2">
      <c r="A388">
        <v>236</v>
      </c>
      <c r="B388">
        <v>38</v>
      </c>
      <c r="C388">
        <v>873859</v>
      </c>
      <c r="D388" s="1">
        <v>33891</v>
      </c>
      <c r="E388" t="s">
        <v>39</v>
      </c>
      <c r="F388" t="s">
        <v>40</v>
      </c>
      <c r="G388">
        <v>1000</v>
      </c>
      <c r="H388">
        <v>802.24</v>
      </c>
      <c r="I388">
        <v>0</v>
      </c>
      <c r="J388">
        <v>612597</v>
      </c>
      <c r="K388" t="s">
        <v>70</v>
      </c>
      <c r="L388" t="s">
        <v>141</v>
      </c>
      <c r="M388" t="s">
        <v>111</v>
      </c>
      <c r="N388" t="s">
        <v>165</v>
      </c>
      <c r="O388" t="s">
        <v>142</v>
      </c>
      <c r="P388">
        <v>0</v>
      </c>
      <c r="Q388">
        <v>-62500</v>
      </c>
      <c r="R388" s="1">
        <v>42058</v>
      </c>
      <c r="S388" t="s">
        <v>46</v>
      </c>
      <c r="T388" t="s">
        <v>47</v>
      </c>
      <c r="U388" t="s">
        <v>48</v>
      </c>
      <c r="V388" t="s">
        <v>136</v>
      </c>
      <c r="W388" t="s">
        <v>113</v>
      </c>
      <c r="X388" t="s">
        <v>156</v>
      </c>
      <c r="Y388" t="s">
        <v>565</v>
      </c>
      <c r="Z388">
        <v>16</v>
      </c>
      <c r="AA388">
        <v>1</v>
      </c>
      <c r="AB388" t="s">
        <v>79</v>
      </c>
      <c r="AC388">
        <v>0</v>
      </c>
      <c r="AD388">
        <v>1</v>
      </c>
      <c r="AE388" t="s">
        <v>62</v>
      </c>
      <c r="AF388">
        <v>66840</v>
      </c>
      <c r="AG388">
        <v>16710</v>
      </c>
      <c r="AH388">
        <v>5570</v>
      </c>
      <c r="AI388">
        <v>44560</v>
      </c>
      <c r="AJ388" t="s">
        <v>67</v>
      </c>
      <c r="AK388" t="s">
        <v>68</v>
      </c>
      <c r="AL388">
        <v>2014</v>
      </c>
      <c r="AM388" t="s">
        <v>82</v>
      </c>
      <c r="AN388" s="2">
        <f t="shared" si="42"/>
        <v>83.212987401025842</v>
      </c>
      <c r="AO388">
        <f t="shared" si="43"/>
        <v>-66037.759999999995</v>
      </c>
      <c r="AP388" s="2">
        <f t="shared" si="44"/>
        <v>1.2002214209841265E-2</v>
      </c>
      <c r="AQ388" s="2">
        <f t="shared" ref="AQ388:AQ451" si="48">YEAR(R388)-(AL388)</f>
        <v>1</v>
      </c>
      <c r="AR388">
        <f t="shared" si="45"/>
        <v>236</v>
      </c>
      <c r="AS388" t="str">
        <f t="shared" si="46"/>
        <v>High Claim Ratio</v>
      </c>
      <c r="AT388" t="str">
        <f t="shared" si="47"/>
        <v>High Profit</v>
      </c>
    </row>
    <row r="389" spans="1:46" x14ac:dyDescent="0.2">
      <c r="A389">
        <v>7</v>
      </c>
      <c r="B389">
        <v>21</v>
      </c>
      <c r="C389">
        <v>204294</v>
      </c>
      <c r="D389" s="1">
        <v>33558</v>
      </c>
      <c r="E389" t="s">
        <v>57</v>
      </c>
      <c r="F389" t="s">
        <v>91</v>
      </c>
      <c r="G389">
        <v>1000</v>
      </c>
      <c r="H389">
        <v>1342.72</v>
      </c>
      <c r="I389">
        <v>0</v>
      </c>
      <c r="J389">
        <v>445638</v>
      </c>
      <c r="K389" t="s">
        <v>41</v>
      </c>
      <c r="L389" t="s">
        <v>92</v>
      </c>
      <c r="M389" t="s">
        <v>58</v>
      </c>
      <c r="N389" t="s">
        <v>118</v>
      </c>
      <c r="O389" t="s">
        <v>119</v>
      </c>
      <c r="P389">
        <v>0</v>
      </c>
      <c r="Q389">
        <v>-45300</v>
      </c>
      <c r="R389" s="1">
        <v>42045</v>
      </c>
      <c r="S389" t="s">
        <v>46</v>
      </c>
      <c r="T389" t="s">
        <v>86</v>
      </c>
      <c r="U389" t="s">
        <v>107</v>
      </c>
      <c r="V389" t="s">
        <v>120</v>
      </c>
      <c r="W389" t="s">
        <v>77</v>
      </c>
      <c r="X389" t="s">
        <v>122</v>
      </c>
      <c r="Y389" t="s">
        <v>566</v>
      </c>
      <c r="Z389">
        <v>21</v>
      </c>
      <c r="AA389">
        <v>1</v>
      </c>
      <c r="AB389" t="s">
        <v>62</v>
      </c>
      <c r="AC389">
        <v>1</v>
      </c>
      <c r="AD389">
        <v>2</v>
      </c>
      <c r="AE389" t="s">
        <v>62</v>
      </c>
      <c r="AF389">
        <v>62460</v>
      </c>
      <c r="AG389">
        <v>6940</v>
      </c>
      <c r="AH389">
        <v>6940</v>
      </c>
      <c r="AI389">
        <v>48580</v>
      </c>
      <c r="AJ389" t="s">
        <v>209</v>
      </c>
      <c r="AK389" t="s">
        <v>231</v>
      </c>
      <c r="AL389">
        <v>2003</v>
      </c>
      <c r="AM389" t="s">
        <v>82</v>
      </c>
      <c r="AN389" s="2">
        <f t="shared" si="42"/>
        <v>46.482898222844042</v>
      </c>
      <c r="AO389">
        <f t="shared" si="43"/>
        <v>-61117.279999999999</v>
      </c>
      <c r="AP389" s="2">
        <f t="shared" si="44"/>
        <v>2.1496934086870208E-2</v>
      </c>
      <c r="AQ389" s="2">
        <f t="shared" si="48"/>
        <v>12</v>
      </c>
      <c r="AR389">
        <f t="shared" si="45"/>
        <v>7</v>
      </c>
      <c r="AS389" t="str">
        <f t="shared" si="46"/>
        <v>High Claim Ratio</v>
      </c>
      <c r="AT389" t="str">
        <f t="shared" si="47"/>
        <v>High Profit</v>
      </c>
    </row>
    <row r="390" spans="1:46" x14ac:dyDescent="0.2">
      <c r="A390">
        <v>208</v>
      </c>
      <c r="B390">
        <v>36</v>
      </c>
      <c r="C390">
        <v>467106</v>
      </c>
      <c r="D390" s="1">
        <v>34980</v>
      </c>
      <c r="E390" t="s">
        <v>39</v>
      </c>
      <c r="F390" t="s">
        <v>69</v>
      </c>
      <c r="G390">
        <v>2000</v>
      </c>
      <c r="H390">
        <v>1209.4100000000001</v>
      </c>
      <c r="I390">
        <v>5000000</v>
      </c>
      <c r="J390">
        <v>476185</v>
      </c>
      <c r="K390" t="s">
        <v>41</v>
      </c>
      <c r="L390" t="s">
        <v>161</v>
      </c>
      <c r="M390" t="s">
        <v>58</v>
      </c>
      <c r="N390" t="s">
        <v>106</v>
      </c>
      <c r="O390" t="s">
        <v>119</v>
      </c>
      <c r="P390">
        <v>0</v>
      </c>
      <c r="Q390">
        <v>0</v>
      </c>
      <c r="R390" s="1">
        <v>42051</v>
      </c>
      <c r="S390" t="s">
        <v>75</v>
      </c>
      <c r="T390" t="s">
        <v>47</v>
      </c>
      <c r="U390" t="s">
        <v>107</v>
      </c>
      <c r="V390" t="s">
        <v>120</v>
      </c>
      <c r="W390" t="s">
        <v>77</v>
      </c>
      <c r="X390" t="s">
        <v>51</v>
      </c>
      <c r="Y390" t="s">
        <v>567</v>
      </c>
      <c r="Z390">
        <v>15</v>
      </c>
      <c r="AA390">
        <v>3</v>
      </c>
      <c r="AB390" t="s">
        <v>53</v>
      </c>
      <c r="AC390">
        <v>0</v>
      </c>
      <c r="AD390">
        <v>1</v>
      </c>
      <c r="AE390" t="s">
        <v>62</v>
      </c>
      <c r="AF390">
        <v>62810</v>
      </c>
      <c r="AG390">
        <v>11420</v>
      </c>
      <c r="AH390">
        <v>11420</v>
      </c>
      <c r="AI390">
        <v>39970</v>
      </c>
      <c r="AJ390" t="s">
        <v>104</v>
      </c>
      <c r="AK390" t="s">
        <v>287</v>
      </c>
      <c r="AL390">
        <v>1999</v>
      </c>
      <c r="AM390" t="s">
        <v>82</v>
      </c>
      <c r="AN390" s="2">
        <f t="shared" si="42"/>
        <v>51.891507836187735</v>
      </c>
      <c r="AO390">
        <f t="shared" si="43"/>
        <v>-61600.59</v>
      </c>
      <c r="AP390" s="2">
        <f t="shared" si="44"/>
        <v>1.9254748372100429E-2</v>
      </c>
      <c r="AQ390" s="2">
        <f t="shared" si="48"/>
        <v>16</v>
      </c>
      <c r="AR390">
        <f t="shared" si="45"/>
        <v>208</v>
      </c>
      <c r="AS390" t="str">
        <f t="shared" si="46"/>
        <v>High Claim Ratio</v>
      </c>
      <c r="AT390" t="str">
        <f t="shared" si="47"/>
        <v>High Profit</v>
      </c>
    </row>
    <row r="391" spans="1:46" x14ac:dyDescent="0.2">
      <c r="A391">
        <v>126</v>
      </c>
      <c r="B391">
        <v>33</v>
      </c>
      <c r="C391">
        <v>357713</v>
      </c>
      <c r="D391" s="1">
        <v>39383</v>
      </c>
      <c r="E391" t="s">
        <v>39</v>
      </c>
      <c r="F391" t="s">
        <v>91</v>
      </c>
      <c r="G391">
        <v>1000</v>
      </c>
      <c r="H391">
        <v>1141.71</v>
      </c>
      <c r="I391">
        <v>2000000</v>
      </c>
      <c r="J391">
        <v>435995</v>
      </c>
      <c r="K391" t="s">
        <v>70</v>
      </c>
      <c r="L391" t="s">
        <v>161</v>
      </c>
      <c r="M391" t="s">
        <v>117</v>
      </c>
      <c r="N391" t="s">
        <v>44</v>
      </c>
      <c r="O391" t="s">
        <v>74</v>
      </c>
      <c r="P391">
        <v>36700</v>
      </c>
      <c r="Q391">
        <v>-73400</v>
      </c>
      <c r="R391" s="1">
        <v>42008</v>
      </c>
      <c r="S391" t="s">
        <v>46</v>
      </c>
      <c r="T391" t="s">
        <v>86</v>
      </c>
      <c r="U391" t="s">
        <v>48</v>
      </c>
      <c r="V391" t="s">
        <v>136</v>
      </c>
      <c r="W391" t="s">
        <v>113</v>
      </c>
      <c r="X391" t="s">
        <v>156</v>
      </c>
      <c r="Y391" t="s">
        <v>568</v>
      </c>
      <c r="Z391">
        <v>21</v>
      </c>
      <c r="AA391">
        <v>1</v>
      </c>
      <c r="AB391" t="s">
        <v>53</v>
      </c>
      <c r="AC391">
        <v>1</v>
      </c>
      <c r="AD391">
        <v>2</v>
      </c>
      <c r="AE391" t="s">
        <v>62</v>
      </c>
      <c r="AF391">
        <v>54160</v>
      </c>
      <c r="AG391">
        <v>6770</v>
      </c>
      <c r="AH391">
        <v>6770</v>
      </c>
      <c r="AI391">
        <v>40620</v>
      </c>
      <c r="AJ391" t="s">
        <v>153</v>
      </c>
      <c r="AK391" t="s">
        <v>154</v>
      </c>
      <c r="AL391">
        <v>2009</v>
      </c>
      <c r="AM391" t="s">
        <v>82</v>
      </c>
      <c r="AN391" s="2">
        <f t="shared" si="42"/>
        <v>47.396102248164446</v>
      </c>
      <c r="AO391">
        <f t="shared" si="43"/>
        <v>-53018.29</v>
      </c>
      <c r="AP391" s="2">
        <f t="shared" si="44"/>
        <v>2.1079928361736305E-2</v>
      </c>
      <c r="AQ391" s="2">
        <f t="shared" si="48"/>
        <v>6</v>
      </c>
      <c r="AR391">
        <f t="shared" si="45"/>
        <v>126</v>
      </c>
      <c r="AS391" t="str">
        <f t="shared" si="46"/>
        <v>High Claim Ratio</v>
      </c>
      <c r="AT391" t="str">
        <f t="shared" si="47"/>
        <v>High Profit</v>
      </c>
    </row>
    <row r="392" spans="1:46" x14ac:dyDescent="0.2">
      <c r="A392">
        <v>48</v>
      </c>
      <c r="B392">
        <v>35</v>
      </c>
      <c r="C392">
        <v>890026</v>
      </c>
      <c r="D392" s="1">
        <v>39584</v>
      </c>
      <c r="E392" t="s">
        <v>83</v>
      </c>
      <c r="F392" t="s">
        <v>69</v>
      </c>
      <c r="G392">
        <v>500</v>
      </c>
      <c r="H392">
        <v>1090.03</v>
      </c>
      <c r="I392">
        <v>0</v>
      </c>
      <c r="J392">
        <v>430232</v>
      </c>
      <c r="K392" t="s">
        <v>70</v>
      </c>
      <c r="L392" t="s">
        <v>161</v>
      </c>
      <c r="M392" t="s">
        <v>125</v>
      </c>
      <c r="N392" t="s">
        <v>112</v>
      </c>
      <c r="O392" t="s">
        <v>85</v>
      </c>
      <c r="P392">
        <v>0</v>
      </c>
      <c r="Q392">
        <v>-51000</v>
      </c>
      <c r="R392" s="1">
        <v>42034</v>
      </c>
      <c r="S392" t="s">
        <v>46</v>
      </c>
      <c r="T392" t="s">
        <v>76</v>
      </c>
      <c r="U392" t="s">
        <v>48</v>
      </c>
      <c r="V392" t="s">
        <v>136</v>
      </c>
      <c r="W392" t="s">
        <v>113</v>
      </c>
      <c r="X392" t="s">
        <v>87</v>
      </c>
      <c r="Y392" t="s">
        <v>569</v>
      </c>
      <c r="Z392">
        <v>1</v>
      </c>
      <c r="AA392">
        <v>1</v>
      </c>
      <c r="AB392" t="s">
        <v>53</v>
      </c>
      <c r="AC392">
        <v>0</v>
      </c>
      <c r="AD392">
        <v>2</v>
      </c>
      <c r="AE392" t="s">
        <v>79</v>
      </c>
      <c r="AF392">
        <v>48400</v>
      </c>
      <c r="AG392">
        <v>9680</v>
      </c>
      <c r="AH392">
        <v>4840</v>
      </c>
      <c r="AI392">
        <v>33880</v>
      </c>
      <c r="AJ392" t="s">
        <v>54</v>
      </c>
      <c r="AK392" t="s">
        <v>55</v>
      </c>
      <c r="AL392">
        <v>2005</v>
      </c>
      <c r="AM392" t="s">
        <v>82</v>
      </c>
      <c r="AN392" s="2">
        <f t="shared" si="42"/>
        <v>44.361749906052083</v>
      </c>
      <c r="AO392">
        <f t="shared" si="43"/>
        <v>-47309.97</v>
      </c>
      <c r="AP392" s="2">
        <f t="shared" si="44"/>
        <v>2.252081568562633E-2</v>
      </c>
      <c r="AQ392" s="2">
        <f t="shared" si="48"/>
        <v>10</v>
      </c>
      <c r="AR392">
        <f t="shared" si="45"/>
        <v>48</v>
      </c>
      <c r="AS392" t="str">
        <f t="shared" si="46"/>
        <v>High Claim Ratio</v>
      </c>
      <c r="AT392" t="str">
        <f t="shared" si="47"/>
        <v>High Profit</v>
      </c>
    </row>
    <row r="393" spans="1:46" x14ac:dyDescent="0.2">
      <c r="A393">
        <v>297</v>
      </c>
      <c r="B393">
        <v>48</v>
      </c>
      <c r="C393">
        <v>751612</v>
      </c>
      <c r="D393" s="1">
        <v>39986</v>
      </c>
      <c r="E393" t="s">
        <v>57</v>
      </c>
      <c r="F393" t="s">
        <v>40</v>
      </c>
      <c r="G393">
        <v>1000</v>
      </c>
      <c r="H393">
        <v>1464.73</v>
      </c>
      <c r="I393">
        <v>3000000</v>
      </c>
      <c r="J393">
        <v>443861</v>
      </c>
      <c r="K393" t="s">
        <v>41</v>
      </c>
      <c r="L393" t="s">
        <v>71</v>
      </c>
      <c r="M393" t="s">
        <v>125</v>
      </c>
      <c r="N393" t="s">
        <v>112</v>
      </c>
      <c r="O393" t="s">
        <v>60</v>
      </c>
      <c r="P393">
        <v>54900</v>
      </c>
      <c r="Q393">
        <v>-36700</v>
      </c>
      <c r="R393" s="1">
        <v>42029</v>
      </c>
      <c r="S393" t="s">
        <v>75</v>
      </c>
      <c r="T393" t="s">
        <v>47</v>
      </c>
      <c r="U393" t="s">
        <v>107</v>
      </c>
      <c r="V393" t="s">
        <v>99</v>
      </c>
      <c r="W393" t="s">
        <v>77</v>
      </c>
      <c r="X393" t="s">
        <v>87</v>
      </c>
      <c r="Y393" t="s">
        <v>570</v>
      </c>
      <c r="Z393">
        <v>17</v>
      </c>
      <c r="AA393">
        <v>3</v>
      </c>
      <c r="AB393" t="s">
        <v>62</v>
      </c>
      <c r="AC393">
        <v>0</v>
      </c>
      <c r="AD393">
        <v>0</v>
      </c>
      <c r="AE393" t="s">
        <v>79</v>
      </c>
      <c r="AF393">
        <v>51480</v>
      </c>
      <c r="AG393">
        <v>5720</v>
      </c>
      <c r="AH393">
        <v>5720</v>
      </c>
      <c r="AI393">
        <v>40040</v>
      </c>
      <c r="AJ393" t="s">
        <v>115</v>
      </c>
      <c r="AK393" t="s">
        <v>140</v>
      </c>
      <c r="AL393">
        <v>2013</v>
      </c>
      <c r="AM393" t="s">
        <v>82</v>
      </c>
      <c r="AN393" s="2">
        <f t="shared" si="42"/>
        <v>35.122430461271854</v>
      </c>
      <c r="AO393">
        <f t="shared" si="43"/>
        <v>-50015.27</v>
      </c>
      <c r="AP393" s="2">
        <f t="shared" si="44"/>
        <v>2.8451856024552746E-2</v>
      </c>
      <c r="AQ393" s="2">
        <f t="shared" si="48"/>
        <v>2</v>
      </c>
      <c r="AR393">
        <f t="shared" si="45"/>
        <v>297</v>
      </c>
      <c r="AS393" t="str">
        <f t="shared" si="46"/>
        <v>High Claim Ratio</v>
      </c>
      <c r="AT393" t="str">
        <f t="shared" si="47"/>
        <v>High Profit</v>
      </c>
    </row>
    <row r="394" spans="1:46" x14ac:dyDescent="0.2">
      <c r="A394">
        <v>160</v>
      </c>
      <c r="B394">
        <v>36</v>
      </c>
      <c r="C394">
        <v>876680</v>
      </c>
      <c r="D394" s="1">
        <v>41039</v>
      </c>
      <c r="E394" t="s">
        <v>39</v>
      </c>
      <c r="F394" t="s">
        <v>69</v>
      </c>
      <c r="G394">
        <v>1000</v>
      </c>
      <c r="H394">
        <v>1118.58</v>
      </c>
      <c r="I394">
        <v>0</v>
      </c>
      <c r="J394">
        <v>460801</v>
      </c>
      <c r="K394" t="s">
        <v>70</v>
      </c>
      <c r="L394" t="s">
        <v>131</v>
      </c>
      <c r="M394" t="s">
        <v>101</v>
      </c>
      <c r="N394" t="s">
        <v>73</v>
      </c>
      <c r="O394" t="s">
        <v>45</v>
      </c>
      <c r="P394">
        <v>0</v>
      </c>
      <c r="Q394">
        <v>-36600</v>
      </c>
      <c r="R394" s="1">
        <v>42026</v>
      </c>
      <c r="S394" t="s">
        <v>75</v>
      </c>
      <c r="T394" t="s">
        <v>76</v>
      </c>
      <c r="U394" t="s">
        <v>107</v>
      </c>
      <c r="V394" t="s">
        <v>99</v>
      </c>
      <c r="W394" t="s">
        <v>77</v>
      </c>
      <c r="X394" t="s">
        <v>51</v>
      </c>
      <c r="Y394" t="s">
        <v>571</v>
      </c>
      <c r="Z394">
        <v>5</v>
      </c>
      <c r="AA394">
        <v>3</v>
      </c>
      <c r="AB394" t="s">
        <v>79</v>
      </c>
      <c r="AC394">
        <v>2</v>
      </c>
      <c r="AD394">
        <v>1</v>
      </c>
      <c r="AE394" t="s">
        <v>79</v>
      </c>
      <c r="AF394">
        <v>51700</v>
      </c>
      <c r="AG394">
        <v>5170</v>
      </c>
      <c r="AH394">
        <v>10340</v>
      </c>
      <c r="AI394">
        <v>36190</v>
      </c>
      <c r="AJ394" t="s">
        <v>54</v>
      </c>
      <c r="AK394">
        <v>95</v>
      </c>
      <c r="AL394">
        <v>2003</v>
      </c>
      <c r="AM394" t="s">
        <v>82</v>
      </c>
      <c r="AN394" s="2">
        <f t="shared" si="42"/>
        <v>46.178031047357045</v>
      </c>
      <c r="AO394">
        <f t="shared" si="43"/>
        <v>-50581.42</v>
      </c>
      <c r="AP394" s="2">
        <f t="shared" si="44"/>
        <v>2.1635558306415736E-2</v>
      </c>
      <c r="AQ394" s="2">
        <f t="shared" si="48"/>
        <v>12</v>
      </c>
      <c r="AR394">
        <f t="shared" si="45"/>
        <v>160</v>
      </c>
      <c r="AS394" t="str">
        <f t="shared" si="46"/>
        <v>High Claim Ratio</v>
      </c>
      <c r="AT394" t="str">
        <f t="shared" si="47"/>
        <v>High Profit</v>
      </c>
    </row>
    <row r="395" spans="1:46" x14ac:dyDescent="0.2">
      <c r="A395">
        <v>406</v>
      </c>
      <c r="B395">
        <v>58</v>
      </c>
      <c r="C395">
        <v>756981</v>
      </c>
      <c r="D395" s="1">
        <v>37896</v>
      </c>
      <c r="E395" t="s">
        <v>39</v>
      </c>
      <c r="F395" t="s">
        <v>40</v>
      </c>
      <c r="G395">
        <v>2000</v>
      </c>
      <c r="H395">
        <v>1117.04</v>
      </c>
      <c r="I395">
        <v>0</v>
      </c>
      <c r="J395">
        <v>605121</v>
      </c>
      <c r="K395" t="s">
        <v>41</v>
      </c>
      <c r="L395" t="s">
        <v>42</v>
      </c>
      <c r="M395" t="s">
        <v>125</v>
      </c>
      <c r="N395" t="s">
        <v>181</v>
      </c>
      <c r="O395" t="s">
        <v>74</v>
      </c>
      <c r="P395">
        <v>0</v>
      </c>
      <c r="Q395">
        <v>-42700</v>
      </c>
      <c r="R395" s="1">
        <v>42005</v>
      </c>
      <c r="S395" t="s">
        <v>75</v>
      </c>
      <c r="T395" t="s">
        <v>86</v>
      </c>
      <c r="U395" t="s">
        <v>107</v>
      </c>
      <c r="V395" t="s">
        <v>120</v>
      </c>
      <c r="W395" t="s">
        <v>113</v>
      </c>
      <c r="X395" t="s">
        <v>127</v>
      </c>
      <c r="Y395" t="s">
        <v>572</v>
      </c>
      <c r="Z395">
        <v>15</v>
      </c>
      <c r="AA395">
        <v>3</v>
      </c>
      <c r="AB395" t="s">
        <v>62</v>
      </c>
      <c r="AC395">
        <v>1</v>
      </c>
      <c r="AD395">
        <v>2</v>
      </c>
      <c r="AE395" t="s">
        <v>62</v>
      </c>
      <c r="AF395">
        <v>65520</v>
      </c>
      <c r="AG395">
        <v>10920</v>
      </c>
      <c r="AH395">
        <v>5460</v>
      </c>
      <c r="AI395">
        <v>49140</v>
      </c>
      <c r="AJ395" t="s">
        <v>214</v>
      </c>
      <c r="AK395" t="s">
        <v>258</v>
      </c>
      <c r="AL395">
        <v>2009</v>
      </c>
      <c r="AM395" t="s">
        <v>82</v>
      </c>
      <c r="AN395" s="2">
        <f t="shared" si="42"/>
        <v>58.602554470323071</v>
      </c>
      <c r="AO395">
        <f t="shared" si="43"/>
        <v>-64402.96</v>
      </c>
      <c r="AP395" s="2">
        <f t="shared" si="44"/>
        <v>1.7048579844629964E-2</v>
      </c>
      <c r="AQ395" s="2">
        <f t="shared" si="48"/>
        <v>6</v>
      </c>
      <c r="AR395">
        <f t="shared" si="45"/>
        <v>406</v>
      </c>
      <c r="AS395" t="str">
        <f t="shared" si="46"/>
        <v>High Claim Ratio</v>
      </c>
      <c r="AT395" t="str">
        <f t="shared" si="47"/>
        <v>High Profit</v>
      </c>
    </row>
    <row r="396" spans="1:46" x14ac:dyDescent="0.2">
      <c r="A396">
        <v>157</v>
      </c>
      <c r="B396">
        <v>31</v>
      </c>
      <c r="C396">
        <v>121439</v>
      </c>
      <c r="D396" s="1">
        <v>33087</v>
      </c>
      <c r="E396" t="s">
        <v>57</v>
      </c>
      <c r="F396" t="s">
        <v>91</v>
      </c>
      <c r="G396">
        <v>500</v>
      </c>
      <c r="H396">
        <v>1257.83</v>
      </c>
      <c r="I396">
        <v>7000000</v>
      </c>
      <c r="J396">
        <v>458622</v>
      </c>
      <c r="K396" t="s">
        <v>41</v>
      </c>
      <c r="L396" t="s">
        <v>131</v>
      </c>
      <c r="M396" t="s">
        <v>189</v>
      </c>
      <c r="N396" t="s">
        <v>59</v>
      </c>
      <c r="O396" t="s">
        <v>74</v>
      </c>
      <c r="P396">
        <v>40700</v>
      </c>
      <c r="Q396">
        <v>-41600</v>
      </c>
      <c r="R396" s="1">
        <v>42049</v>
      </c>
      <c r="S396" t="s">
        <v>75</v>
      </c>
      <c r="T396" t="s">
        <v>76</v>
      </c>
      <c r="U396" t="s">
        <v>48</v>
      </c>
      <c r="V396" t="s">
        <v>120</v>
      </c>
      <c r="W396" t="s">
        <v>39</v>
      </c>
      <c r="X396" t="s">
        <v>87</v>
      </c>
      <c r="Y396" t="s">
        <v>573</v>
      </c>
      <c r="Z396">
        <v>2</v>
      </c>
      <c r="AA396">
        <v>4</v>
      </c>
      <c r="AB396" t="s">
        <v>79</v>
      </c>
      <c r="AC396">
        <v>2</v>
      </c>
      <c r="AD396">
        <v>2</v>
      </c>
      <c r="AE396" t="s">
        <v>79</v>
      </c>
      <c r="AF396">
        <v>47700</v>
      </c>
      <c r="AG396">
        <v>4770</v>
      </c>
      <c r="AH396">
        <v>9540</v>
      </c>
      <c r="AI396">
        <v>33390</v>
      </c>
      <c r="AJ396" t="s">
        <v>95</v>
      </c>
      <c r="AK396" t="s">
        <v>158</v>
      </c>
      <c r="AL396">
        <v>2011</v>
      </c>
      <c r="AM396" t="s">
        <v>56</v>
      </c>
      <c r="AN396" s="2">
        <f t="shared" si="42"/>
        <v>37.892328590834346</v>
      </c>
      <c r="AO396">
        <f t="shared" si="43"/>
        <v>-46442.17</v>
      </c>
      <c r="AP396" s="2">
        <f t="shared" si="44"/>
        <v>2.6369048866900065E-2</v>
      </c>
      <c r="AQ396" s="2">
        <f t="shared" si="48"/>
        <v>4</v>
      </c>
      <c r="AR396">
        <f t="shared" si="45"/>
        <v>157</v>
      </c>
      <c r="AS396" t="str">
        <f t="shared" si="46"/>
        <v>High Claim Ratio</v>
      </c>
      <c r="AT396" t="str">
        <f t="shared" si="47"/>
        <v>High Profit</v>
      </c>
    </row>
    <row r="397" spans="1:46" x14ac:dyDescent="0.2">
      <c r="A397">
        <v>146</v>
      </c>
      <c r="B397">
        <v>31</v>
      </c>
      <c r="C397">
        <v>411289</v>
      </c>
      <c r="D397" s="1">
        <v>35689</v>
      </c>
      <c r="E397" t="s">
        <v>39</v>
      </c>
      <c r="F397" t="s">
        <v>40</v>
      </c>
      <c r="G397">
        <v>2000</v>
      </c>
      <c r="H397">
        <v>1082.72</v>
      </c>
      <c r="I397">
        <v>0</v>
      </c>
      <c r="J397">
        <v>478661</v>
      </c>
      <c r="K397" t="s">
        <v>70</v>
      </c>
      <c r="L397" t="s">
        <v>71</v>
      </c>
      <c r="M397" t="s">
        <v>58</v>
      </c>
      <c r="N397" t="s">
        <v>181</v>
      </c>
      <c r="O397" t="s">
        <v>142</v>
      </c>
      <c r="P397">
        <v>61400</v>
      </c>
      <c r="Q397">
        <v>-57500</v>
      </c>
      <c r="R397" s="1">
        <v>42019</v>
      </c>
      <c r="S397" t="s">
        <v>61</v>
      </c>
      <c r="T397" t="s">
        <v>62</v>
      </c>
      <c r="U397" t="s">
        <v>63</v>
      </c>
      <c r="V397" t="s">
        <v>93</v>
      </c>
      <c r="W397" t="s">
        <v>50</v>
      </c>
      <c r="X397" t="s">
        <v>127</v>
      </c>
      <c r="Y397" t="s">
        <v>574</v>
      </c>
      <c r="Z397">
        <v>3</v>
      </c>
      <c r="AA397">
        <v>1</v>
      </c>
      <c r="AB397" t="s">
        <v>53</v>
      </c>
      <c r="AC397">
        <v>2</v>
      </c>
      <c r="AD397">
        <v>0</v>
      </c>
      <c r="AE397" t="s">
        <v>79</v>
      </c>
      <c r="AF397">
        <v>5220</v>
      </c>
      <c r="AG397">
        <v>580</v>
      </c>
      <c r="AH397">
        <v>580</v>
      </c>
      <c r="AI397">
        <v>4060</v>
      </c>
      <c r="AJ397" t="s">
        <v>95</v>
      </c>
      <c r="AK397" t="s">
        <v>148</v>
      </c>
      <c r="AL397">
        <v>2015</v>
      </c>
      <c r="AM397" t="s">
        <v>82</v>
      </c>
      <c r="AN397" s="2">
        <f t="shared" si="42"/>
        <v>4.8167423319676672</v>
      </c>
      <c r="AO397">
        <f t="shared" si="43"/>
        <v>-4137.28</v>
      </c>
      <c r="AP397" s="2">
        <f t="shared" si="44"/>
        <v>0.2073778969546064</v>
      </c>
      <c r="AQ397" s="2">
        <f t="shared" si="48"/>
        <v>0</v>
      </c>
      <c r="AR397">
        <f t="shared" si="45"/>
        <v>146</v>
      </c>
      <c r="AS397" t="str">
        <f t="shared" si="46"/>
        <v>Low Claim Ratio</v>
      </c>
      <c r="AT397" t="str">
        <f t="shared" si="47"/>
        <v>Low Profit</v>
      </c>
    </row>
    <row r="398" spans="1:46" x14ac:dyDescent="0.2">
      <c r="A398">
        <v>409</v>
      </c>
      <c r="B398">
        <v>57</v>
      </c>
      <c r="C398">
        <v>538466</v>
      </c>
      <c r="D398" s="1">
        <v>34909</v>
      </c>
      <c r="E398" t="s">
        <v>57</v>
      </c>
      <c r="F398" t="s">
        <v>69</v>
      </c>
      <c r="G398">
        <v>1000</v>
      </c>
      <c r="H398">
        <v>1191.8</v>
      </c>
      <c r="I398">
        <v>6000000</v>
      </c>
      <c r="J398">
        <v>435299</v>
      </c>
      <c r="K398" t="s">
        <v>41</v>
      </c>
      <c r="L398" t="s">
        <v>131</v>
      </c>
      <c r="M398" t="s">
        <v>135</v>
      </c>
      <c r="N398" t="s">
        <v>264</v>
      </c>
      <c r="O398" t="s">
        <v>85</v>
      </c>
      <c r="P398">
        <v>55600</v>
      </c>
      <c r="Q398">
        <v>0</v>
      </c>
      <c r="R398" s="1">
        <v>42010</v>
      </c>
      <c r="S398" t="s">
        <v>46</v>
      </c>
      <c r="T398" t="s">
        <v>47</v>
      </c>
      <c r="U398" t="s">
        <v>48</v>
      </c>
      <c r="V398" t="s">
        <v>120</v>
      </c>
      <c r="W398" t="s">
        <v>77</v>
      </c>
      <c r="X398" t="s">
        <v>65</v>
      </c>
      <c r="Y398" t="s">
        <v>575</v>
      </c>
      <c r="Z398">
        <v>19</v>
      </c>
      <c r="AA398">
        <v>1</v>
      </c>
      <c r="AB398" t="s">
        <v>79</v>
      </c>
      <c r="AC398">
        <v>1</v>
      </c>
      <c r="AD398">
        <v>0</v>
      </c>
      <c r="AE398" t="s">
        <v>62</v>
      </c>
      <c r="AF398">
        <v>73320</v>
      </c>
      <c r="AG398">
        <v>6110</v>
      </c>
      <c r="AH398">
        <v>12220</v>
      </c>
      <c r="AI398">
        <v>54990</v>
      </c>
      <c r="AJ398" t="s">
        <v>129</v>
      </c>
      <c r="AK398" t="s">
        <v>249</v>
      </c>
      <c r="AL398">
        <v>2012</v>
      </c>
      <c r="AM398" t="s">
        <v>82</v>
      </c>
      <c r="AN398" s="2">
        <f t="shared" si="42"/>
        <v>61.468812877263581</v>
      </c>
      <c r="AO398">
        <f t="shared" si="43"/>
        <v>-72128.2</v>
      </c>
      <c r="AP398" s="2">
        <f t="shared" si="44"/>
        <v>1.6254551901910774E-2</v>
      </c>
      <c r="AQ398" s="2">
        <f t="shared" si="48"/>
        <v>3</v>
      </c>
      <c r="AR398">
        <f t="shared" si="45"/>
        <v>409</v>
      </c>
      <c r="AS398" t="str">
        <f t="shared" si="46"/>
        <v>High Claim Ratio</v>
      </c>
      <c r="AT398" t="str">
        <f t="shared" si="47"/>
        <v>High Profit</v>
      </c>
    </row>
    <row r="399" spans="1:46" x14ac:dyDescent="0.2">
      <c r="A399">
        <v>252</v>
      </c>
      <c r="B399">
        <v>46</v>
      </c>
      <c r="C399">
        <v>932097</v>
      </c>
      <c r="D399" s="1">
        <v>38601</v>
      </c>
      <c r="E399" t="s">
        <v>57</v>
      </c>
      <c r="F399" t="s">
        <v>69</v>
      </c>
      <c r="G399">
        <v>1000</v>
      </c>
      <c r="H399">
        <v>1242.02</v>
      </c>
      <c r="I399">
        <v>0</v>
      </c>
      <c r="J399">
        <v>601961</v>
      </c>
      <c r="K399" t="s">
        <v>41</v>
      </c>
      <c r="L399" t="s">
        <v>124</v>
      </c>
      <c r="M399" t="s">
        <v>185</v>
      </c>
      <c r="N399" t="s">
        <v>126</v>
      </c>
      <c r="O399" t="s">
        <v>119</v>
      </c>
      <c r="P399">
        <v>0</v>
      </c>
      <c r="Q399">
        <v>-28800</v>
      </c>
      <c r="R399" s="1">
        <v>42043</v>
      </c>
      <c r="S399" t="s">
        <v>46</v>
      </c>
      <c r="T399" t="s">
        <v>86</v>
      </c>
      <c r="U399" t="s">
        <v>63</v>
      </c>
      <c r="V399" t="s">
        <v>99</v>
      </c>
      <c r="W399" t="s">
        <v>64</v>
      </c>
      <c r="X399" t="s">
        <v>122</v>
      </c>
      <c r="Y399" t="s">
        <v>576</v>
      </c>
      <c r="Z399">
        <v>17</v>
      </c>
      <c r="AA399">
        <v>1</v>
      </c>
      <c r="AB399" t="s">
        <v>53</v>
      </c>
      <c r="AC399">
        <v>0</v>
      </c>
      <c r="AD399">
        <v>2</v>
      </c>
      <c r="AE399" t="s">
        <v>53</v>
      </c>
      <c r="AF399">
        <v>74900</v>
      </c>
      <c r="AG399">
        <v>14980</v>
      </c>
      <c r="AH399">
        <v>7490</v>
      </c>
      <c r="AI399">
        <v>52430</v>
      </c>
      <c r="AJ399" t="s">
        <v>197</v>
      </c>
      <c r="AK399" t="s">
        <v>375</v>
      </c>
      <c r="AL399">
        <v>2003</v>
      </c>
      <c r="AM399" t="s">
        <v>82</v>
      </c>
      <c r="AN399" s="2">
        <f t="shared" si="42"/>
        <v>60.256472140432173</v>
      </c>
      <c r="AO399">
        <f t="shared" si="43"/>
        <v>-73657.98</v>
      </c>
      <c r="AP399" s="2">
        <f t="shared" si="44"/>
        <v>1.6582155111413734E-2</v>
      </c>
      <c r="AQ399" s="2">
        <f t="shared" si="48"/>
        <v>12</v>
      </c>
      <c r="AR399">
        <f t="shared" si="45"/>
        <v>252</v>
      </c>
      <c r="AS399" t="str">
        <f t="shared" si="46"/>
        <v>High Claim Ratio</v>
      </c>
      <c r="AT399" t="str">
        <f t="shared" si="47"/>
        <v>High Profit</v>
      </c>
    </row>
    <row r="400" spans="1:46" x14ac:dyDescent="0.2">
      <c r="A400">
        <v>6</v>
      </c>
      <c r="B400">
        <v>27</v>
      </c>
      <c r="C400">
        <v>463727</v>
      </c>
      <c r="D400" s="1">
        <v>33821</v>
      </c>
      <c r="E400" t="s">
        <v>39</v>
      </c>
      <c r="F400" t="s">
        <v>40</v>
      </c>
      <c r="G400">
        <v>500</v>
      </c>
      <c r="H400">
        <v>1075.71</v>
      </c>
      <c r="I400">
        <v>0</v>
      </c>
      <c r="J400">
        <v>604328</v>
      </c>
      <c r="K400" t="s">
        <v>70</v>
      </c>
      <c r="L400" t="s">
        <v>131</v>
      </c>
      <c r="M400" t="s">
        <v>101</v>
      </c>
      <c r="N400" t="s">
        <v>126</v>
      </c>
      <c r="O400" t="s">
        <v>85</v>
      </c>
      <c r="P400">
        <v>0</v>
      </c>
      <c r="Q400">
        <v>-47400</v>
      </c>
      <c r="R400" s="1">
        <v>42052</v>
      </c>
      <c r="S400" t="s">
        <v>61</v>
      </c>
      <c r="T400" t="s">
        <v>62</v>
      </c>
      <c r="U400" t="s">
        <v>212</v>
      </c>
      <c r="V400" t="s">
        <v>49</v>
      </c>
      <c r="W400" t="s">
        <v>113</v>
      </c>
      <c r="X400" t="s">
        <v>51</v>
      </c>
      <c r="Y400" t="s">
        <v>577</v>
      </c>
      <c r="Z400">
        <v>7</v>
      </c>
      <c r="AA400">
        <v>1</v>
      </c>
      <c r="AB400" t="s">
        <v>62</v>
      </c>
      <c r="AC400">
        <v>0</v>
      </c>
      <c r="AD400">
        <v>1</v>
      </c>
      <c r="AE400" t="s">
        <v>53</v>
      </c>
      <c r="AF400">
        <v>3190</v>
      </c>
      <c r="AG400">
        <v>580</v>
      </c>
      <c r="AH400">
        <v>290</v>
      </c>
      <c r="AI400">
        <v>2320</v>
      </c>
      <c r="AJ400" t="s">
        <v>54</v>
      </c>
      <c r="AK400">
        <v>95</v>
      </c>
      <c r="AL400">
        <v>2015</v>
      </c>
      <c r="AM400" t="s">
        <v>82</v>
      </c>
      <c r="AN400" s="2">
        <f t="shared" si="42"/>
        <v>2.9627290542485905</v>
      </c>
      <c r="AO400">
        <f t="shared" si="43"/>
        <v>-2114.29</v>
      </c>
      <c r="AP400" s="2">
        <f t="shared" si="44"/>
        <v>0.33710748981510502</v>
      </c>
      <c r="AQ400" s="2">
        <f t="shared" si="48"/>
        <v>0</v>
      </c>
      <c r="AR400">
        <f t="shared" si="45"/>
        <v>6</v>
      </c>
      <c r="AS400" t="str">
        <f t="shared" si="46"/>
        <v>Low Claim Ratio</v>
      </c>
      <c r="AT400" t="str">
        <f t="shared" si="47"/>
        <v>Low Profit</v>
      </c>
    </row>
    <row r="401" spans="1:46" x14ac:dyDescent="0.2">
      <c r="A401">
        <v>103</v>
      </c>
      <c r="B401">
        <v>33</v>
      </c>
      <c r="C401">
        <v>552618</v>
      </c>
      <c r="D401" s="1">
        <v>33991</v>
      </c>
      <c r="E401" t="s">
        <v>57</v>
      </c>
      <c r="F401" t="s">
        <v>69</v>
      </c>
      <c r="G401">
        <v>1000</v>
      </c>
      <c r="H401">
        <v>969.88</v>
      </c>
      <c r="I401">
        <v>6000000</v>
      </c>
      <c r="J401">
        <v>614385</v>
      </c>
      <c r="K401" t="s">
        <v>41</v>
      </c>
      <c r="L401" t="s">
        <v>42</v>
      </c>
      <c r="M401" t="s">
        <v>84</v>
      </c>
      <c r="N401" t="s">
        <v>264</v>
      </c>
      <c r="O401" t="s">
        <v>74</v>
      </c>
      <c r="P401">
        <v>0</v>
      </c>
      <c r="Q401">
        <v>0</v>
      </c>
      <c r="R401" s="1">
        <v>42025</v>
      </c>
      <c r="S401" t="s">
        <v>46</v>
      </c>
      <c r="T401" t="s">
        <v>76</v>
      </c>
      <c r="U401" t="s">
        <v>63</v>
      </c>
      <c r="V401" t="s">
        <v>136</v>
      </c>
      <c r="W401" t="s">
        <v>77</v>
      </c>
      <c r="X401" t="s">
        <v>51</v>
      </c>
      <c r="Y401" t="s">
        <v>578</v>
      </c>
      <c r="Z401">
        <v>21</v>
      </c>
      <c r="AA401">
        <v>1</v>
      </c>
      <c r="AB401" t="s">
        <v>79</v>
      </c>
      <c r="AC401">
        <v>1</v>
      </c>
      <c r="AD401">
        <v>0</v>
      </c>
      <c r="AE401" t="s">
        <v>53</v>
      </c>
      <c r="AF401">
        <v>76920</v>
      </c>
      <c r="AG401">
        <v>12820</v>
      </c>
      <c r="AH401">
        <v>6410</v>
      </c>
      <c r="AI401">
        <v>57690</v>
      </c>
      <c r="AJ401" t="s">
        <v>89</v>
      </c>
      <c r="AK401" t="s">
        <v>245</v>
      </c>
      <c r="AL401">
        <v>2002</v>
      </c>
      <c r="AM401" t="s">
        <v>82</v>
      </c>
      <c r="AN401" s="2">
        <f t="shared" si="42"/>
        <v>79.22709294660514</v>
      </c>
      <c r="AO401">
        <f t="shared" si="43"/>
        <v>-75950.12</v>
      </c>
      <c r="AP401" s="2">
        <f t="shared" si="44"/>
        <v>1.2608780437071801E-2</v>
      </c>
      <c r="AQ401" s="2">
        <f t="shared" si="48"/>
        <v>13</v>
      </c>
      <c r="AR401">
        <f t="shared" si="45"/>
        <v>103</v>
      </c>
      <c r="AS401" t="str">
        <f t="shared" si="46"/>
        <v>High Claim Ratio</v>
      </c>
      <c r="AT401" t="str">
        <f t="shared" si="47"/>
        <v>High Profit</v>
      </c>
    </row>
    <row r="402" spans="1:46" x14ac:dyDescent="0.2">
      <c r="A402">
        <v>369</v>
      </c>
      <c r="B402">
        <v>53</v>
      </c>
      <c r="C402">
        <v>936638</v>
      </c>
      <c r="D402" s="1">
        <v>34839</v>
      </c>
      <c r="E402" t="s">
        <v>39</v>
      </c>
      <c r="F402" t="s">
        <v>40</v>
      </c>
      <c r="G402">
        <v>2000</v>
      </c>
      <c r="H402">
        <v>1459.93</v>
      </c>
      <c r="I402">
        <v>0</v>
      </c>
      <c r="J402">
        <v>438584</v>
      </c>
      <c r="K402" t="s">
        <v>70</v>
      </c>
      <c r="L402" t="s">
        <v>124</v>
      </c>
      <c r="M402" t="s">
        <v>117</v>
      </c>
      <c r="N402" t="s">
        <v>181</v>
      </c>
      <c r="O402" t="s">
        <v>142</v>
      </c>
      <c r="P402">
        <v>0</v>
      </c>
      <c r="Q402">
        <v>0</v>
      </c>
      <c r="R402" s="1">
        <v>42044</v>
      </c>
      <c r="S402" t="s">
        <v>75</v>
      </c>
      <c r="T402" t="s">
        <v>86</v>
      </c>
      <c r="U402" t="s">
        <v>107</v>
      </c>
      <c r="V402" t="s">
        <v>49</v>
      </c>
      <c r="W402" t="s">
        <v>113</v>
      </c>
      <c r="X402" t="s">
        <v>102</v>
      </c>
      <c r="Y402" t="s">
        <v>579</v>
      </c>
      <c r="Z402">
        <v>10</v>
      </c>
      <c r="AA402">
        <v>2</v>
      </c>
      <c r="AB402" t="s">
        <v>53</v>
      </c>
      <c r="AC402">
        <v>1</v>
      </c>
      <c r="AD402">
        <v>3</v>
      </c>
      <c r="AE402" t="s">
        <v>79</v>
      </c>
      <c r="AF402">
        <v>77990</v>
      </c>
      <c r="AG402">
        <v>7090</v>
      </c>
      <c r="AH402">
        <v>14180</v>
      </c>
      <c r="AI402">
        <v>56720</v>
      </c>
      <c r="AJ402" t="s">
        <v>197</v>
      </c>
      <c r="AK402" t="s">
        <v>198</v>
      </c>
      <c r="AL402">
        <v>2012</v>
      </c>
      <c r="AM402" t="s">
        <v>82</v>
      </c>
      <c r="AN402" s="2">
        <f t="shared" si="42"/>
        <v>53.383803467654161</v>
      </c>
      <c r="AO402">
        <f t="shared" si="43"/>
        <v>-76530.070000000007</v>
      </c>
      <c r="AP402" s="2">
        <f t="shared" si="44"/>
        <v>1.8719211191034864E-2</v>
      </c>
      <c r="AQ402" s="2">
        <f t="shared" si="48"/>
        <v>3</v>
      </c>
      <c r="AR402">
        <f t="shared" si="45"/>
        <v>369</v>
      </c>
      <c r="AS402" t="str">
        <f t="shared" si="46"/>
        <v>High Claim Ratio</v>
      </c>
      <c r="AT402" t="str">
        <f t="shared" si="47"/>
        <v>High Profit</v>
      </c>
    </row>
    <row r="403" spans="1:46" x14ac:dyDescent="0.2">
      <c r="A403">
        <v>261</v>
      </c>
      <c r="B403">
        <v>46</v>
      </c>
      <c r="C403">
        <v>348814</v>
      </c>
      <c r="D403" s="1">
        <v>33871</v>
      </c>
      <c r="E403" t="s">
        <v>83</v>
      </c>
      <c r="F403" t="s">
        <v>91</v>
      </c>
      <c r="G403">
        <v>1000</v>
      </c>
      <c r="H403">
        <v>1245.6099999999999</v>
      </c>
      <c r="I403">
        <v>0</v>
      </c>
      <c r="J403">
        <v>478703</v>
      </c>
      <c r="K403" t="s">
        <v>41</v>
      </c>
      <c r="L403" t="s">
        <v>42</v>
      </c>
      <c r="M403" t="s">
        <v>145</v>
      </c>
      <c r="N403" t="s">
        <v>106</v>
      </c>
      <c r="O403" t="s">
        <v>74</v>
      </c>
      <c r="P403">
        <v>0</v>
      </c>
      <c r="Q403">
        <v>0</v>
      </c>
      <c r="R403" s="1">
        <v>42047</v>
      </c>
      <c r="S403" t="s">
        <v>46</v>
      </c>
      <c r="T403" t="s">
        <v>86</v>
      </c>
      <c r="U403" t="s">
        <v>107</v>
      </c>
      <c r="V403" t="s">
        <v>99</v>
      </c>
      <c r="W403" t="s">
        <v>77</v>
      </c>
      <c r="X403" t="s">
        <v>51</v>
      </c>
      <c r="Y403" t="s">
        <v>580</v>
      </c>
      <c r="Z403">
        <v>11</v>
      </c>
      <c r="AA403">
        <v>1</v>
      </c>
      <c r="AB403" t="s">
        <v>53</v>
      </c>
      <c r="AC403">
        <v>1</v>
      </c>
      <c r="AD403">
        <v>0</v>
      </c>
      <c r="AE403" t="s">
        <v>62</v>
      </c>
      <c r="AF403">
        <v>59670</v>
      </c>
      <c r="AG403">
        <v>9180</v>
      </c>
      <c r="AH403">
        <v>9180</v>
      </c>
      <c r="AI403">
        <v>41310</v>
      </c>
      <c r="AJ403" t="s">
        <v>129</v>
      </c>
      <c r="AK403" t="s">
        <v>172</v>
      </c>
      <c r="AL403">
        <v>2008</v>
      </c>
      <c r="AM403" t="s">
        <v>82</v>
      </c>
      <c r="AN403" s="2">
        <f t="shared" si="42"/>
        <v>47.865812082367384</v>
      </c>
      <c r="AO403">
        <f t="shared" si="43"/>
        <v>-58424.39</v>
      </c>
      <c r="AP403" s="2">
        <f t="shared" si="44"/>
        <v>2.0874629216872515E-2</v>
      </c>
      <c r="AQ403" s="2">
        <f t="shared" si="48"/>
        <v>7</v>
      </c>
      <c r="AR403">
        <f t="shared" si="45"/>
        <v>261</v>
      </c>
      <c r="AS403" t="str">
        <f t="shared" si="46"/>
        <v>High Claim Ratio</v>
      </c>
      <c r="AT403" t="str">
        <f t="shared" si="47"/>
        <v>High Profit</v>
      </c>
    </row>
    <row r="404" spans="1:46" x14ac:dyDescent="0.2">
      <c r="A404">
        <v>159</v>
      </c>
      <c r="B404">
        <v>33</v>
      </c>
      <c r="C404">
        <v>944102</v>
      </c>
      <c r="D404" s="1">
        <v>39283</v>
      </c>
      <c r="E404" t="s">
        <v>57</v>
      </c>
      <c r="F404" t="s">
        <v>69</v>
      </c>
      <c r="G404">
        <v>2000</v>
      </c>
      <c r="H404">
        <v>1462.76</v>
      </c>
      <c r="I404">
        <v>0</v>
      </c>
      <c r="J404">
        <v>615683</v>
      </c>
      <c r="K404" t="s">
        <v>70</v>
      </c>
      <c r="L404" t="s">
        <v>141</v>
      </c>
      <c r="M404" t="s">
        <v>43</v>
      </c>
      <c r="N404" t="s">
        <v>132</v>
      </c>
      <c r="O404" t="s">
        <v>45</v>
      </c>
      <c r="P404">
        <v>69200</v>
      </c>
      <c r="Q404">
        <v>-36900</v>
      </c>
      <c r="R404" s="1">
        <v>42059</v>
      </c>
      <c r="S404" t="s">
        <v>75</v>
      </c>
      <c r="T404" t="s">
        <v>76</v>
      </c>
      <c r="U404" t="s">
        <v>48</v>
      </c>
      <c r="V404" t="s">
        <v>136</v>
      </c>
      <c r="W404" t="s">
        <v>77</v>
      </c>
      <c r="X404" t="s">
        <v>51</v>
      </c>
      <c r="Y404" t="s">
        <v>581</v>
      </c>
      <c r="Z404">
        <v>23</v>
      </c>
      <c r="AA404">
        <v>3</v>
      </c>
      <c r="AB404" t="s">
        <v>53</v>
      </c>
      <c r="AC404">
        <v>2</v>
      </c>
      <c r="AD404">
        <v>0</v>
      </c>
      <c r="AE404" t="s">
        <v>79</v>
      </c>
      <c r="AF404">
        <v>44880</v>
      </c>
      <c r="AG404">
        <v>8160</v>
      </c>
      <c r="AH404">
        <v>4080</v>
      </c>
      <c r="AI404">
        <v>32640</v>
      </c>
      <c r="AJ404" t="s">
        <v>67</v>
      </c>
      <c r="AK404" t="s">
        <v>193</v>
      </c>
      <c r="AL404">
        <v>2004</v>
      </c>
      <c r="AM404" t="s">
        <v>56</v>
      </c>
      <c r="AN404" s="2">
        <f t="shared" si="42"/>
        <v>30.660764059681917</v>
      </c>
      <c r="AO404">
        <f t="shared" si="43"/>
        <v>-43417.24</v>
      </c>
      <c r="AP404" s="2">
        <f t="shared" si="44"/>
        <v>3.2591965419665338E-2</v>
      </c>
      <c r="AQ404" s="2">
        <f t="shared" si="48"/>
        <v>11</v>
      </c>
      <c r="AR404">
        <f t="shared" si="45"/>
        <v>159</v>
      </c>
      <c r="AS404" t="str">
        <f t="shared" si="46"/>
        <v>High Claim Ratio</v>
      </c>
      <c r="AT404" t="str">
        <f t="shared" si="47"/>
        <v>High Profit</v>
      </c>
    </row>
    <row r="405" spans="1:46" x14ac:dyDescent="0.2">
      <c r="A405">
        <v>344</v>
      </c>
      <c r="B405">
        <v>51</v>
      </c>
      <c r="C405">
        <v>689901</v>
      </c>
      <c r="D405" s="1">
        <v>33722</v>
      </c>
      <c r="E405" t="s">
        <v>57</v>
      </c>
      <c r="F405" t="s">
        <v>69</v>
      </c>
      <c r="G405">
        <v>2000</v>
      </c>
      <c r="H405">
        <v>1398.46</v>
      </c>
      <c r="I405">
        <v>0</v>
      </c>
      <c r="J405">
        <v>455672</v>
      </c>
      <c r="K405" t="s">
        <v>41</v>
      </c>
      <c r="L405" t="s">
        <v>92</v>
      </c>
      <c r="M405" t="s">
        <v>72</v>
      </c>
      <c r="N405" t="s">
        <v>132</v>
      </c>
      <c r="O405" t="s">
        <v>60</v>
      </c>
      <c r="P405">
        <v>0</v>
      </c>
      <c r="Q405">
        <v>0</v>
      </c>
      <c r="R405" s="1">
        <v>42037</v>
      </c>
      <c r="S405" t="s">
        <v>46</v>
      </c>
      <c r="T405" t="s">
        <v>47</v>
      </c>
      <c r="U405" t="s">
        <v>63</v>
      </c>
      <c r="V405" t="s">
        <v>136</v>
      </c>
      <c r="W405" t="s">
        <v>121</v>
      </c>
      <c r="X405" t="s">
        <v>127</v>
      </c>
      <c r="Y405" t="s">
        <v>582</v>
      </c>
      <c r="Z405">
        <v>14</v>
      </c>
      <c r="AA405">
        <v>1</v>
      </c>
      <c r="AB405" t="s">
        <v>62</v>
      </c>
      <c r="AC405">
        <v>0</v>
      </c>
      <c r="AD405">
        <v>2</v>
      </c>
      <c r="AE405" t="s">
        <v>79</v>
      </c>
      <c r="AF405">
        <v>82830</v>
      </c>
      <c r="AG405">
        <v>7530</v>
      </c>
      <c r="AH405">
        <v>15060</v>
      </c>
      <c r="AI405">
        <v>60240</v>
      </c>
      <c r="AJ405" t="s">
        <v>109</v>
      </c>
      <c r="AK405" t="s">
        <v>110</v>
      </c>
      <c r="AL405">
        <v>2004</v>
      </c>
      <c r="AM405" t="s">
        <v>82</v>
      </c>
      <c r="AN405" s="2">
        <f t="shared" si="42"/>
        <v>59.187115030083028</v>
      </c>
      <c r="AO405">
        <f t="shared" si="43"/>
        <v>-81431.539999999994</v>
      </c>
      <c r="AP405" s="2">
        <f t="shared" si="44"/>
        <v>1.6883292487112313E-2</v>
      </c>
      <c r="AQ405" s="2">
        <f t="shared" si="48"/>
        <v>11</v>
      </c>
      <c r="AR405">
        <f t="shared" si="45"/>
        <v>344</v>
      </c>
      <c r="AS405" t="str">
        <f t="shared" si="46"/>
        <v>High Claim Ratio</v>
      </c>
      <c r="AT405" t="str">
        <f t="shared" si="47"/>
        <v>High Profit</v>
      </c>
    </row>
    <row r="406" spans="1:46" x14ac:dyDescent="0.2">
      <c r="A406">
        <v>437</v>
      </c>
      <c r="B406">
        <v>60</v>
      </c>
      <c r="C406">
        <v>901083</v>
      </c>
      <c r="D406" s="1">
        <v>35814</v>
      </c>
      <c r="E406" t="s">
        <v>39</v>
      </c>
      <c r="F406" t="s">
        <v>91</v>
      </c>
      <c r="G406">
        <v>1000</v>
      </c>
      <c r="H406">
        <v>1269.6400000000001</v>
      </c>
      <c r="I406">
        <v>0</v>
      </c>
      <c r="J406">
        <v>602942</v>
      </c>
      <c r="K406" t="s">
        <v>70</v>
      </c>
      <c r="L406" t="s">
        <v>141</v>
      </c>
      <c r="M406" t="s">
        <v>84</v>
      </c>
      <c r="N406" t="s">
        <v>242</v>
      </c>
      <c r="O406" t="s">
        <v>85</v>
      </c>
      <c r="P406">
        <v>48800</v>
      </c>
      <c r="Q406">
        <v>0</v>
      </c>
      <c r="R406" s="1">
        <v>42049</v>
      </c>
      <c r="S406" t="s">
        <v>46</v>
      </c>
      <c r="T406" t="s">
        <v>86</v>
      </c>
      <c r="U406" t="s">
        <v>63</v>
      </c>
      <c r="V406" t="s">
        <v>120</v>
      </c>
      <c r="W406" t="s">
        <v>50</v>
      </c>
      <c r="X406" t="s">
        <v>65</v>
      </c>
      <c r="Y406" t="s">
        <v>583</v>
      </c>
      <c r="Z406">
        <v>10</v>
      </c>
      <c r="AA406">
        <v>1</v>
      </c>
      <c r="AB406" t="s">
        <v>79</v>
      </c>
      <c r="AC406">
        <v>1</v>
      </c>
      <c r="AD406">
        <v>3</v>
      </c>
      <c r="AE406" t="s">
        <v>79</v>
      </c>
      <c r="AF406">
        <v>84480</v>
      </c>
      <c r="AG406">
        <v>7680</v>
      </c>
      <c r="AH406">
        <v>15360</v>
      </c>
      <c r="AI406">
        <v>61440</v>
      </c>
      <c r="AJ406" t="s">
        <v>89</v>
      </c>
      <c r="AK406" t="s">
        <v>223</v>
      </c>
      <c r="AL406">
        <v>2012</v>
      </c>
      <c r="AM406" t="s">
        <v>56</v>
      </c>
      <c r="AN406" s="2">
        <f t="shared" si="42"/>
        <v>66.486180192658807</v>
      </c>
      <c r="AO406">
        <f t="shared" si="43"/>
        <v>-83210.36</v>
      </c>
      <c r="AP406" s="2">
        <f t="shared" si="44"/>
        <v>1.5028704679158629E-2</v>
      </c>
      <c r="AQ406" s="2">
        <f t="shared" si="48"/>
        <v>3</v>
      </c>
      <c r="AR406">
        <f t="shared" si="45"/>
        <v>437</v>
      </c>
      <c r="AS406" t="str">
        <f t="shared" si="46"/>
        <v>High Claim Ratio</v>
      </c>
      <c r="AT406" t="str">
        <f t="shared" si="47"/>
        <v>High Profit</v>
      </c>
    </row>
    <row r="407" spans="1:46" x14ac:dyDescent="0.2">
      <c r="A407">
        <v>65</v>
      </c>
      <c r="B407">
        <v>30</v>
      </c>
      <c r="C407">
        <v>396224</v>
      </c>
      <c r="D407" s="1">
        <v>40064</v>
      </c>
      <c r="E407" t="s">
        <v>57</v>
      </c>
      <c r="F407" t="s">
        <v>69</v>
      </c>
      <c r="G407">
        <v>500</v>
      </c>
      <c r="H407">
        <v>1455.65</v>
      </c>
      <c r="I407">
        <v>4000000</v>
      </c>
      <c r="J407">
        <v>616706</v>
      </c>
      <c r="K407" t="s">
        <v>70</v>
      </c>
      <c r="L407" t="s">
        <v>141</v>
      </c>
      <c r="M407" t="s">
        <v>145</v>
      </c>
      <c r="N407" t="s">
        <v>132</v>
      </c>
      <c r="O407" t="s">
        <v>119</v>
      </c>
      <c r="P407">
        <v>0</v>
      </c>
      <c r="Q407">
        <v>-66300</v>
      </c>
      <c r="R407" s="1">
        <v>42050</v>
      </c>
      <c r="S407" t="s">
        <v>75</v>
      </c>
      <c r="T407" t="s">
        <v>47</v>
      </c>
      <c r="U407" t="s">
        <v>107</v>
      </c>
      <c r="V407" t="s">
        <v>99</v>
      </c>
      <c r="W407" t="s">
        <v>113</v>
      </c>
      <c r="X407" t="s">
        <v>122</v>
      </c>
      <c r="Y407" t="s">
        <v>584</v>
      </c>
      <c r="Z407">
        <v>6</v>
      </c>
      <c r="AA407">
        <v>3</v>
      </c>
      <c r="AB407" t="s">
        <v>62</v>
      </c>
      <c r="AC407">
        <v>2</v>
      </c>
      <c r="AD407">
        <v>3</v>
      </c>
      <c r="AE407" t="s">
        <v>79</v>
      </c>
      <c r="AF407">
        <v>79800</v>
      </c>
      <c r="AG407">
        <v>15960</v>
      </c>
      <c r="AH407">
        <v>7980</v>
      </c>
      <c r="AI407">
        <v>55860</v>
      </c>
      <c r="AJ407" t="s">
        <v>209</v>
      </c>
      <c r="AK407" t="s">
        <v>210</v>
      </c>
      <c r="AL407">
        <v>1999</v>
      </c>
      <c r="AM407" t="s">
        <v>82</v>
      </c>
      <c r="AN407" s="2">
        <f t="shared" si="42"/>
        <v>54.78323550612707</v>
      </c>
      <c r="AO407">
        <f t="shared" si="43"/>
        <v>-78344.350000000006</v>
      </c>
      <c r="AP407" s="2">
        <f t="shared" si="44"/>
        <v>1.8240999486221977E-2</v>
      </c>
      <c r="AQ407" s="2">
        <f t="shared" si="48"/>
        <v>16</v>
      </c>
      <c r="AR407">
        <f t="shared" si="45"/>
        <v>65</v>
      </c>
      <c r="AS407" t="str">
        <f t="shared" si="46"/>
        <v>High Claim Ratio</v>
      </c>
      <c r="AT407" t="str">
        <f t="shared" si="47"/>
        <v>High Profit</v>
      </c>
    </row>
    <row r="408" spans="1:46" x14ac:dyDescent="0.2">
      <c r="A408">
        <v>280</v>
      </c>
      <c r="B408">
        <v>41</v>
      </c>
      <c r="C408">
        <v>682178</v>
      </c>
      <c r="D408" s="1">
        <v>34686</v>
      </c>
      <c r="E408" t="s">
        <v>39</v>
      </c>
      <c r="F408" t="s">
        <v>91</v>
      </c>
      <c r="G408">
        <v>2000</v>
      </c>
      <c r="H408">
        <v>1140.31</v>
      </c>
      <c r="I408">
        <v>0</v>
      </c>
      <c r="J408">
        <v>473243</v>
      </c>
      <c r="K408" t="s">
        <v>41</v>
      </c>
      <c r="L408" t="s">
        <v>42</v>
      </c>
      <c r="M408" t="s">
        <v>185</v>
      </c>
      <c r="N408" t="s">
        <v>264</v>
      </c>
      <c r="O408" t="s">
        <v>45</v>
      </c>
      <c r="P408">
        <v>29300</v>
      </c>
      <c r="Q408">
        <v>-64700</v>
      </c>
      <c r="R408" s="1">
        <v>42063</v>
      </c>
      <c r="S408" t="s">
        <v>75</v>
      </c>
      <c r="T408" t="s">
        <v>76</v>
      </c>
      <c r="U408" t="s">
        <v>63</v>
      </c>
      <c r="V408" t="s">
        <v>49</v>
      </c>
      <c r="W408" t="s">
        <v>113</v>
      </c>
      <c r="X408" t="s">
        <v>87</v>
      </c>
      <c r="Y408" t="s">
        <v>585</v>
      </c>
      <c r="Z408">
        <v>10</v>
      </c>
      <c r="AA408">
        <v>3</v>
      </c>
      <c r="AB408" t="s">
        <v>62</v>
      </c>
      <c r="AC408">
        <v>0</v>
      </c>
      <c r="AD408">
        <v>3</v>
      </c>
      <c r="AE408" t="s">
        <v>53</v>
      </c>
      <c r="AF408">
        <v>53020</v>
      </c>
      <c r="AG408">
        <v>9640</v>
      </c>
      <c r="AH408">
        <v>9640</v>
      </c>
      <c r="AI408">
        <v>33740</v>
      </c>
      <c r="AJ408" t="s">
        <v>115</v>
      </c>
      <c r="AK408" t="s">
        <v>183</v>
      </c>
      <c r="AL408">
        <v>1999</v>
      </c>
      <c r="AM408" t="s">
        <v>82</v>
      </c>
      <c r="AN408" s="2">
        <f t="shared" si="42"/>
        <v>46.455388982835515</v>
      </c>
      <c r="AO408">
        <f t="shared" si="43"/>
        <v>-51879.69</v>
      </c>
      <c r="AP408" s="2">
        <f t="shared" si="44"/>
        <v>2.1506761471869636E-2</v>
      </c>
      <c r="AQ408" s="2">
        <f t="shared" si="48"/>
        <v>16</v>
      </c>
      <c r="AR408">
        <f t="shared" si="45"/>
        <v>280</v>
      </c>
      <c r="AS408" t="str">
        <f t="shared" si="46"/>
        <v>High Claim Ratio</v>
      </c>
      <c r="AT408" t="str">
        <f t="shared" si="47"/>
        <v>High Profit</v>
      </c>
    </row>
    <row r="409" spans="1:46" x14ac:dyDescent="0.2">
      <c r="A409">
        <v>269</v>
      </c>
      <c r="B409">
        <v>45</v>
      </c>
      <c r="C409">
        <v>596298</v>
      </c>
      <c r="D409" s="1">
        <v>35300</v>
      </c>
      <c r="E409" t="s">
        <v>57</v>
      </c>
      <c r="F409" t="s">
        <v>91</v>
      </c>
      <c r="G409">
        <v>500</v>
      </c>
      <c r="H409">
        <v>1330.46</v>
      </c>
      <c r="I409">
        <v>0</v>
      </c>
      <c r="J409">
        <v>435552</v>
      </c>
      <c r="K409" t="s">
        <v>70</v>
      </c>
      <c r="L409" t="s">
        <v>131</v>
      </c>
      <c r="M409" t="s">
        <v>58</v>
      </c>
      <c r="N409" t="s">
        <v>44</v>
      </c>
      <c r="O409" t="s">
        <v>119</v>
      </c>
      <c r="P409">
        <v>54800</v>
      </c>
      <c r="Q409">
        <v>-64100</v>
      </c>
      <c r="R409" s="1">
        <v>42022</v>
      </c>
      <c r="S409" t="s">
        <v>75</v>
      </c>
      <c r="T409" t="s">
        <v>47</v>
      </c>
      <c r="U409" t="s">
        <v>107</v>
      </c>
      <c r="V409" t="s">
        <v>49</v>
      </c>
      <c r="W409" t="s">
        <v>64</v>
      </c>
      <c r="X409" t="s">
        <v>122</v>
      </c>
      <c r="Y409" t="s">
        <v>586</v>
      </c>
      <c r="Z409">
        <v>5</v>
      </c>
      <c r="AA409">
        <v>3</v>
      </c>
      <c r="AB409" t="s">
        <v>62</v>
      </c>
      <c r="AC409">
        <v>0</v>
      </c>
      <c r="AD409">
        <v>0</v>
      </c>
      <c r="AE409" t="s">
        <v>79</v>
      </c>
      <c r="AF409">
        <v>24200</v>
      </c>
      <c r="AG409">
        <v>2200</v>
      </c>
      <c r="AH409">
        <v>4400</v>
      </c>
      <c r="AI409">
        <v>17600</v>
      </c>
      <c r="AJ409" t="s">
        <v>153</v>
      </c>
      <c r="AK409" t="s">
        <v>167</v>
      </c>
      <c r="AL409">
        <v>2008</v>
      </c>
      <c r="AM409" t="s">
        <v>82</v>
      </c>
      <c r="AN409" s="2">
        <f t="shared" si="42"/>
        <v>18.175536628963695</v>
      </c>
      <c r="AO409">
        <f t="shared" si="43"/>
        <v>-22869.54</v>
      </c>
      <c r="AP409" s="2">
        <f t="shared" si="44"/>
        <v>5.4975414239081033E-2</v>
      </c>
      <c r="AQ409" s="2">
        <f t="shared" si="48"/>
        <v>7</v>
      </c>
      <c r="AR409">
        <f t="shared" si="45"/>
        <v>269</v>
      </c>
      <c r="AS409" t="str">
        <f t="shared" si="46"/>
        <v>Medium Claim Ratio</v>
      </c>
      <c r="AT409" t="str">
        <f t="shared" si="47"/>
        <v>High Profit</v>
      </c>
    </row>
    <row r="410" spans="1:46" x14ac:dyDescent="0.2">
      <c r="A410">
        <v>275</v>
      </c>
      <c r="B410">
        <v>40</v>
      </c>
      <c r="C410">
        <v>253005</v>
      </c>
      <c r="D410" s="1">
        <v>33562</v>
      </c>
      <c r="E410" t="s">
        <v>39</v>
      </c>
      <c r="F410" t="s">
        <v>40</v>
      </c>
      <c r="G410">
        <v>2000</v>
      </c>
      <c r="H410">
        <v>1190.5999999999999</v>
      </c>
      <c r="I410">
        <v>0</v>
      </c>
      <c r="J410">
        <v>434206</v>
      </c>
      <c r="K410" t="s">
        <v>41</v>
      </c>
      <c r="L410" t="s">
        <v>124</v>
      </c>
      <c r="M410" t="s">
        <v>125</v>
      </c>
      <c r="N410" t="s">
        <v>118</v>
      </c>
      <c r="O410" t="s">
        <v>85</v>
      </c>
      <c r="P410">
        <v>0</v>
      </c>
      <c r="Q410">
        <v>-45300</v>
      </c>
      <c r="R410" s="1">
        <v>42010</v>
      </c>
      <c r="S410" t="s">
        <v>46</v>
      </c>
      <c r="T410" t="s">
        <v>76</v>
      </c>
      <c r="U410" t="s">
        <v>63</v>
      </c>
      <c r="V410" t="s">
        <v>99</v>
      </c>
      <c r="W410" t="s">
        <v>39</v>
      </c>
      <c r="X410" t="s">
        <v>65</v>
      </c>
      <c r="Y410" t="s">
        <v>587</v>
      </c>
      <c r="Z410">
        <v>17</v>
      </c>
      <c r="AA410">
        <v>1</v>
      </c>
      <c r="AB410" t="s">
        <v>62</v>
      </c>
      <c r="AC410">
        <v>1</v>
      </c>
      <c r="AD410">
        <v>3</v>
      </c>
      <c r="AE410" t="s">
        <v>53</v>
      </c>
      <c r="AF410">
        <v>43230</v>
      </c>
      <c r="AG410">
        <v>7860</v>
      </c>
      <c r="AH410">
        <v>7860</v>
      </c>
      <c r="AI410">
        <v>27510</v>
      </c>
      <c r="AJ410" t="s">
        <v>89</v>
      </c>
      <c r="AK410" t="s">
        <v>223</v>
      </c>
      <c r="AL410">
        <v>2001</v>
      </c>
      <c r="AM410" t="s">
        <v>82</v>
      </c>
      <c r="AN410" s="2">
        <f t="shared" si="42"/>
        <v>36.278952668680766</v>
      </c>
      <c r="AO410">
        <f t="shared" si="43"/>
        <v>-42039.4</v>
      </c>
      <c r="AP410" s="2">
        <f t="shared" si="44"/>
        <v>2.7540422382086927E-2</v>
      </c>
      <c r="AQ410" s="2">
        <f t="shared" si="48"/>
        <v>14</v>
      </c>
      <c r="AR410">
        <f t="shared" si="45"/>
        <v>275</v>
      </c>
      <c r="AS410" t="str">
        <f t="shared" si="46"/>
        <v>High Claim Ratio</v>
      </c>
      <c r="AT410" t="str">
        <f t="shared" si="47"/>
        <v>High Profit</v>
      </c>
    </row>
    <row r="411" spans="1:46" x14ac:dyDescent="0.2">
      <c r="A411">
        <v>265</v>
      </c>
      <c r="B411">
        <v>45</v>
      </c>
      <c r="C411">
        <v>985924</v>
      </c>
      <c r="D411" s="1">
        <v>36096</v>
      </c>
      <c r="E411" t="s">
        <v>39</v>
      </c>
      <c r="F411" t="s">
        <v>40</v>
      </c>
      <c r="G411">
        <v>500</v>
      </c>
      <c r="H411">
        <v>972.5</v>
      </c>
      <c r="I411">
        <v>0</v>
      </c>
      <c r="J411">
        <v>469895</v>
      </c>
      <c r="K411" t="s">
        <v>70</v>
      </c>
      <c r="L411" t="s">
        <v>141</v>
      </c>
      <c r="M411" t="s">
        <v>125</v>
      </c>
      <c r="N411" t="s">
        <v>242</v>
      </c>
      <c r="O411" t="s">
        <v>85</v>
      </c>
      <c r="P411">
        <v>0</v>
      </c>
      <c r="Q411">
        <v>0</v>
      </c>
      <c r="R411" s="1">
        <v>42023</v>
      </c>
      <c r="S411" t="s">
        <v>61</v>
      </c>
      <c r="T411" t="s">
        <v>62</v>
      </c>
      <c r="U411" t="s">
        <v>212</v>
      </c>
      <c r="V411" t="s">
        <v>93</v>
      </c>
      <c r="W411" t="s">
        <v>121</v>
      </c>
      <c r="X411" t="s">
        <v>102</v>
      </c>
      <c r="Y411" t="s">
        <v>588</v>
      </c>
      <c r="Z411">
        <v>3</v>
      </c>
      <c r="AA411">
        <v>1</v>
      </c>
      <c r="AB411" t="s">
        <v>79</v>
      </c>
      <c r="AC411">
        <v>2</v>
      </c>
      <c r="AD411">
        <v>3</v>
      </c>
      <c r="AE411" t="s">
        <v>79</v>
      </c>
      <c r="AF411">
        <v>3190</v>
      </c>
      <c r="AG411">
        <v>290</v>
      </c>
      <c r="AH411">
        <v>580</v>
      </c>
      <c r="AI411">
        <v>2320</v>
      </c>
      <c r="AJ411" t="s">
        <v>129</v>
      </c>
      <c r="AK411" t="s">
        <v>172</v>
      </c>
      <c r="AL411">
        <v>1995</v>
      </c>
      <c r="AM411" t="s">
        <v>82</v>
      </c>
      <c r="AN411" s="2">
        <f t="shared" si="42"/>
        <v>3.2768361581920904</v>
      </c>
      <c r="AO411">
        <f t="shared" si="43"/>
        <v>-2217.5</v>
      </c>
      <c r="AP411" s="2">
        <f t="shared" si="44"/>
        <v>0.30476339705421496</v>
      </c>
      <c r="AQ411" s="2">
        <f t="shared" si="48"/>
        <v>20</v>
      </c>
      <c r="AR411">
        <f t="shared" si="45"/>
        <v>265</v>
      </c>
      <c r="AS411" t="str">
        <f t="shared" si="46"/>
        <v>Low Claim Ratio</v>
      </c>
      <c r="AT411" t="str">
        <f t="shared" si="47"/>
        <v>Low Profit</v>
      </c>
    </row>
    <row r="412" spans="1:46" x14ac:dyDescent="0.2">
      <c r="A412">
        <v>283</v>
      </c>
      <c r="B412">
        <v>43</v>
      </c>
      <c r="C412">
        <v>631565</v>
      </c>
      <c r="D412" s="1">
        <v>35625</v>
      </c>
      <c r="E412" t="s">
        <v>57</v>
      </c>
      <c r="F412" t="s">
        <v>69</v>
      </c>
      <c r="G412">
        <v>2000</v>
      </c>
      <c r="H412">
        <v>1161.9100000000001</v>
      </c>
      <c r="I412">
        <v>0</v>
      </c>
      <c r="J412">
        <v>457722</v>
      </c>
      <c r="K412" t="s">
        <v>70</v>
      </c>
      <c r="L412" t="s">
        <v>92</v>
      </c>
      <c r="M412" t="s">
        <v>185</v>
      </c>
      <c r="N412" t="s">
        <v>173</v>
      </c>
      <c r="O412" t="s">
        <v>142</v>
      </c>
      <c r="P412">
        <v>0</v>
      </c>
      <c r="Q412">
        <v>-50400</v>
      </c>
      <c r="R412" s="1">
        <v>42021</v>
      </c>
      <c r="S412" t="s">
        <v>138</v>
      </c>
      <c r="T412" t="s">
        <v>62</v>
      </c>
      <c r="U412" t="s">
        <v>63</v>
      </c>
      <c r="V412" t="s">
        <v>93</v>
      </c>
      <c r="W412" t="s">
        <v>113</v>
      </c>
      <c r="X412" t="s">
        <v>156</v>
      </c>
      <c r="Y412" t="s">
        <v>589</v>
      </c>
      <c r="Z412">
        <v>9</v>
      </c>
      <c r="AA412">
        <v>1</v>
      </c>
      <c r="AB412" t="s">
        <v>62</v>
      </c>
      <c r="AC412">
        <v>0</v>
      </c>
      <c r="AD412">
        <v>3</v>
      </c>
      <c r="AE412" t="s">
        <v>79</v>
      </c>
      <c r="AF412">
        <v>5850</v>
      </c>
      <c r="AG412">
        <v>1300</v>
      </c>
      <c r="AH412">
        <v>650</v>
      </c>
      <c r="AI412">
        <v>3900</v>
      </c>
      <c r="AJ412" t="s">
        <v>187</v>
      </c>
      <c r="AK412" t="s">
        <v>201</v>
      </c>
      <c r="AL412">
        <v>2006</v>
      </c>
      <c r="AM412" t="s">
        <v>82</v>
      </c>
      <c r="AN412" s="2">
        <f t="shared" si="42"/>
        <v>5.0304838723546963</v>
      </c>
      <c r="AO412">
        <f t="shared" si="43"/>
        <v>-4688.09</v>
      </c>
      <c r="AP412" s="2">
        <f t="shared" si="44"/>
        <v>0.19858314817979833</v>
      </c>
      <c r="AQ412" s="2">
        <f t="shared" si="48"/>
        <v>9</v>
      </c>
      <c r="AR412">
        <f t="shared" si="45"/>
        <v>283</v>
      </c>
      <c r="AS412" t="str">
        <f t="shared" si="46"/>
        <v>Medium Claim Ratio</v>
      </c>
      <c r="AT412" t="str">
        <f t="shared" si="47"/>
        <v>Low Profit</v>
      </c>
    </row>
    <row r="413" spans="1:46" x14ac:dyDescent="0.2">
      <c r="A413">
        <v>84</v>
      </c>
      <c r="B413">
        <v>29</v>
      </c>
      <c r="C413">
        <v>630998</v>
      </c>
      <c r="D413" s="1">
        <v>37720</v>
      </c>
      <c r="E413" t="s">
        <v>39</v>
      </c>
      <c r="F413" t="s">
        <v>40</v>
      </c>
      <c r="G413">
        <v>1000</v>
      </c>
      <c r="H413">
        <v>1117.17</v>
      </c>
      <c r="I413">
        <v>0</v>
      </c>
      <c r="J413">
        <v>473645</v>
      </c>
      <c r="K413" t="s">
        <v>70</v>
      </c>
      <c r="L413" t="s">
        <v>131</v>
      </c>
      <c r="M413" t="s">
        <v>58</v>
      </c>
      <c r="N413" t="s">
        <v>181</v>
      </c>
      <c r="O413" t="s">
        <v>142</v>
      </c>
      <c r="P413">
        <v>0</v>
      </c>
      <c r="Q413">
        <v>-29900</v>
      </c>
      <c r="R413" s="1">
        <v>42047</v>
      </c>
      <c r="S413" t="s">
        <v>138</v>
      </c>
      <c r="T413" t="s">
        <v>62</v>
      </c>
      <c r="U413" t="s">
        <v>212</v>
      </c>
      <c r="V413" t="s">
        <v>49</v>
      </c>
      <c r="W413" t="s">
        <v>50</v>
      </c>
      <c r="X413" t="s">
        <v>87</v>
      </c>
      <c r="Y413" t="s">
        <v>590</v>
      </c>
      <c r="Z413">
        <v>6</v>
      </c>
      <c r="AA413">
        <v>1</v>
      </c>
      <c r="AB413" t="s">
        <v>53</v>
      </c>
      <c r="AC413">
        <v>2</v>
      </c>
      <c r="AD413">
        <v>0</v>
      </c>
      <c r="AE413" t="s">
        <v>53</v>
      </c>
      <c r="AF413">
        <v>6820</v>
      </c>
      <c r="AG413">
        <v>620</v>
      </c>
      <c r="AH413">
        <v>1240</v>
      </c>
      <c r="AI413">
        <v>4960</v>
      </c>
      <c r="AJ413" t="s">
        <v>187</v>
      </c>
      <c r="AK413" t="s">
        <v>188</v>
      </c>
      <c r="AL413">
        <v>2005</v>
      </c>
      <c r="AM413" t="s">
        <v>82</v>
      </c>
      <c r="AN413" s="2">
        <f t="shared" si="42"/>
        <v>6.0992514555031878</v>
      </c>
      <c r="AO413">
        <f t="shared" si="43"/>
        <v>-5702.83</v>
      </c>
      <c r="AP413" s="2">
        <f t="shared" si="44"/>
        <v>0.16378390265356987</v>
      </c>
      <c r="AQ413" s="2">
        <f t="shared" si="48"/>
        <v>10</v>
      </c>
      <c r="AR413">
        <f t="shared" si="45"/>
        <v>84</v>
      </c>
      <c r="AS413" t="str">
        <f t="shared" si="46"/>
        <v>Medium Claim Ratio</v>
      </c>
      <c r="AT413" t="str">
        <f t="shared" si="47"/>
        <v>High Profit</v>
      </c>
    </row>
    <row r="414" spans="1:46" x14ac:dyDescent="0.2">
      <c r="A414">
        <v>247</v>
      </c>
      <c r="B414">
        <v>44</v>
      </c>
      <c r="C414">
        <v>926665</v>
      </c>
      <c r="D414" s="1">
        <v>33638</v>
      </c>
      <c r="E414" t="s">
        <v>39</v>
      </c>
      <c r="F414" t="s">
        <v>40</v>
      </c>
      <c r="G414">
        <v>2000</v>
      </c>
      <c r="H414">
        <v>1101.51</v>
      </c>
      <c r="I414">
        <v>0</v>
      </c>
      <c r="J414">
        <v>619108</v>
      </c>
      <c r="K414" t="s">
        <v>70</v>
      </c>
      <c r="L414" t="s">
        <v>141</v>
      </c>
      <c r="M414" t="s">
        <v>189</v>
      </c>
      <c r="N414" t="s">
        <v>118</v>
      </c>
      <c r="O414" t="s">
        <v>142</v>
      </c>
      <c r="P414">
        <v>64000</v>
      </c>
      <c r="Q414">
        <v>0</v>
      </c>
      <c r="R414" s="1">
        <v>42046</v>
      </c>
      <c r="S414" t="s">
        <v>75</v>
      </c>
      <c r="T414" t="s">
        <v>86</v>
      </c>
      <c r="U414" t="s">
        <v>63</v>
      </c>
      <c r="V414" t="s">
        <v>99</v>
      </c>
      <c r="W414" t="s">
        <v>77</v>
      </c>
      <c r="X414" t="s">
        <v>65</v>
      </c>
      <c r="Y414" t="s">
        <v>591</v>
      </c>
      <c r="Z414">
        <v>22</v>
      </c>
      <c r="AA414">
        <v>3</v>
      </c>
      <c r="AB414" t="s">
        <v>79</v>
      </c>
      <c r="AC414">
        <v>2</v>
      </c>
      <c r="AD414">
        <v>2</v>
      </c>
      <c r="AE414" t="s">
        <v>79</v>
      </c>
      <c r="AF414">
        <v>69480</v>
      </c>
      <c r="AG414">
        <v>11580</v>
      </c>
      <c r="AH414">
        <v>11580</v>
      </c>
      <c r="AI414">
        <v>46320</v>
      </c>
      <c r="AJ414" t="s">
        <v>89</v>
      </c>
      <c r="AK414" t="s">
        <v>90</v>
      </c>
      <c r="AL414">
        <v>2008</v>
      </c>
      <c r="AM414" t="s">
        <v>82</v>
      </c>
      <c r="AN414" s="2">
        <f t="shared" si="42"/>
        <v>63.019836554770478</v>
      </c>
      <c r="AO414">
        <f t="shared" si="43"/>
        <v>-68378.490000000005</v>
      </c>
      <c r="AP414" s="2">
        <f t="shared" si="44"/>
        <v>1.5853398770887005E-2</v>
      </c>
      <c r="AQ414" s="2">
        <f t="shared" si="48"/>
        <v>7</v>
      </c>
      <c r="AR414">
        <f t="shared" si="45"/>
        <v>247</v>
      </c>
      <c r="AS414" t="str">
        <f t="shared" si="46"/>
        <v>High Claim Ratio</v>
      </c>
      <c r="AT414" t="str">
        <f t="shared" si="47"/>
        <v>High Profit</v>
      </c>
    </row>
    <row r="415" spans="1:46" x14ac:dyDescent="0.2">
      <c r="A415">
        <v>56</v>
      </c>
      <c r="B415">
        <v>29</v>
      </c>
      <c r="C415">
        <v>302669</v>
      </c>
      <c r="D415" s="1">
        <v>38897</v>
      </c>
      <c r="E415" t="s">
        <v>83</v>
      </c>
      <c r="F415" t="s">
        <v>69</v>
      </c>
      <c r="G415">
        <v>1000</v>
      </c>
      <c r="H415">
        <v>1523.17</v>
      </c>
      <c r="I415">
        <v>0</v>
      </c>
      <c r="J415">
        <v>610479</v>
      </c>
      <c r="K415" t="s">
        <v>41</v>
      </c>
      <c r="L415" t="s">
        <v>124</v>
      </c>
      <c r="M415" t="s">
        <v>101</v>
      </c>
      <c r="N415" t="s">
        <v>146</v>
      </c>
      <c r="O415" t="s">
        <v>74</v>
      </c>
      <c r="P415">
        <v>0</v>
      </c>
      <c r="Q415">
        <v>0</v>
      </c>
      <c r="R415" s="1">
        <v>42056</v>
      </c>
      <c r="S415" t="s">
        <v>75</v>
      </c>
      <c r="T415" t="s">
        <v>86</v>
      </c>
      <c r="U415" t="s">
        <v>48</v>
      </c>
      <c r="V415" t="s">
        <v>99</v>
      </c>
      <c r="W415" t="s">
        <v>175</v>
      </c>
      <c r="X415" t="s">
        <v>127</v>
      </c>
      <c r="Y415" t="s">
        <v>592</v>
      </c>
      <c r="Z415">
        <v>10</v>
      </c>
      <c r="AA415">
        <v>3</v>
      </c>
      <c r="AB415" t="s">
        <v>62</v>
      </c>
      <c r="AC415">
        <v>1</v>
      </c>
      <c r="AD415">
        <v>2</v>
      </c>
      <c r="AE415" t="s">
        <v>53</v>
      </c>
      <c r="AF415">
        <v>94560</v>
      </c>
      <c r="AG415">
        <v>7880</v>
      </c>
      <c r="AH415">
        <v>15760</v>
      </c>
      <c r="AI415">
        <v>70920</v>
      </c>
      <c r="AJ415" t="s">
        <v>197</v>
      </c>
      <c r="AK415" t="s">
        <v>375</v>
      </c>
      <c r="AL415">
        <v>1995</v>
      </c>
      <c r="AM415" t="s">
        <v>82</v>
      </c>
      <c r="AN415" s="2">
        <f t="shared" si="42"/>
        <v>62.040323585951697</v>
      </c>
      <c r="AO415">
        <f t="shared" si="43"/>
        <v>-93036.83</v>
      </c>
      <c r="AP415" s="2">
        <f t="shared" si="44"/>
        <v>1.6107803428474742E-2</v>
      </c>
      <c r="AQ415" s="2">
        <f t="shared" si="48"/>
        <v>20</v>
      </c>
      <c r="AR415">
        <f t="shared" si="45"/>
        <v>56</v>
      </c>
      <c r="AS415" t="str">
        <f t="shared" si="46"/>
        <v>High Claim Ratio</v>
      </c>
      <c r="AT415" t="str">
        <f t="shared" si="47"/>
        <v>High Profit</v>
      </c>
    </row>
    <row r="416" spans="1:46" x14ac:dyDescent="0.2">
      <c r="A416">
        <v>210</v>
      </c>
      <c r="B416">
        <v>39</v>
      </c>
      <c r="C416">
        <v>620020</v>
      </c>
      <c r="D416" s="1">
        <v>35602</v>
      </c>
      <c r="E416" t="s">
        <v>39</v>
      </c>
      <c r="F416" t="s">
        <v>91</v>
      </c>
      <c r="G416">
        <v>1000</v>
      </c>
      <c r="H416">
        <v>984.45</v>
      </c>
      <c r="I416">
        <v>0</v>
      </c>
      <c r="J416">
        <v>474998</v>
      </c>
      <c r="K416" t="s">
        <v>41</v>
      </c>
      <c r="L416" t="s">
        <v>92</v>
      </c>
      <c r="M416" t="s">
        <v>84</v>
      </c>
      <c r="N416" t="s">
        <v>165</v>
      </c>
      <c r="O416" t="s">
        <v>85</v>
      </c>
      <c r="P416">
        <v>0</v>
      </c>
      <c r="Q416">
        <v>0</v>
      </c>
      <c r="R416" s="1">
        <v>42006</v>
      </c>
      <c r="S416" t="s">
        <v>61</v>
      </c>
      <c r="T416" t="s">
        <v>62</v>
      </c>
      <c r="U416" t="s">
        <v>63</v>
      </c>
      <c r="V416" t="s">
        <v>93</v>
      </c>
      <c r="W416" t="s">
        <v>121</v>
      </c>
      <c r="X416" t="s">
        <v>65</v>
      </c>
      <c r="Y416" t="s">
        <v>593</v>
      </c>
      <c r="Z416">
        <v>4</v>
      </c>
      <c r="AA416">
        <v>1</v>
      </c>
      <c r="AB416" t="s">
        <v>53</v>
      </c>
      <c r="AC416">
        <v>1</v>
      </c>
      <c r="AD416">
        <v>2</v>
      </c>
      <c r="AE416" t="s">
        <v>62</v>
      </c>
      <c r="AF416">
        <v>7800</v>
      </c>
      <c r="AG416">
        <v>780</v>
      </c>
      <c r="AH416">
        <v>780</v>
      </c>
      <c r="AI416">
        <v>6240</v>
      </c>
      <c r="AJ416" t="s">
        <v>80</v>
      </c>
      <c r="AK416" t="s">
        <v>81</v>
      </c>
      <c r="AL416">
        <v>1997</v>
      </c>
      <c r="AM416" t="s">
        <v>82</v>
      </c>
      <c r="AN416" s="2">
        <f t="shared" si="42"/>
        <v>7.9151656603582117</v>
      </c>
      <c r="AO416">
        <f t="shared" si="43"/>
        <v>-6815.55</v>
      </c>
      <c r="AP416" s="2">
        <f t="shared" si="44"/>
        <v>0.12619535956928599</v>
      </c>
      <c r="AQ416" s="2">
        <f t="shared" si="48"/>
        <v>18</v>
      </c>
      <c r="AR416">
        <f t="shared" si="45"/>
        <v>210</v>
      </c>
      <c r="AS416" t="str">
        <f t="shared" si="46"/>
        <v>Medium Claim Ratio</v>
      </c>
      <c r="AT416" t="str">
        <f t="shared" si="47"/>
        <v>High Profit</v>
      </c>
    </row>
    <row r="417" spans="1:46" x14ac:dyDescent="0.2">
      <c r="A417">
        <v>108</v>
      </c>
      <c r="B417">
        <v>32</v>
      </c>
      <c r="C417">
        <v>439828</v>
      </c>
      <c r="D417" s="1">
        <v>38967</v>
      </c>
      <c r="E417" t="s">
        <v>39</v>
      </c>
      <c r="F417" t="s">
        <v>91</v>
      </c>
      <c r="G417">
        <v>2000</v>
      </c>
      <c r="H417">
        <v>1257</v>
      </c>
      <c r="I417">
        <v>4000000</v>
      </c>
      <c r="J417">
        <v>616341</v>
      </c>
      <c r="K417" t="s">
        <v>70</v>
      </c>
      <c r="L417" t="s">
        <v>131</v>
      </c>
      <c r="M417" t="s">
        <v>58</v>
      </c>
      <c r="N417" t="s">
        <v>179</v>
      </c>
      <c r="O417" t="s">
        <v>85</v>
      </c>
      <c r="P417">
        <v>63900</v>
      </c>
      <c r="Q417">
        <v>-43700</v>
      </c>
      <c r="R417" s="1">
        <v>42015</v>
      </c>
      <c r="S417" t="s">
        <v>46</v>
      </c>
      <c r="T417" t="s">
        <v>86</v>
      </c>
      <c r="U417" t="s">
        <v>107</v>
      </c>
      <c r="V417" t="s">
        <v>120</v>
      </c>
      <c r="W417" t="s">
        <v>113</v>
      </c>
      <c r="X417" t="s">
        <v>156</v>
      </c>
      <c r="Y417" t="s">
        <v>594</v>
      </c>
      <c r="Z417">
        <v>23</v>
      </c>
      <c r="AA417">
        <v>1</v>
      </c>
      <c r="AB417" t="s">
        <v>79</v>
      </c>
      <c r="AC417">
        <v>1</v>
      </c>
      <c r="AD417">
        <v>3</v>
      </c>
      <c r="AE417" t="s">
        <v>79</v>
      </c>
      <c r="AF417">
        <v>61270</v>
      </c>
      <c r="AG417">
        <v>5570</v>
      </c>
      <c r="AH417">
        <v>11140</v>
      </c>
      <c r="AI417">
        <v>44560</v>
      </c>
      <c r="AJ417" t="s">
        <v>153</v>
      </c>
      <c r="AK417" t="s">
        <v>154</v>
      </c>
      <c r="AL417">
        <v>1999</v>
      </c>
      <c r="AM417" t="s">
        <v>82</v>
      </c>
      <c r="AN417" s="2">
        <f t="shared" si="42"/>
        <v>48.704292527821941</v>
      </c>
      <c r="AO417">
        <f t="shared" si="43"/>
        <v>-60013</v>
      </c>
      <c r="AP417" s="2">
        <f t="shared" si="44"/>
        <v>2.0515415122978244E-2</v>
      </c>
      <c r="AQ417" s="2">
        <f t="shared" si="48"/>
        <v>16</v>
      </c>
      <c r="AR417">
        <f t="shared" si="45"/>
        <v>108</v>
      </c>
      <c r="AS417" t="str">
        <f t="shared" si="46"/>
        <v>High Claim Ratio</v>
      </c>
      <c r="AT417" t="str">
        <f t="shared" si="47"/>
        <v>High Profit</v>
      </c>
    </row>
    <row r="418" spans="1:46" x14ac:dyDescent="0.2">
      <c r="A418">
        <v>328</v>
      </c>
      <c r="B418">
        <v>49</v>
      </c>
      <c r="C418">
        <v>971295</v>
      </c>
      <c r="D418" s="1">
        <v>37165</v>
      </c>
      <c r="E418" t="s">
        <v>39</v>
      </c>
      <c r="F418" t="s">
        <v>91</v>
      </c>
      <c r="G418">
        <v>500</v>
      </c>
      <c r="H418">
        <v>1434.51</v>
      </c>
      <c r="I418">
        <v>0</v>
      </c>
      <c r="J418">
        <v>460535</v>
      </c>
      <c r="K418" t="s">
        <v>70</v>
      </c>
      <c r="L418" t="s">
        <v>124</v>
      </c>
      <c r="M418" t="s">
        <v>145</v>
      </c>
      <c r="N418" t="s">
        <v>98</v>
      </c>
      <c r="O418" t="s">
        <v>119</v>
      </c>
      <c r="P418">
        <v>0</v>
      </c>
      <c r="Q418">
        <v>0</v>
      </c>
      <c r="R418" s="1">
        <v>42058</v>
      </c>
      <c r="S418" t="s">
        <v>46</v>
      </c>
      <c r="T418" t="s">
        <v>76</v>
      </c>
      <c r="U418" t="s">
        <v>107</v>
      </c>
      <c r="V418" t="s">
        <v>49</v>
      </c>
      <c r="W418" t="s">
        <v>77</v>
      </c>
      <c r="X418" t="s">
        <v>65</v>
      </c>
      <c r="Y418" t="s">
        <v>595</v>
      </c>
      <c r="Z418">
        <v>19</v>
      </c>
      <c r="AA418">
        <v>1</v>
      </c>
      <c r="AB418" t="s">
        <v>62</v>
      </c>
      <c r="AC418">
        <v>0</v>
      </c>
      <c r="AD418">
        <v>2</v>
      </c>
      <c r="AE418" t="s">
        <v>53</v>
      </c>
      <c r="AF418">
        <v>71440</v>
      </c>
      <c r="AG418">
        <v>8930</v>
      </c>
      <c r="AH418">
        <v>8930</v>
      </c>
      <c r="AI418">
        <v>53580</v>
      </c>
      <c r="AJ418" t="s">
        <v>67</v>
      </c>
      <c r="AK418" t="s">
        <v>271</v>
      </c>
      <c r="AL418">
        <v>2005</v>
      </c>
      <c r="AM418" t="s">
        <v>82</v>
      </c>
      <c r="AN418" s="2">
        <f t="shared" si="42"/>
        <v>49.766285153011822</v>
      </c>
      <c r="AO418">
        <f t="shared" si="43"/>
        <v>-70005.490000000005</v>
      </c>
      <c r="AP418" s="2">
        <f t="shared" si="44"/>
        <v>2.0079646141571365E-2</v>
      </c>
      <c r="AQ418" s="2">
        <f t="shared" si="48"/>
        <v>10</v>
      </c>
      <c r="AR418">
        <f t="shared" si="45"/>
        <v>328</v>
      </c>
      <c r="AS418" t="str">
        <f t="shared" si="46"/>
        <v>High Claim Ratio</v>
      </c>
      <c r="AT418" t="str">
        <f t="shared" si="47"/>
        <v>High Profit</v>
      </c>
    </row>
    <row r="419" spans="1:46" x14ac:dyDescent="0.2">
      <c r="A419">
        <v>186</v>
      </c>
      <c r="B419">
        <v>37</v>
      </c>
      <c r="C419">
        <v>165565</v>
      </c>
      <c r="D419" s="1">
        <v>39864</v>
      </c>
      <c r="E419" t="s">
        <v>39</v>
      </c>
      <c r="F419" t="s">
        <v>40</v>
      </c>
      <c r="G419">
        <v>2000</v>
      </c>
      <c r="H419">
        <v>1628</v>
      </c>
      <c r="I419">
        <v>0</v>
      </c>
      <c r="J419">
        <v>606487</v>
      </c>
      <c r="K419" t="s">
        <v>70</v>
      </c>
      <c r="L419" t="s">
        <v>161</v>
      </c>
      <c r="M419" t="s">
        <v>117</v>
      </c>
      <c r="N419" t="s">
        <v>264</v>
      </c>
      <c r="O419" t="s">
        <v>85</v>
      </c>
      <c r="P419">
        <v>0</v>
      </c>
      <c r="Q419">
        <v>0</v>
      </c>
      <c r="R419" s="1">
        <v>42032</v>
      </c>
      <c r="S419" t="s">
        <v>46</v>
      </c>
      <c r="T419" t="s">
        <v>76</v>
      </c>
      <c r="U419" t="s">
        <v>107</v>
      </c>
      <c r="V419" t="s">
        <v>136</v>
      </c>
      <c r="W419" t="s">
        <v>77</v>
      </c>
      <c r="X419" t="s">
        <v>122</v>
      </c>
      <c r="Y419" t="s">
        <v>596</v>
      </c>
      <c r="Z419">
        <v>22</v>
      </c>
      <c r="AA419">
        <v>1</v>
      </c>
      <c r="AB419" t="s">
        <v>53</v>
      </c>
      <c r="AC419">
        <v>1</v>
      </c>
      <c r="AD419">
        <v>2</v>
      </c>
      <c r="AE419" t="s">
        <v>53</v>
      </c>
      <c r="AF419">
        <v>55600</v>
      </c>
      <c r="AG419">
        <v>11120</v>
      </c>
      <c r="AH419">
        <v>5560</v>
      </c>
      <c r="AI419">
        <v>38920</v>
      </c>
      <c r="AJ419" t="s">
        <v>197</v>
      </c>
      <c r="AK419" t="s">
        <v>375</v>
      </c>
      <c r="AL419">
        <v>2009</v>
      </c>
      <c r="AM419" t="s">
        <v>82</v>
      </c>
      <c r="AN419" s="2">
        <f t="shared" si="42"/>
        <v>34.131368937998772</v>
      </c>
      <c r="AO419">
        <f t="shared" si="43"/>
        <v>-53972</v>
      </c>
      <c r="AP419" s="2">
        <f t="shared" si="44"/>
        <v>2.9280048919983453E-2</v>
      </c>
      <c r="AQ419" s="2">
        <f t="shared" si="48"/>
        <v>6</v>
      </c>
      <c r="AR419">
        <f t="shared" si="45"/>
        <v>186</v>
      </c>
      <c r="AS419" t="str">
        <f t="shared" si="46"/>
        <v>High Claim Ratio</v>
      </c>
      <c r="AT419" t="str">
        <f t="shared" si="47"/>
        <v>High Profit</v>
      </c>
    </row>
    <row r="420" spans="1:46" x14ac:dyDescent="0.2">
      <c r="A420">
        <v>277</v>
      </c>
      <c r="B420">
        <v>44</v>
      </c>
      <c r="C420">
        <v>936543</v>
      </c>
      <c r="D420" s="1">
        <v>37068</v>
      </c>
      <c r="E420" t="s">
        <v>57</v>
      </c>
      <c r="F420" t="s">
        <v>91</v>
      </c>
      <c r="G420">
        <v>500</v>
      </c>
      <c r="H420">
        <v>1412.31</v>
      </c>
      <c r="I420">
        <v>0</v>
      </c>
      <c r="J420">
        <v>620737</v>
      </c>
      <c r="K420" t="s">
        <v>41</v>
      </c>
      <c r="L420" t="s">
        <v>131</v>
      </c>
      <c r="M420" t="s">
        <v>117</v>
      </c>
      <c r="N420" t="s">
        <v>73</v>
      </c>
      <c r="O420" t="s">
        <v>85</v>
      </c>
      <c r="P420">
        <v>0</v>
      </c>
      <c r="Q420">
        <v>0</v>
      </c>
      <c r="R420" s="1">
        <v>42036</v>
      </c>
      <c r="S420" t="s">
        <v>61</v>
      </c>
      <c r="T420" t="s">
        <v>62</v>
      </c>
      <c r="U420" t="s">
        <v>212</v>
      </c>
      <c r="V420" t="s">
        <v>49</v>
      </c>
      <c r="W420" t="s">
        <v>121</v>
      </c>
      <c r="X420" t="s">
        <v>65</v>
      </c>
      <c r="Y420" t="s">
        <v>597</v>
      </c>
      <c r="Z420">
        <v>6</v>
      </c>
      <c r="AA420">
        <v>1</v>
      </c>
      <c r="AB420" t="s">
        <v>79</v>
      </c>
      <c r="AC420">
        <v>1</v>
      </c>
      <c r="AD420">
        <v>3</v>
      </c>
      <c r="AE420" t="s">
        <v>79</v>
      </c>
      <c r="AF420">
        <v>5000</v>
      </c>
      <c r="AG420">
        <v>1000</v>
      </c>
      <c r="AH420">
        <v>500</v>
      </c>
      <c r="AI420">
        <v>3500</v>
      </c>
      <c r="AJ420" t="s">
        <v>197</v>
      </c>
      <c r="AK420" t="s">
        <v>198</v>
      </c>
      <c r="AL420">
        <v>2005</v>
      </c>
      <c r="AM420" t="s">
        <v>82</v>
      </c>
      <c r="AN420" s="2">
        <f t="shared" si="42"/>
        <v>3.537794256037246</v>
      </c>
      <c r="AO420">
        <f t="shared" si="43"/>
        <v>-3587.69</v>
      </c>
      <c r="AP420" s="2">
        <f t="shared" si="44"/>
        <v>0.28240551889622073</v>
      </c>
      <c r="AQ420" s="2">
        <f t="shared" si="48"/>
        <v>10</v>
      </c>
      <c r="AR420">
        <f t="shared" si="45"/>
        <v>277</v>
      </c>
      <c r="AS420" t="str">
        <f t="shared" si="46"/>
        <v>Low Claim Ratio</v>
      </c>
      <c r="AT420" t="str">
        <f t="shared" si="47"/>
        <v>Low Profit</v>
      </c>
    </row>
    <row r="421" spans="1:46" x14ac:dyDescent="0.2">
      <c r="A421">
        <v>138</v>
      </c>
      <c r="B421">
        <v>33</v>
      </c>
      <c r="C421">
        <v>296960</v>
      </c>
      <c r="D421" s="1">
        <v>35448</v>
      </c>
      <c r="E421" t="s">
        <v>83</v>
      </c>
      <c r="F421" t="s">
        <v>40</v>
      </c>
      <c r="G421">
        <v>500</v>
      </c>
      <c r="H421">
        <v>1362.87</v>
      </c>
      <c r="I421">
        <v>5000000</v>
      </c>
      <c r="J421">
        <v>445904</v>
      </c>
      <c r="K421" t="s">
        <v>70</v>
      </c>
      <c r="L421" t="s">
        <v>161</v>
      </c>
      <c r="M421" t="s">
        <v>125</v>
      </c>
      <c r="N421" t="s">
        <v>165</v>
      </c>
      <c r="O421" t="s">
        <v>74</v>
      </c>
      <c r="P421">
        <v>56900</v>
      </c>
      <c r="Q421">
        <v>-56900</v>
      </c>
      <c r="R421" s="1">
        <v>42059</v>
      </c>
      <c r="S421" t="s">
        <v>46</v>
      </c>
      <c r="T421" t="s">
        <v>47</v>
      </c>
      <c r="U421" t="s">
        <v>63</v>
      </c>
      <c r="V421" t="s">
        <v>120</v>
      </c>
      <c r="W421" t="s">
        <v>77</v>
      </c>
      <c r="X421" t="s">
        <v>102</v>
      </c>
      <c r="Y421" t="s">
        <v>598</v>
      </c>
      <c r="Z421">
        <v>6</v>
      </c>
      <c r="AA421">
        <v>1</v>
      </c>
      <c r="AB421" t="s">
        <v>79</v>
      </c>
      <c r="AC421">
        <v>2</v>
      </c>
      <c r="AD421">
        <v>0</v>
      </c>
      <c r="AE421" t="s">
        <v>62</v>
      </c>
      <c r="AF421">
        <v>95810</v>
      </c>
      <c r="AG421">
        <v>14740</v>
      </c>
      <c r="AH421">
        <v>14740</v>
      </c>
      <c r="AI421">
        <v>66330</v>
      </c>
      <c r="AJ421" t="s">
        <v>187</v>
      </c>
      <c r="AK421" t="s">
        <v>203</v>
      </c>
      <c r="AL421">
        <v>2007</v>
      </c>
      <c r="AM421" t="s">
        <v>82</v>
      </c>
      <c r="AN421" s="2">
        <f t="shared" si="42"/>
        <v>70.248630734600809</v>
      </c>
      <c r="AO421">
        <f t="shared" si="43"/>
        <v>-94447.13</v>
      </c>
      <c r="AP421" s="2">
        <f t="shared" si="44"/>
        <v>1.422456711651063E-2</v>
      </c>
      <c r="AQ421" s="2">
        <f t="shared" si="48"/>
        <v>8</v>
      </c>
      <c r="AR421">
        <f t="shared" si="45"/>
        <v>138</v>
      </c>
      <c r="AS421" t="str">
        <f t="shared" si="46"/>
        <v>High Claim Ratio</v>
      </c>
      <c r="AT421" t="str">
        <f t="shared" si="47"/>
        <v>High Profit</v>
      </c>
    </row>
    <row r="422" spans="1:46" x14ac:dyDescent="0.2">
      <c r="A422">
        <v>208</v>
      </c>
      <c r="B422">
        <v>41</v>
      </c>
      <c r="C422">
        <v>501692</v>
      </c>
      <c r="D422" s="1">
        <v>41814</v>
      </c>
      <c r="E422" t="s">
        <v>57</v>
      </c>
      <c r="F422" t="s">
        <v>69</v>
      </c>
      <c r="G422">
        <v>1000</v>
      </c>
      <c r="H422">
        <v>1134.68</v>
      </c>
      <c r="I422">
        <v>0</v>
      </c>
      <c r="J422">
        <v>464145</v>
      </c>
      <c r="K422" t="s">
        <v>70</v>
      </c>
      <c r="L422" t="s">
        <v>141</v>
      </c>
      <c r="M422" t="s">
        <v>97</v>
      </c>
      <c r="N422" t="s">
        <v>168</v>
      </c>
      <c r="O422" t="s">
        <v>45</v>
      </c>
      <c r="P422">
        <v>0</v>
      </c>
      <c r="Q422">
        <v>0</v>
      </c>
      <c r="R422" s="1">
        <v>42024</v>
      </c>
      <c r="S422" t="s">
        <v>46</v>
      </c>
      <c r="T422" t="s">
        <v>76</v>
      </c>
      <c r="U422" t="s">
        <v>48</v>
      </c>
      <c r="V422" t="s">
        <v>136</v>
      </c>
      <c r="W422" t="s">
        <v>50</v>
      </c>
      <c r="X422" t="s">
        <v>127</v>
      </c>
      <c r="Y422" t="s">
        <v>599</v>
      </c>
      <c r="Z422">
        <v>18</v>
      </c>
      <c r="AA422">
        <v>1</v>
      </c>
      <c r="AB422" t="s">
        <v>79</v>
      </c>
      <c r="AC422">
        <v>2</v>
      </c>
      <c r="AD422">
        <v>2</v>
      </c>
      <c r="AE422" t="s">
        <v>62</v>
      </c>
      <c r="AF422">
        <v>69300</v>
      </c>
      <c r="AG422">
        <v>6930</v>
      </c>
      <c r="AH422">
        <v>13860</v>
      </c>
      <c r="AI422">
        <v>48510</v>
      </c>
      <c r="AJ422" t="s">
        <v>214</v>
      </c>
      <c r="AK422" t="s">
        <v>258</v>
      </c>
      <c r="AL422">
        <v>1996</v>
      </c>
      <c r="AM422" t="s">
        <v>82</v>
      </c>
      <c r="AN422" s="2">
        <f t="shared" si="42"/>
        <v>61.020710059171591</v>
      </c>
      <c r="AO422">
        <f t="shared" si="43"/>
        <v>-68165.320000000007</v>
      </c>
      <c r="AP422" s="2">
        <f t="shared" si="44"/>
        <v>1.6373212507756023E-2</v>
      </c>
      <c r="AQ422" s="2">
        <f t="shared" si="48"/>
        <v>19</v>
      </c>
      <c r="AR422">
        <f t="shared" si="45"/>
        <v>208</v>
      </c>
      <c r="AS422" t="str">
        <f t="shared" si="46"/>
        <v>High Claim Ratio</v>
      </c>
      <c r="AT422" t="str">
        <f t="shared" si="47"/>
        <v>High Profit</v>
      </c>
    </row>
    <row r="423" spans="1:46" x14ac:dyDescent="0.2">
      <c r="A423">
        <v>147</v>
      </c>
      <c r="B423">
        <v>37</v>
      </c>
      <c r="C423">
        <v>525224</v>
      </c>
      <c r="D423" s="1">
        <v>33879</v>
      </c>
      <c r="E423" t="s">
        <v>57</v>
      </c>
      <c r="F423" t="s">
        <v>40</v>
      </c>
      <c r="G423">
        <v>1000</v>
      </c>
      <c r="H423">
        <v>1306.78</v>
      </c>
      <c r="I423">
        <v>0</v>
      </c>
      <c r="J423">
        <v>466818</v>
      </c>
      <c r="K423" t="s">
        <v>41</v>
      </c>
      <c r="L423" t="s">
        <v>42</v>
      </c>
      <c r="M423" t="s">
        <v>101</v>
      </c>
      <c r="N423" t="s">
        <v>181</v>
      </c>
      <c r="O423" t="s">
        <v>60</v>
      </c>
      <c r="P423">
        <v>0</v>
      </c>
      <c r="Q423">
        <v>0</v>
      </c>
      <c r="R423" s="1">
        <v>42018</v>
      </c>
      <c r="S423" t="s">
        <v>46</v>
      </c>
      <c r="T423" t="s">
        <v>86</v>
      </c>
      <c r="U423" t="s">
        <v>107</v>
      </c>
      <c r="V423" t="s">
        <v>136</v>
      </c>
      <c r="W423" t="s">
        <v>50</v>
      </c>
      <c r="X423" t="s">
        <v>127</v>
      </c>
      <c r="Y423" t="s">
        <v>600</v>
      </c>
      <c r="Z423">
        <v>22</v>
      </c>
      <c r="AA423">
        <v>1</v>
      </c>
      <c r="AB423" t="s">
        <v>62</v>
      </c>
      <c r="AC423">
        <v>1</v>
      </c>
      <c r="AD423">
        <v>0</v>
      </c>
      <c r="AE423" t="s">
        <v>79</v>
      </c>
      <c r="AF423">
        <v>81120</v>
      </c>
      <c r="AG423">
        <v>13520</v>
      </c>
      <c r="AH423">
        <v>20280</v>
      </c>
      <c r="AI423">
        <v>47320</v>
      </c>
      <c r="AJ423" t="s">
        <v>115</v>
      </c>
      <c r="AK423" t="s">
        <v>116</v>
      </c>
      <c r="AL423">
        <v>1995</v>
      </c>
      <c r="AM423" t="s">
        <v>82</v>
      </c>
      <c r="AN423" s="2">
        <f t="shared" si="42"/>
        <v>62.028781599351575</v>
      </c>
      <c r="AO423">
        <f t="shared" si="43"/>
        <v>-79813.22</v>
      </c>
      <c r="AP423" s="2">
        <f t="shared" si="44"/>
        <v>1.6109022324675485E-2</v>
      </c>
      <c r="AQ423" s="2">
        <f t="shared" si="48"/>
        <v>20</v>
      </c>
      <c r="AR423">
        <f t="shared" si="45"/>
        <v>147</v>
      </c>
      <c r="AS423" t="str">
        <f t="shared" si="46"/>
        <v>High Claim Ratio</v>
      </c>
      <c r="AT423" t="str">
        <f t="shared" si="47"/>
        <v>High Profit</v>
      </c>
    </row>
    <row r="424" spans="1:46" x14ac:dyDescent="0.2">
      <c r="A424">
        <v>8</v>
      </c>
      <c r="B424">
        <v>21</v>
      </c>
      <c r="C424">
        <v>355085</v>
      </c>
      <c r="D424" s="1">
        <v>41191</v>
      </c>
      <c r="E424" t="s">
        <v>57</v>
      </c>
      <c r="F424" t="s">
        <v>91</v>
      </c>
      <c r="G424">
        <v>500</v>
      </c>
      <c r="H424">
        <v>1021.9</v>
      </c>
      <c r="I424">
        <v>0</v>
      </c>
      <c r="J424">
        <v>464237</v>
      </c>
      <c r="K424" t="s">
        <v>41</v>
      </c>
      <c r="L424" t="s">
        <v>131</v>
      </c>
      <c r="M424" t="s">
        <v>159</v>
      </c>
      <c r="N424" t="s">
        <v>149</v>
      </c>
      <c r="O424" t="s">
        <v>45</v>
      </c>
      <c r="P424">
        <v>0</v>
      </c>
      <c r="Q424">
        <v>0</v>
      </c>
      <c r="R424" s="1">
        <v>42040</v>
      </c>
      <c r="S424" t="s">
        <v>46</v>
      </c>
      <c r="T424" t="s">
        <v>86</v>
      </c>
      <c r="U424" t="s">
        <v>48</v>
      </c>
      <c r="V424" t="s">
        <v>120</v>
      </c>
      <c r="W424" t="s">
        <v>113</v>
      </c>
      <c r="X424" t="s">
        <v>51</v>
      </c>
      <c r="Y424" t="s">
        <v>601</v>
      </c>
      <c r="Z424">
        <v>21</v>
      </c>
      <c r="AA424">
        <v>1</v>
      </c>
      <c r="AB424" t="s">
        <v>62</v>
      </c>
      <c r="AC424">
        <v>0</v>
      </c>
      <c r="AD424">
        <v>0</v>
      </c>
      <c r="AE424" t="s">
        <v>62</v>
      </c>
      <c r="AF424">
        <v>91260</v>
      </c>
      <c r="AG424">
        <v>14040</v>
      </c>
      <c r="AH424">
        <v>14040</v>
      </c>
      <c r="AI424">
        <v>63180</v>
      </c>
      <c r="AJ424" t="s">
        <v>115</v>
      </c>
      <c r="AK424" t="s">
        <v>183</v>
      </c>
      <c r="AL424">
        <v>2012</v>
      </c>
      <c r="AM424" t="s">
        <v>82</v>
      </c>
      <c r="AN424" s="2">
        <f t="shared" si="42"/>
        <v>89.216932251441975</v>
      </c>
      <c r="AO424">
        <f t="shared" si="43"/>
        <v>-90238.1</v>
      </c>
      <c r="AP424" s="2">
        <f t="shared" si="44"/>
        <v>1.1197554267430776E-2</v>
      </c>
      <c r="AQ424" s="2">
        <f t="shared" si="48"/>
        <v>3</v>
      </c>
      <c r="AR424">
        <f t="shared" si="45"/>
        <v>8</v>
      </c>
      <c r="AS424" t="str">
        <f t="shared" si="46"/>
        <v>High Claim Ratio</v>
      </c>
      <c r="AT424" t="str">
        <f t="shared" si="47"/>
        <v>High Profit</v>
      </c>
    </row>
    <row r="425" spans="1:46" x14ac:dyDescent="0.2">
      <c r="A425">
        <v>297</v>
      </c>
      <c r="B425">
        <v>48</v>
      </c>
      <c r="C425">
        <v>830729</v>
      </c>
      <c r="D425" s="1">
        <v>34010</v>
      </c>
      <c r="E425" t="s">
        <v>57</v>
      </c>
      <c r="F425" t="s">
        <v>69</v>
      </c>
      <c r="G425">
        <v>1000</v>
      </c>
      <c r="H425">
        <v>1538.6</v>
      </c>
      <c r="I425">
        <v>0</v>
      </c>
      <c r="J425">
        <v>618455</v>
      </c>
      <c r="K425" t="s">
        <v>70</v>
      </c>
      <c r="L425" t="s">
        <v>42</v>
      </c>
      <c r="M425" t="s">
        <v>111</v>
      </c>
      <c r="N425" t="s">
        <v>170</v>
      </c>
      <c r="O425" t="s">
        <v>119</v>
      </c>
      <c r="P425">
        <v>0</v>
      </c>
      <c r="Q425">
        <v>-54700</v>
      </c>
      <c r="R425" s="1">
        <v>42015</v>
      </c>
      <c r="S425" t="s">
        <v>46</v>
      </c>
      <c r="T425" t="s">
        <v>47</v>
      </c>
      <c r="U425" t="s">
        <v>63</v>
      </c>
      <c r="V425" t="s">
        <v>99</v>
      </c>
      <c r="W425" t="s">
        <v>50</v>
      </c>
      <c r="X425" t="s">
        <v>127</v>
      </c>
      <c r="Y425" t="s">
        <v>602</v>
      </c>
      <c r="Z425">
        <v>12</v>
      </c>
      <c r="AA425">
        <v>1</v>
      </c>
      <c r="AB425" t="s">
        <v>62</v>
      </c>
      <c r="AC425">
        <v>0</v>
      </c>
      <c r="AD425">
        <v>0</v>
      </c>
      <c r="AE425" t="s">
        <v>62</v>
      </c>
      <c r="AF425">
        <v>60600</v>
      </c>
      <c r="AG425">
        <v>6060</v>
      </c>
      <c r="AH425">
        <v>12120</v>
      </c>
      <c r="AI425">
        <v>42420</v>
      </c>
      <c r="AJ425" t="s">
        <v>129</v>
      </c>
      <c r="AK425" t="s">
        <v>249</v>
      </c>
      <c r="AL425">
        <v>2004</v>
      </c>
      <c r="AM425" t="s">
        <v>82</v>
      </c>
      <c r="AN425" s="2">
        <f t="shared" si="42"/>
        <v>39.360872954014035</v>
      </c>
      <c r="AO425">
        <f t="shared" si="43"/>
        <v>-59061.4</v>
      </c>
      <c r="AP425" s="2">
        <f t="shared" si="44"/>
        <v>2.5389019983168594E-2</v>
      </c>
      <c r="AQ425" s="2">
        <f t="shared" si="48"/>
        <v>11</v>
      </c>
      <c r="AR425">
        <f t="shared" si="45"/>
        <v>297</v>
      </c>
      <c r="AS425" t="str">
        <f t="shared" si="46"/>
        <v>High Claim Ratio</v>
      </c>
      <c r="AT425" t="str">
        <f t="shared" si="47"/>
        <v>High Profit</v>
      </c>
    </row>
    <row r="426" spans="1:46" x14ac:dyDescent="0.2">
      <c r="A426">
        <v>150</v>
      </c>
      <c r="B426">
        <v>31</v>
      </c>
      <c r="C426">
        <v>651948</v>
      </c>
      <c r="D426" s="1">
        <v>34605</v>
      </c>
      <c r="E426" t="s">
        <v>57</v>
      </c>
      <c r="F426" t="s">
        <v>91</v>
      </c>
      <c r="G426">
        <v>1000</v>
      </c>
      <c r="H426">
        <v>1354.5</v>
      </c>
      <c r="I426">
        <v>0</v>
      </c>
      <c r="J426">
        <v>456602</v>
      </c>
      <c r="K426" t="s">
        <v>41</v>
      </c>
      <c r="L426" t="s">
        <v>124</v>
      </c>
      <c r="M426" t="s">
        <v>58</v>
      </c>
      <c r="N426" t="s">
        <v>106</v>
      </c>
      <c r="O426" t="s">
        <v>45</v>
      </c>
      <c r="P426">
        <v>52800</v>
      </c>
      <c r="Q426">
        <v>0</v>
      </c>
      <c r="R426" s="1">
        <v>42006</v>
      </c>
      <c r="S426" t="s">
        <v>75</v>
      </c>
      <c r="T426" t="s">
        <v>86</v>
      </c>
      <c r="U426" t="s">
        <v>48</v>
      </c>
      <c r="V426" t="s">
        <v>136</v>
      </c>
      <c r="W426" t="s">
        <v>77</v>
      </c>
      <c r="X426" t="s">
        <v>87</v>
      </c>
      <c r="Y426" t="s">
        <v>603</v>
      </c>
      <c r="Z426">
        <v>6</v>
      </c>
      <c r="AA426">
        <v>3</v>
      </c>
      <c r="AB426" t="s">
        <v>62</v>
      </c>
      <c r="AC426">
        <v>0</v>
      </c>
      <c r="AD426">
        <v>3</v>
      </c>
      <c r="AE426" t="s">
        <v>53</v>
      </c>
      <c r="AF426">
        <v>64800</v>
      </c>
      <c r="AG426">
        <v>6480</v>
      </c>
      <c r="AH426">
        <v>12960</v>
      </c>
      <c r="AI426">
        <v>45360</v>
      </c>
      <c r="AJ426" t="s">
        <v>153</v>
      </c>
      <c r="AK426" t="s">
        <v>167</v>
      </c>
      <c r="AL426">
        <v>2000</v>
      </c>
      <c r="AM426" t="s">
        <v>56</v>
      </c>
      <c r="AN426" s="2">
        <f t="shared" si="42"/>
        <v>47.805237919586865</v>
      </c>
      <c r="AO426">
        <f t="shared" si="43"/>
        <v>-63445.5</v>
      </c>
      <c r="AP426" s="2">
        <f t="shared" si="44"/>
        <v>2.0902455209024551E-2</v>
      </c>
      <c r="AQ426" s="2">
        <f t="shared" si="48"/>
        <v>15</v>
      </c>
      <c r="AR426">
        <f t="shared" si="45"/>
        <v>150</v>
      </c>
      <c r="AS426" t="str">
        <f t="shared" si="46"/>
        <v>High Claim Ratio</v>
      </c>
      <c r="AT426" t="str">
        <f t="shared" si="47"/>
        <v>High Profit</v>
      </c>
    </row>
    <row r="427" spans="1:46" x14ac:dyDescent="0.2">
      <c r="A427">
        <v>4</v>
      </c>
      <c r="B427">
        <v>34</v>
      </c>
      <c r="C427">
        <v>424358</v>
      </c>
      <c r="D427" s="1">
        <v>37765</v>
      </c>
      <c r="E427" t="s">
        <v>39</v>
      </c>
      <c r="F427" t="s">
        <v>91</v>
      </c>
      <c r="G427">
        <v>500</v>
      </c>
      <c r="H427">
        <v>1282.93</v>
      </c>
      <c r="I427">
        <v>0</v>
      </c>
      <c r="J427">
        <v>616126</v>
      </c>
      <c r="K427" t="s">
        <v>70</v>
      </c>
      <c r="L427" t="s">
        <v>141</v>
      </c>
      <c r="M427" t="s">
        <v>125</v>
      </c>
      <c r="N427" t="s">
        <v>179</v>
      </c>
      <c r="O427" t="s">
        <v>60</v>
      </c>
      <c r="P427">
        <v>0</v>
      </c>
      <c r="Q427">
        <v>0</v>
      </c>
      <c r="R427" s="1">
        <v>42047</v>
      </c>
      <c r="S427" t="s">
        <v>75</v>
      </c>
      <c r="T427" t="s">
        <v>47</v>
      </c>
      <c r="U427" t="s">
        <v>48</v>
      </c>
      <c r="V427" t="s">
        <v>49</v>
      </c>
      <c r="W427" t="s">
        <v>113</v>
      </c>
      <c r="X427" t="s">
        <v>156</v>
      </c>
      <c r="Y427" t="s">
        <v>604</v>
      </c>
      <c r="Z427">
        <v>0</v>
      </c>
      <c r="AA427">
        <v>4</v>
      </c>
      <c r="AB427" t="s">
        <v>62</v>
      </c>
      <c r="AC427">
        <v>0</v>
      </c>
      <c r="AD427">
        <v>0</v>
      </c>
      <c r="AE427" t="s">
        <v>62</v>
      </c>
      <c r="AF427">
        <v>66880</v>
      </c>
      <c r="AG427">
        <v>6080</v>
      </c>
      <c r="AH427">
        <v>12160</v>
      </c>
      <c r="AI427">
        <v>48640</v>
      </c>
      <c r="AJ427" t="s">
        <v>89</v>
      </c>
      <c r="AK427" t="s">
        <v>223</v>
      </c>
      <c r="AL427">
        <v>1996</v>
      </c>
      <c r="AM427" t="s">
        <v>56</v>
      </c>
      <c r="AN427" s="2">
        <f t="shared" si="42"/>
        <v>52.090067215502401</v>
      </c>
      <c r="AO427">
        <f t="shared" si="43"/>
        <v>-65597.070000000007</v>
      </c>
      <c r="AP427" s="2">
        <f t="shared" si="44"/>
        <v>1.9182278973101478E-2</v>
      </c>
      <c r="AQ427" s="2">
        <f t="shared" si="48"/>
        <v>19</v>
      </c>
      <c r="AR427">
        <f t="shared" si="45"/>
        <v>4</v>
      </c>
      <c r="AS427" t="str">
        <f t="shared" si="46"/>
        <v>High Claim Ratio</v>
      </c>
      <c r="AT427" t="str">
        <f t="shared" si="47"/>
        <v>High Profit</v>
      </c>
    </row>
    <row r="428" spans="1:46" x14ac:dyDescent="0.2">
      <c r="A428">
        <v>210</v>
      </c>
      <c r="B428">
        <v>35</v>
      </c>
      <c r="C428">
        <v>131478</v>
      </c>
      <c r="D428" s="1">
        <v>33597</v>
      </c>
      <c r="E428" t="s">
        <v>83</v>
      </c>
      <c r="F428" t="s">
        <v>91</v>
      </c>
      <c r="G428">
        <v>1000</v>
      </c>
      <c r="H428">
        <v>1346.27</v>
      </c>
      <c r="I428">
        <v>0</v>
      </c>
      <c r="J428">
        <v>468508</v>
      </c>
      <c r="K428" t="s">
        <v>41</v>
      </c>
      <c r="L428" t="s">
        <v>124</v>
      </c>
      <c r="M428" t="s">
        <v>189</v>
      </c>
      <c r="N428" t="s">
        <v>242</v>
      </c>
      <c r="O428" t="s">
        <v>142</v>
      </c>
      <c r="P428">
        <v>44900</v>
      </c>
      <c r="Q428">
        <v>-91400</v>
      </c>
      <c r="R428" s="1">
        <v>42007</v>
      </c>
      <c r="S428" t="s">
        <v>46</v>
      </c>
      <c r="T428" t="s">
        <v>86</v>
      </c>
      <c r="U428" t="s">
        <v>107</v>
      </c>
      <c r="V428" t="s">
        <v>136</v>
      </c>
      <c r="W428" t="s">
        <v>113</v>
      </c>
      <c r="X428" t="s">
        <v>87</v>
      </c>
      <c r="Y428" t="s">
        <v>605</v>
      </c>
      <c r="Z428">
        <v>11</v>
      </c>
      <c r="AA428">
        <v>1</v>
      </c>
      <c r="AB428" t="s">
        <v>79</v>
      </c>
      <c r="AC428">
        <v>0</v>
      </c>
      <c r="AD428">
        <v>2</v>
      </c>
      <c r="AE428" t="s">
        <v>62</v>
      </c>
      <c r="AF428">
        <v>58200</v>
      </c>
      <c r="AG428">
        <v>5820</v>
      </c>
      <c r="AH428">
        <v>5820</v>
      </c>
      <c r="AI428">
        <v>46560</v>
      </c>
      <c r="AJ428" t="s">
        <v>187</v>
      </c>
      <c r="AK428" t="s">
        <v>203</v>
      </c>
      <c r="AL428">
        <v>2013</v>
      </c>
      <c r="AM428" t="s">
        <v>82</v>
      </c>
      <c r="AN428" s="2">
        <f t="shared" si="42"/>
        <v>43.198468013093148</v>
      </c>
      <c r="AO428">
        <f t="shared" si="43"/>
        <v>-56853.73</v>
      </c>
      <c r="AP428" s="2">
        <f t="shared" si="44"/>
        <v>2.3131389495025859E-2</v>
      </c>
      <c r="AQ428" s="2">
        <f t="shared" si="48"/>
        <v>2</v>
      </c>
      <c r="AR428">
        <f t="shared" si="45"/>
        <v>210</v>
      </c>
      <c r="AS428" t="str">
        <f t="shared" si="46"/>
        <v>High Claim Ratio</v>
      </c>
      <c r="AT428" t="str">
        <f t="shared" si="47"/>
        <v>High Profit</v>
      </c>
    </row>
    <row r="429" spans="1:46" x14ac:dyDescent="0.2">
      <c r="A429">
        <v>91</v>
      </c>
      <c r="B429">
        <v>31</v>
      </c>
      <c r="C429">
        <v>268833</v>
      </c>
      <c r="D429" s="1">
        <v>36421</v>
      </c>
      <c r="E429" t="s">
        <v>57</v>
      </c>
      <c r="F429" t="s">
        <v>69</v>
      </c>
      <c r="G429">
        <v>1000</v>
      </c>
      <c r="H429">
        <v>1338.4</v>
      </c>
      <c r="I429">
        <v>4000000</v>
      </c>
      <c r="J429">
        <v>431937</v>
      </c>
      <c r="K429" t="s">
        <v>70</v>
      </c>
      <c r="L429" t="s">
        <v>131</v>
      </c>
      <c r="M429" t="s">
        <v>117</v>
      </c>
      <c r="N429" t="s">
        <v>173</v>
      </c>
      <c r="O429" t="s">
        <v>74</v>
      </c>
      <c r="P429">
        <v>63600</v>
      </c>
      <c r="Q429">
        <v>0</v>
      </c>
      <c r="R429" s="1">
        <v>42060</v>
      </c>
      <c r="S429" t="s">
        <v>46</v>
      </c>
      <c r="T429" t="s">
        <v>47</v>
      </c>
      <c r="U429" t="s">
        <v>63</v>
      </c>
      <c r="V429" t="s">
        <v>49</v>
      </c>
      <c r="W429" t="s">
        <v>121</v>
      </c>
      <c r="X429" t="s">
        <v>122</v>
      </c>
      <c r="Y429" t="s">
        <v>606</v>
      </c>
      <c r="Z429">
        <v>19</v>
      </c>
      <c r="AA429">
        <v>1</v>
      </c>
      <c r="AB429" t="s">
        <v>62</v>
      </c>
      <c r="AC429">
        <v>1</v>
      </c>
      <c r="AD429">
        <v>0</v>
      </c>
      <c r="AE429" t="s">
        <v>79</v>
      </c>
      <c r="AF429">
        <v>60570</v>
      </c>
      <c r="AG429">
        <v>6730</v>
      </c>
      <c r="AH429">
        <v>6730</v>
      </c>
      <c r="AI429">
        <v>47110</v>
      </c>
      <c r="AJ429" t="s">
        <v>104</v>
      </c>
      <c r="AK429" t="s">
        <v>151</v>
      </c>
      <c r="AL429">
        <v>2011</v>
      </c>
      <c r="AM429" t="s">
        <v>82</v>
      </c>
      <c r="AN429" s="2">
        <f t="shared" si="42"/>
        <v>45.221741078094666</v>
      </c>
      <c r="AO429">
        <f t="shared" si="43"/>
        <v>-59231.6</v>
      </c>
      <c r="AP429" s="2">
        <f t="shared" si="44"/>
        <v>2.2096382757425172E-2</v>
      </c>
      <c r="AQ429" s="2">
        <f t="shared" si="48"/>
        <v>4</v>
      </c>
      <c r="AR429">
        <f t="shared" si="45"/>
        <v>91</v>
      </c>
      <c r="AS429" t="str">
        <f t="shared" si="46"/>
        <v>High Claim Ratio</v>
      </c>
      <c r="AT429" t="str">
        <f t="shared" si="47"/>
        <v>High Profit</v>
      </c>
    </row>
    <row r="430" spans="1:46" x14ac:dyDescent="0.2">
      <c r="A430">
        <v>167</v>
      </c>
      <c r="B430">
        <v>36</v>
      </c>
      <c r="C430">
        <v>287489</v>
      </c>
      <c r="D430" s="1">
        <v>34368</v>
      </c>
      <c r="E430" t="s">
        <v>83</v>
      </c>
      <c r="F430" t="s">
        <v>69</v>
      </c>
      <c r="G430">
        <v>1000</v>
      </c>
      <c r="H430">
        <v>949.44</v>
      </c>
      <c r="I430">
        <v>0</v>
      </c>
      <c r="J430">
        <v>448603</v>
      </c>
      <c r="K430" t="s">
        <v>70</v>
      </c>
      <c r="L430" t="s">
        <v>124</v>
      </c>
      <c r="M430" t="s">
        <v>125</v>
      </c>
      <c r="N430" t="s">
        <v>118</v>
      </c>
      <c r="O430" t="s">
        <v>60</v>
      </c>
      <c r="P430">
        <v>0</v>
      </c>
      <c r="Q430">
        <v>-38400</v>
      </c>
      <c r="R430" s="1">
        <v>42023</v>
      </c>
      <c r="S430" t="s">
        <v>75</v>
      </c>
      <c r="T430" t="s">
        <v>76</v>
      </c>
      <c r="U430" t="s">
        <v>48</v>
      </c>
      <c r="V430" t="s">
        <v>136</v>
      </c>
      <c r="W430" t="s">
        <v>121</v>
      </c>
      <c r="X430" t="s">
        <v>102</v>
      </c>
      <c r="Y430" t="s">
        <v>607</v>
      </c>
      <c r="Z430">
        <v>22</v>
      </c>
      <c r="AA430">
        <v>3</v>
      </c>
      <c r="AB430" t="s">
        <v>62</v>
      </c>
      <c r="AC430">
        <v>0</v>
      </c>
      <c r="AD430">
        <v>0</v>
      </c>
      <c r="AE430" t="s">
        <v>79</v>
      </c>
      <c r="AF430">
        <v>69680</v>
      </c>
      <c r="AG430">
        <v>8710</v>
      </c>
      <c r="AH430">
        <v>8710</v>
      </c>
      <c r="AI430">
        <v>52260</v>
      </c>
      <c r="AJ430" t="s">
        <v>67</v>
      </c>
      <c r="AK430" t="s">
        <v>271</v>
      </c>
      <c r="AL430">
        <v>2008</v>
      </c>
      <c r="AM430" t="s">
        <v>56</v>
      </c>
      <c r="AN430" s="2">
        <f t="shared" si="42"/>
        <v>73.313412735154245</v>
      </c>
      <c r="AO430">
        <f t="shared" si="43"/>
        <v>-68730.559999999998</v>
      </c>
      <c r="AP430" s="2">
        <f t="shared" si="44"/>
        <v>1.3625522021784993E-2</v>
      </c>
      <c r="AQ430" s="2">
        <f t="shared" si="48"/>
        <v>7</v>
      </c>
      <c r="AR430">
        <f t="shared" si="45"/>
        <v>167</v>
      </c>
      <c r="AS430" t="str">
        <f t="shared" si="46"/>
        <v>High Claim Ratio</v>
      </c>
      <c r="AT430" t="str">
        <f t="shared" si="47"/>
        <v>High Profit</v>
      </c>
    </row>
    <row r="431" spans="1:46" x14ac:dyDescent="0.2">
      <c r="A431">
        <v>467</v>
      </c>
      <c r="B431">
        <v>58</v>
      </c>
      <c r="C431">
        <v>808153</v>
      </c>
      <c r="D431" s="1">
        <v>37639</v>
      </c>
      <c r="E431" t="s">
        <v>57</v>
      </c>
      <c r="F431" t="s">
        <v>91</v>
      </c>
      <c r="G431">
        <v>2000</v>
      </c>
      <c r="H431">
        <v>977.4</v>
      </c>
      <c r="I431">
        <v>0</v>
      </c>
      <c r="J431">
        <v>444500</v>
      </c>
      <c r="K431" t="s">
        <v>41</v>
      </c>
      <c r="L431" t="s">
        <v>124</v>
      </c>
      <c r="M431" t="s">
        <v>145</v>
      </c>
      <c r="N431" t="s">
        <v>98</v>
      </c>
      <c r="O431" t="s">
        <v>74</v>
      </c>
      <c r="P431">
        <v>82200</v>
      </c>
      <c r="Q431">
        <v>0</v>
      </c>
      <c r="R431" s="1">
        <v>42007</v>
      </c>
      <c r="S431" t="s">
        <v>46</v>
      </c>
      <c r="T431" t="s">
        <v>86</v>
      </c>
      <c r="U431" t="s">
        <v>107</v>
      </c>
      <c r="V431" t="s">
        <v>99</v>
      </c>
      <c r="W431" t="s">
        <v>77</v>
      </c>
      <c r="X431" t="s">
        <v>51</v>
      </c>
      <c r="Y431" t="s">
        <v>608</v>
      </c>
      <c r="Z431">
        <v>2</v>
      </c>
      <c r="AA431">
        <v>1</v>
      </c>
      <c r="AB431" t="s">
        <v>53</v>
      </c>
      <c r="AC431">
        <v>2</v>
      </c>
      <c r="AD431">
        <v>3</v>
      </c>
      <c r="AE431" t="s">
        <v>79</v>
      </c>
      <c r="AF431">
        <v>55700</v>
      </c>
      <c r="AG431">
        <v>5570</v>
      </c>
      <c r="AH431">
        <v>11140</v>
      </c>
      <c r="AI431">
        <v>38990</v>
      </c>
      <c r="AJ431" t="s">
        <v>104</v>
      </c>
      <c r="AK431" t="s">
        <v>151</v>
      </c>
      <c r="AL431">
        <v>2014</v>
      </c>
      <c r="AM431" t="s">
        <v>82</v>
      </c>
      <c r="AN431" s="2">
        <f t="shared" si="42"/>
        <v>56.929681112019622</v>
      </c>
      <c r="AO431">
        <f t="shared" si="43"/>
        <v>-54722.6</v>
      </c>
      <c r="AP431" s="2">
        <f t="shared" si="44"/>
        <v>1.7547261269995153E-2</v>
      </c>
      <c r="AQ431" s="2">
        <f t="shared" si="48"/>
        <v>1</v>
      </c>
      <c r="AR431">
        <f t="shared" si="45"/>
        <v>467</v>
      </c>
      <c r="AS431" t="str">
        <f t="shared" si="46"/>
        <v>High Claim Ratio</v>
      </c>
      <c r="AT431" t="str">
        <f t="shared" si="47"/>
        <v>High Profit</v>
      </c>
    </row>
    <row r="432" spans="1:46" x14ac:dyDescent="0.2">
      <c r="A432">
        <v>264</v>
      </c>
      <c r="B432">
        <v>47</v>
      </c>
      <c r="C432">
        <v>687639</v>
      </c>
      <c r="D432" s="1">
        <v>38418</v>
      </c>
      <c r="E432" t="s">
        <v>57</v>
      </c>
      <c r="F432" t="s">
        <v>40</v>
      </c>
      <c r="G432">
        <v>2000</v>
      </c>
      <c r="H432">
        <v>1181.46</v>
      </c>
      <c r="I432">
        <v>10000000</v>
      </c>
      <c r="J432">
        <v>601117</v>
      </c>
      <c r="K432" t="s">
        <v>70</v>
      </c>
      <c r="L432" t="s">
        <v>161</v>
      </c>
      <c r="M432" t="s">
        <v>145</v>
      </c>
      <c r="N432" t="s">
        <v>44</v>
      </c>
      <c r="O432" t="s">
        <v>60</v>
      </c>
      <c r="P432">
        <v>0</v>
      </c>
      <c r="Q432">
        <v>-67400</v>
      </c>
      <c r="R432" s="1">
        <v>42047</v>
      </c>
      <c r="S432" t="s">
        <v>75</v>
      </c>
      <c r="T432" t="s">
        <v>86</v>
      </c>
      <c r="U432" t="s">
        <v>107</v>
      </c>
      <c r="V432" t="s">
        <v>136</v>
      </c>
      <c r="W432" t="s">
        <v>39</v>
      </c>
      <c r="X432" t="s">
        <v>87</v>
      </c>
      <c r="Y432" t="s">
        <v>609</v>
      </c>
      <c r="Z432">
        <v>16</v>
      </c>
      <c r="AA432">
        <v>4</v>
      </c>
      <c r="AB432" t="s">
        <v>53</v>
      </c>
      <c r="AC432">
        <v>1</v>
      </c>
      <c r="AD432">
        <v>2</v>
      </c>
      <c r="AE432" t="s">
        <v>53</v>
      </c>
      <c r="AF432">
        <v>62370</v>
      </c>
      <c r="AG432">
        <v>5670</v>
      </c>
      <c r="AH432">
        <v>5670</v>
      </c>
      <c r="AI432">
        <v>51030</v>
      </c>
      <c r="AJ432" t="s">
        <v>80</v>
      </c>
      <c r="AK432" t="s">
        <v>144</v>
      </c>
      <c r="AL432">
        <v>2001</v>
      </c>
      <c r="AM432" t="s">
        <v>82</v>
      </c>
      <c r="AN432" s="2">
        <f t="shared" si="42"/>
        <v>52.745970265378951</v>
      </c>
      <c r="AO432">
        <f t="shared" si="43"/>
        <v>-61188.54</v>
      </c>
      <c r="AP432" s="2">
        <f t="shared" si="44"/>
        <v>1.8942457231726283E-2</v>
      </c>
      <c r="AQ432" s="2">
        <f t="shared" si="48"/>
        <v>14</v>
      </c>
      <c r="AR432">
        <f t="shared" si="45"/>
        <v>264</v>
      </c>
      <c r="AS432" t="str">
        <f t="shared" si="46"/>
        <v>High Claim Ratio</v>
      </c>
      <c r="AT432" t="str">
        <f t="shared" si="47"/>
        <v>High Profit</v>
      </c>
    </row>
    <row r="433" spans="1:46" x14ac:dyDescent="0.2">
      <c r="A433">
        <v>270</v>
      </c>
      <c r="B433">
        <v>45</v>
      </c>
      <c r="C433">
        <v>497347</v>
      </c>
      <c r="D433" s="1">
        <v>37856</v>
      </c>
      <c r="E433" t="s">
        <v>39</v>
      </c>
      <c r="F433" t="s">
        <v>91</v>
      </c>
      <c r="G433">
        <v>500</v>
      </c>
      <c r="H433">
        <v>1187.53</v>
      </c>
      <c r="I433">
        <v>0</v>
      </c>
      <c r="J433">
        <v>615383</v>
      </c>
      <c r="K433" t="s">
        <v>70</v>
      </c>
      <c r="L433" t="s">
        <v>71</v>
      </c>
      <c r="M433" t="s">
        <v>117</v>
      </c>
      <c r="N433" t="s">
        <v>155</v>
      </c>
      <c r="O433" t="s">
        <v>142</v>
      </c>
      <c r="P433">
        <v>83200</v>
      </c>
      <c r="Q433">
        <v>-53300</v>
      </c>
      <c r="R433" s="1">
        <v>42059</v>
      </c>
      <c r="S433" t="s">
        <v>75</v>
      </c>
      <c r="T433" t="s">
        <v>47</v>
      </c>
      <c r="U433" t="s">
        <v>107</v>
      </c>
      <c r="V433" t="s">
        <v>120</v>
      </c>
      <c r="W433" t="s">
        <v>64</v>
      </c>
      <c r="X433" t="s">
        <v>51</v>
      </c>
      <c r="Y433" t="s">
        <v>610</v>
      </c>
      <c r="Z433">
        <v>23</v>
      </c>
      <c r="AA433">
        <v>3</v>
      </c>
      <c r="AB433" t="s">
        <v>62</v>
      </c>
      <c r="AC433">
        <v>0</v>
      </c>
      <c r="AD433">
        <v>0</v>
      </c>
      <c r="AE433" t="s">
        <v>53</v>
      </c>
      <c r="AF433">
        <v>54340</v>
      </c>
      <c r="AG433">
        <v>9880</v>
      </c>
      <c r="AH433">
        <v>0</v>
      </c>
      <c r="AI433">
        <v>44460</v>
      </c>
      <c r="AJ433" t="s">
        <v>54</v>
      </c>
      <c r="AK433" t="s">
        <v>55</v>
      </c>
      <c r="AL433">
        <v>2005</v>
      </c>
      <c r="AM433" t="s">
        <v>82</v>
      </c>
      <c r="AN433" s="2">
        <f t="shared" si="42"/>
        <v>45.720343617746295</v>
      </c>
      <c r="AO433">
        <f t="shared" si="43"/>
        <v>-53152.47</v>
      </c>
      <c r="AP433" s="2">
        <f t="shared" si="44"/>
        <v>2.1853296774074823E-2</v>
      </c>
      <c r="AQ433" s="2">
        <f t="shared" si="48"/>
        <v>10</v>
      </c>
      <c r="AR433">
        <f t="shared" si="45"/>
        <v>270</v>
      </c>
      <c r="AS433" t="str">
        <f t="shared" si="46"/>
        <v>High Claim Ratio</v>
      </c>
      <c r="AT433" t="str">
        <f t="shared" si="47"/>
        <v>High Profit</v>
      </c>
    </row>
    <row r="434" spans="1:46" x14ac:dyDescent="0.2">
      <c r="A434">
        <v>310</v>
      </c>
      <c r="B434">
        <v>48</v>
      </c>
      <c r="C434">
        <v>439660</v>
      </c>
      <c r="D434" s="1">
        <v>37448</v>
      </c>
      <c r="E434" t="s">
        <v>39</v>
      </c>
      <c r="F434" t="s">
        <v>69</v>
      </c>
      <c r="G434">
        <v>1000</v>
      </c>
      <c r="H434">
        <v>845.16</v>
      </c>
      <c r="I434">
        <v>0</v>
      </c>
      <c r="J434">
        <v>434342</v>
      </c>
      <c r="K434" t="s">
        <v>70</v>
      </c>
      <c r="L434" t="s">
        <v>124</v>
      </c>
      <c r="M434" t="s">
        <v>117</v>
      </c>
      <c r="N434" t="s">
        <v>106</v>
      </c>
      <c r="O434" t="s">
        <v>60</v>
      </c>
      <c r="P434">
        <v>0</v>
      </c>
      <c r="Q434">
        <v>0</v>
      </c>
      <c r="R434" s="1">
        <v>42060</v>
      </c>
      <c r="S434" t="s">
        <v>46</v>
      </c>
      <c r="T434" t="s">
        <v>86</v>
      </c>
      <c r="U434" t="s">
        <v>48</v>
      </c>
      <c r="V434" t="s">
        <v>49</v>
      </c>
      <c r="W434" t="s">
        <v>121</v>
      </c>
      <c r="X434" t="s">
        <v>127</v>
      </c>
      <c r="Y434" t="s">
        <v>611</v>
      </c>
      <c r="Z434">
        <v>21</v>
      </c>
      <c r="AA434">
        <v>1</v>
      </c>
      <c r="AB434" t="s">
        <v>53</v>
      </c>
      <c r="AC434">
        <v>1</v>
      </c>
      <c r="AD434">
        <v>0</v>
      </c>
      <c r="AE434" t="s">
        <v>79</v>
      </c>
      <c r="AF434">
        <v>55170</v>
      </c>
      <c r="AG434">
        <v>6130</v>
      </c>
      <c r="AH434">
        <v>6130</v>
      </c>
      <c r="AI434">
        <v>42910</v>
      </c>
      <c r="AJ434" t="s">
        <v>109</v>
      </c>
      <c r="AK434" t="s">
        <v>110</v>
      </c>
      <c r="AL434">
        <v>2005</v>
      </c>
      <c r="AM434" t="s">
        <v>56</v>
      </c>
      <c r="AN434" s="2">
        <f t="shared" si="42"/>
        <v>65.200434905927963</v>
      </c>
      <c r="AO434">
        <f t="shared" si="43"/>
        <v>-54324.84</v>
      </c>
      <c r="AP434" s="2">
        <f t="shared" si="44"/>
        <v>1.5318917547262148E-2</v>
      </c>
      <c r="AQ434" s="2">
        <f t="shared" si="48"/>
        <v>10</v>
      </c>
      <c r="AR434">
        <f t="shared" si="45"/>
        <v>310</v>
      </c>
      <c r="AS434" t="str">
        <f t="shared" si="46"/>
        <v>High Claim Ratio</v>
      </c>
      <c r="AT434" t="str">
        <f t="shared" si="47"/>
        <v>High Profit</v>
      </c>
    </row>
    <row r="435" spans="1:46" x14ac:dyDescent="0.2">
      <c r="A435">
        <v>143</v>
      </c>
      <c r="B435">
        <v>34</v>
      </c>
      <c r="C435">
        <v>847123</v>
      </c>
      <c r="D435" s="1">
        <v>41717</v>
      </c>
      <c r="E435" t="s">
        <v>83</v>
      </c>
      <c r="F435" t="s">
        <v>69</v>
      </c>
      <c r="G435">
        <v>500</v>
      </c>
      <c r="H435">
        <v>1442.27</v>
      </c>
      <c r="I435">
        <v>0</v>
      </c>
      <c r="J435">
        <v>435100</v>
      </c>
      <c r="K435" t="s">
        <v>41</v>
      </c>
      <c r="L435" t="s">
        <v>141</v>
      </c>
      <c r="M435" t="s">
        <v>117</v>
      </c>
      <c r="N435" t="s">
        <v>264</v>
      </c>
      <c r="O435" t="s">
        <v>119</v>
      </c>
      <c r="P435">
        <v>67900</v>
      </c>
      <c r="Q435">
        <v>0</v>
      </c>
      <c r="R435" s="1">
        <v>42052</v>
      </c>
      <c r="S435" t="s">
        <v>46</v>
      </c>
      <c r="T435" t="s">
        <v>86</v>
      </c>
      <c r="U435" t="s">
        <v>63</v>
      </c>
      <c r="V435" t="s">
        <v>120</v>
      </c>
      <c r="W435" t="s">
        <v>77</v>
      </c>
      <c r="X435" t="s">
        <v>51</v>
      </c>
      <c r="Y435" t="s">
        <v>612</v>
      </c>
      <c r="Z435">
        <v>10</v>
      </c>
      <c r="AA435">
        <v>1</v>
      </c>
      <c r="AB435" t="s">
        <v>62</v>
      </c>
      <c r="AC435">
        <v>2</v>
      </c>
      <c r="AD435">
        <v>3</v>
      </c>
      <c r="AE435" t="s">
        <v>53</v>
      </c>
      <c r="AF435">
        <v>58500</v>
      </c>
      <c r="AG435">
        <v>11700</v>
      </c>
      <c r="AH435">
        <v>5850</v>
      </c>
      <c r="AI435">
        <v>40950</v>
      </c>
      <c r="AJ435" t="s">
        <v>80</v>
      </c>
      <c r="AK435" t="s">
        <v>81</v>
      </c>
      <c r="AL435">
        <v>1999</v>
      </c>
      <c r="AM435" t="s">
        <v>82</v>
      </c>
      <c r="AN435" s="2">
        <f t="shared" si="42"/>
        <v>40.53295641148226</v>
      </c>
      <c r="AO435">
        <f t="shared" si="43"/>
        <v>-57057.73</v>
      </c>
      <c r="AP435" s="2">
        <f t="shared" si="44"/>
        <v>2.4653766602280303E-2</v>
      </c>
      <c r="AQ435" s="2">
        <f t="shared" si="48"/>
        <v>16</v>
      </c>
      <c r="AR435">
        <f t="shared" si="45"/>
        <v>143</v>
      </c>
      <c r="AS435" t="str">
        <f t="shared" si="46"/>
        <v>High Claim Ratio</v>
      </c>
      <c r="AT435" t="str">
        <f t="shared" si="47"/>
        <v>High Profit</v>
      </c>
    </row>
    <row r="436" spans="1:46" x14ac:dyDescent="0.2">
      <c r="A436">
        <v>146</v>
      </c>
      <c r="B436">
        <v>32</v>
      </c>
      <c r="C436">
        <v>172307</v>
      </c>
      <c r="D436" s="1">
        <v>34309</v>
      </c>
      <c r="E436" t="s">
        <v>39</v>
      </c>
      <c r="F436" t="s">
        <v>69</v>
      </c>
      <c r="G436">
        <v>2000</v>
      </c>
      <c r="H436">
        <v>1276.43</v>
      </c>
      <c r="I436">
        <v>0</v>
      </c>
      <c r="J436">
        <v>431278</v>
      </c>
      <c r="K436" t="s">
        <v>41</v>
      </c>
      <c r="L436" t="s">
        <v>92</v>
      </c>
      <c r="M436" t="s">
        <v>117</v>
      </c>
      <c r="N436" t="s">
        <v>132</v>
      </c>
      <c r="O436" t="s">
        <v>74</v>
      </c>
      <c r="P436">
        <v>0</v>
      </c>
      <c r="Q436">
        <v>0</v>
      </c>
      <c r="R436" s="1">
        <v>42044</v>
      </c>
      <c r="S436" t="s">
        <v>46</v>
      </c>
      <c r="T436" t="s">
        <v>76</v>
      </c>
      <c r="U436" t="s">
        <v>48</v>
      </c>
      <c r="V436" t="s">
        <v>99</v>
      </c>
      <c r="W436" t="s">
        <v>121</v>
      </c>
      <c r="X436" t="s">
        <v>65</v>
      </c>
      <c r="Y436" t="s">
        <v>613</v>
      </c>
      <c r="Z436">
        <v>12</v>
      </c>
      <c r="AA436">
        <v>1</v>
      </c>
      <c r="AB436" t="s">
        <v>62</v>
      </c>
      <c r="AC436">
        <v>0</v>
      </c>
      <c r="AD436">
        <v>3</v>
      </c>
      <c r="AE436" t="s">
        <v>62</v>
      </c>
      <c r="AF436">
        <v>59940</v>
      </c>
      <c r="AG436">
        <v>6660</v>
      </c>
      <c r="AH436">
        <v>6660</v>
      </c>
      <c r="AI436">
        <v>46620</v>
      </c>
      <c r="AJ436" t="s">
        <v>209</v>
      </c>
      <c r="AK436" t="s">
        <v>225</v>
      </c>
      <c r="AL436">
        <v>1995</v>
      </c>
      <c r="AM436" t="s">
        <v>82</v>
      </c>
      <c r="AN436" s="2">
        <f t="shared" si="42"/>
        <v>46.922336253258493</v>
      </c>
      <c r="AO436">
        <f t="shared" si="43"/>
        <v>-58663.57</v>
      </c>
      <c r="AP436" s="2">
        <f t="shared" si="44"/>
        <v>2.1294773193640416E-2</v>
      </c>
      <c r="AQ436" s="2">
        <f t="shared" si="48"/>
        <v>20</v>
      </c>
      <c r="AR436">
        <f t="shared" si="45"/>
        <v>146</v>
      </c>
      <c r="AS436" t="str">
        <f t="shared" si="46"/>
        <v>High Claim Ratio</v>
      </c>
      <c r="AT436" t="str">
        <f t="shared" si="47"/>
        <v>High Profit</v>
      </c>
    </row>
    <row r="437" spans="1:46" x14ac:dyDescent="0.2">
      <c r="A437">
        <v>102</v>
      </c>
      <c r="B437">
        <v>28</v>
      </c>
      <c r="C437">
        <v>810189</v>
      </c>
      <c r="D437" s="1">
        <v>36401</v>
      </c>
      <c r="E437" t="s">
        <v>39</v>
      </c>
      <c r="F437" t="s">
        <v>40</v>
      </c>
      <c r="G437">
        <v>500</v>
      </c>
      <c r="H437">
        <v>1075.4100000000001</v>
      </c>
      <c r="I437">
        <v>0</v>
      </c>
      <c r="J437">
        <v>445648</v>
      </c>
      <c r="K437" t="s">
        <v>41</v>
      </c>
      <c r="L437" t="s">
        <v>42</v>
      </c>
      <c r="M437" t="s">
        <v>58</v>
      </c>
      <c r="N437" t="s">
        <v>59</v>
      </c>
      <c r="O437" t="s">
        <v>119</v>
      </c>
      <c r="P437">
        <v>55200</v>
      </c>
      <c r="Q437">
        <v>0</v>
      </c>
      <c r="R437" s="1">
        <v>42050</v>
      </c>
      <c r="S437" t="s">
        <v>46</v>
      </c>
      <c r="T437" t="s">
        <v>47</v>
      </c>
      <c r="U437" t="s">
        <v>107</v>
      </c>
      <c r="V437" t="s">
        <v>49</v>
      </c>
      <c r="W437" t="s">
        <v>175</v>
      </c>
      <c r="X437" t="s">
        <v>127</v>
      </c>
      <c r="Y437" t="s">
        <v>614</v>
      </c>
      <c r="Z437">
        <v>6</v>
      </c>
      <c r="AA437">
        <v>1</v>
      </c>
      <c r="AB437" t="s">
        <v>79</v>
      </c>
      <c r="AC437">
        <v>1</v>
      </c>
      <c r="AD437">
        <v>0</v>
      </c>
      <c r="AE437" t="s">
        <v>79</v>
      </c>
      <c r="AF437">
        <v>73400</v>
      </c>
      <c r="AG437">
        <v>7340</v>
      </c>
      <c r="AH437">
        <v>7340</v>
      </c>
      <c r="AI437">
        <v>58720</v>
      </c>
      <c r="AJ437" t="s">
        <v>80</v>
      </c>
      <c r="AK437" t="s">
        <v>144</v>
      </c>
      <c r="AL437">
        <v>1996</v>
      </c>
      <c r="AM437" t="s">
        <v>82</v>
      </c>
      <c r="AN437" s="2">
        <f t="shared" si="42"/>
        <v>68.189630345314512</v>
      </c>
      <c r="AO437">
        <f t="shared" si="43"/>
        <v>-72324.59</v>
      </c>
      <c r="AP437" s="2">
        <f t="shared" si="44"/>
        <v>1.4651162790697676E-2</v>
      </c>
      <c r="AQ437" s="2">
        <f t="shared" si="48"/>
        <v>19</v>
      </c>
      <c r="AR437">
        <f t="shared" si="45"/>
        <v>102</v>
      </c>
      <c r="AS437" t="str">
        <f t="shared" si="46"/>
        <v>High Claim Ratio</v>
      </c>
      <c r="AT437" t="str">
        <f t="shared" si="47"/>
        <v>High Profit</v>
      </c>
    </row>
    <row r="438" spans="1:46" x14ac:dyDescent="0.2">
      <c r="A438">
        <v>61</v>
      </c>
      <c r="B438">
        <v>23</v>
      </c>
      <c r="C438">
        <v>432068</v>
      </c>
      <c r="D438" s="1">
        <v>39150</v>
      </c>
      <c r="E438" t="s">
        <v>83</v>
      </c>
      <c r="F438" t="s">
        <v>69</v>
      </c>
      <c r="G438">
        <v>500</v>
      </c>
      <c r="H438">
        <v>1111.72</v>
      </c>
      <c r="I438">
        <v>0</v>
      </c>
      <c r="J438">
        <v>448857</v>
      </c>
      <c r="K438" t="s">
        <v>41</v>
      </c>
      <c r="L438" t="s">
        <v>161</v>
      </c>
      <c r="M438" t="s">
        <v>125</v>
      </c>
      <c r="N438" t="s">
        <v>98</v>
      </c>
      <c r="O438" t="s">
        <v>60</v>
      </c>
      <c r="P438">
        <v>54600</v>
      </c>
      <c r="Q438">
        <v>0</v>
      </c>
      <c r="R438" s="1">
        <v>42060</v>
      </c>
      <c r="S438" t="s">
        <v>46</v>
      </c>
      <c r="T438" t="s">
        <v>47</v>
      </c>
      <c r="U438" t="s">
        <v>48</v>
      </c>
      <c r="V438" t="s">
        <v>99</v>
      </c>
      <c r="W438" t="s">
        <v>175</v>
      </c>
      <c r="X438" t="s">
        <v>65</v>
      </c>
      <c r="Y438" t="s">
        <v>615</v>
      </c>
      <c r="Z438">
        <v>6</v>
      </c>
      <c r="AA438">
        <v>1</v>
      </c>
      <c r="AB438" t="s">
        <v>62</v>
      </c>
      <c r="AC438">
        <v>1</v>
      </c>
      <c r="AD438">
        <v>2</v>
      </c>
      <c r="AE438" t="s">
        <v>62</v>
      </c>
      <c r="AF438">
        <v>41850</v>
      </c>
      <c r="AG438">
        <v>4650</v>
      </c>
      <c r="AH438">
        <v>4650</v>
      </c>
      <c r="AI438">
        <v>32550</v>
      </c>
      <c r="AJ438" t="s">
        <v>153</v>
      </c>
      <c r="AK438" t="s">
        <v>154</v>
      </c>
      <c r="AL438">
        <v>1997</v>
      </c>
      <c r="AM438" t="s">
        <v>82</v>
      </c>
      <c r="AN438" s="2">
        <f t="shared" si="42"/>
        <v>37.610539938169531</v>
      </c>
      <c r="AO438">
        <f t="shared" si="43"/>
        <v>-40738.28</v>
      </c>
      <c r="AP438" s="2">
        <f t="shared" si="44"/>
        <v>2.6563761917277964E-2</v>
      </c>
      <c r="AQ438" s="2">
        <f t="shared" si="48"/>
        <v>18</v>
      </c>
      <c r="AR438">
        <f t="shared" si="45"/>
        <v>61</v>
      </c>
      <c r="AS438" t="str">
        <f t="shared" si="46"/>
        <v>High Claim Ratio</v>
      </c>
      <c r="AT438" t="str">
        <f t="shared" si="47"/>
        <v>High Profit</v>
      </c>
    </row>
    <row r="439" spans="1:46" x14ac:dyDescent="0.2">
      <c r="A439">
        <v>255</v>
      </c>
      <c r="B439">
        <v>44</v>
      </c>
      <c r="C439">
        <v>903203</v>
      </c>
      <c r="D439" s="1">
        <v>37989</v>
      </c>
      <c r="E439" t="s">
        <v>39</v>
      </c>
      <c r="F439" t="s">
        <v>91</v>
      </c>
      <c r="G439">
        <v>2000</v>
      </c>
      <c r="H439">
        <v>814.96</v>
      </c>
      <c r="I439">
        <v>6000000</v>
      </c>
      <c r="J439">
        <v>435267</v>
      </c>
      <c r="K439" t="s">
        <v>70</v>
      </c>
      <c r="L439" t="s">
        <v>71</v>
      </c>
      <c r="M439" t="s">
        <v>117</v>
      </c>
      <c r="N439" t="s">
        <v>168</v>
      </c>
      <c r="O439" t="s">
        <v>142</v>
      </c>
      <c r="P439">
        <v>68500</v>
      </c>
      <c r="Q439">
        <v>0</v>
      </c>
      <c r="R439" s="1">
        <v>42040</v>
      </c>
      <c r="S439" t="s">
        <v>138</v>
      </c>
      <c r="T439" t="s">
        <v>62</v>
      </c>
      <c r="U439" t="s">
        <v>212</v>
      </c>
      <c r="V439" t="s">
        <v>49</v>
      </c>
      <c r="W439" t="s">
        <v>121</v>
      </c>
      <c r="X439" t="s">
        <v>122</v>
      </c>
      <c r="Y439" t="s">
        <v>616</v>
      </c>
      <c r="Z439">
        <v>7</v>
      </c>
      <c r="AA439">
        <v>1</v>
      </c>
      <c r="AB439" t="s">
        <v>62</v>
      </c>
      <c r="AC439">
        <v>2</v>
      </c>
      <c r="AD439">
        <v>2</v>
      </c>
      <c r="AE439" t="s">
        <v>79</v>
      </c>
      <c r="AF439">
        <v>6400</v>
      </c>
      <c r="AG439">
        <v>640</v>
      </c>
      <c r="AH439">
        <v>1280</v>
      </c>
      <c r="AI439">
        <v>4480</v>
      </c>
      <c r="AJ439" t="s">
        <v>67</v>
      </c>
      <c r="AK439" t="s">
        <v>271</v>
      </c>
      <c r="AL439">
        <v>2005</v>
      </c>
      <c r="AM439" t="s">
        <v>56</v>
      </c>
      <c r="AN439" s="2">
        <f t="shared" si="42"/>
        <v>7.8435217412618261</v>
      </c>
      <c r="AO439">
        <f t="shared" si="43"/>
        <v>-5585.04</v>
      </c>
      <c r="AP439" s="2">
        <f t="shared" si="44"/>
        <v>0.12731760662396502</v>
      </c>
      <c r="AQ439" s="2">
        <f t="shared" si="48"/>
        <v>10</v>
      </c>
      <c r="AR439">
        <f t="shared" si="45"/>
        <v>255</v>
      </c>
      <c r="AS439" t="str">
        <f t="shared" si="46"/>
        <v>Medium Claim Ratio</v>
      </c>
      <c r="AT439" t="str">
        <f t="shared" si="47"/>
        <v>High Profit</v>
      </c>
    </row>
    <row r="440" spans="1:46" x14ac:dyDescent="0.2">
      <c r="A440">
        <v>211</v>
      </c>
      <c r="B440">
        <v>40</v>
      </c>
      <c r="C440">
        <v>253085</v>
      </c>
      <c r="D440" s="1">
        <v>33353</v>
      </c>
      <c r="E440" t="s">
        <v>83</v>
      </c>
      <c r="F440" t="s">
        <v>91</v>
      </c>
      <c r="G440">
        <v>1000</v>
      </c>
      <c r="H440">
        <v>1575.86</v>
      </c>
      <c r="I440">
        <v>0</v>
      </c>
      <c r="J440">
        <v>461275</v>
      </c>
      <c r="K440" t="s">
        <v>70</v>
      </c>
      <c r="L440" t="s">
        <v>71</v>
      </c>
      <c r="M440" t="s">
        <v>111</v>
      </c>
      <c r="N440" t="s">
        <v>44</v>
      </c>
      <c r="O440" t="s">
        <v>74</v>
      </c>
      <c r="P440">
        <v>0</v>
      </c>
      <c r="Q440">
        <v>0</v>
      </c>
      <c r="R440" s="1">
        <v>42016</v>
      </c>
      <c r="S440" t="s">
        <v>61</v>
      </c>
      <c r="T440" t="s">
        <v>62</v>
      </c>
      <c r="U440" t="s">
        <v>212</v>
      </c>
      <c r="V440" t="s">
        <v>49</v>
      </c>
      <c r="W440" t="s">
        <v>113</v>
      </c>
      <c r="X440" t="s">
        <v>156</v>
      </c>
      <c r="Y440" t="s">
        <v>617</v>
      </c>
      <c r="Z440">
        <v>3</v>
      </c>
      <c r="AA440">
        <v>1</v>
      </c>
      <c r="AB440" t="s">
        <v>79</v>
      </c>
      <c r="AC440">
        <v>1</v>
      </c>
      <c r="AD440">
        <v>1</v>
      </c>
      <c r="AE440" t="s">
        <v>79</v>
      </c>
      <c r="AF440">
        <v>3190</v>
      </c>
      <c r="AG440">
        <v>580</v>
      </c>
      <c r="AH440">
        <v>290</v>
      </c>
      <c r="AI440">
        <v>2320</v>
      </c>
      <c r="AJ440" t="s">
        <v>109</v>
      </c>
      <c r="AK440" t="s">
        <v>110</v>
      </c>
      <c r="AL440">
        <v>2004</v>
      </c>
      <c r="AM440" t="s">
        <v>82</v>
      </c>
      <c r="AN440" s="2">
        <f t="shared" si="42"/>
        <v>2.0230077495782761</v>
      </c>
      <c r="AO440">
        <f t="shared" si="43"/>
        <v>-1614.14</v>
      </c>
      <c r="AP440" s="2">
        <f t="shared" si="44"/>
        <v>0.49384518959573798</v>
      </c>
      <c r="AQ440" s="2">
        <f t="shared" si="48"/>
        <v>11</v>
      </c>
      <c r="AR440">
        <f t="shared" si="45"/>
        <v>211</v>
      </c>
      <c r="AS440" t="str">
        <f t="shared" si="46"/>
        <v>Low Claim Ratio</v>
      </c>
      <c r="AT440" t="str">
        <f t="shared" si="47"/>
        <v>Low Profit</v>
      </c>
    </row>
    <row r="441" spans="1:46" x14ac:dyDescent="0.2">
      <c r="A441">
        <v>61</v>
      </c>
      <c r="B441">
        <v>29</v>
      </c>
      <c r="C441">
        <v>180720</v>
      </c>
      <c r="D441" s="1">
        <v>34772</v>
      </c>
      <c r="E441" t="s">
        <v>57</v>
      </c>
      <c r="F441" t="s">
        <v>40</v>
      </c>
      <c r="G441">
        <v>1000</v>
      </c>
      <c r="H441">
        <v>1115.27</v>
      </c>
      <c r="I441">
        <v>0</v>
      </c>
      <c r="J441">
        <v>613816</v>
      </c>
      <c r="K441" t="s">
        <v>41</v>
      </c>
      <c r="L441" t="s">
        <v>161</v>
      </c>
      <c r="M441" t="s">
        <v>159</v>
      </c>
      <c r="N441" t="s">
        <v>173</v>
      </c>
      <c r="O441" t="s">
        <v>85</v>
      </c>
      <c r="P441">
        <v>0</v>
      </c>
      <c r="Q441">
        <v>-66000</v>
      </c>
      <c r="R441" s="1">
        <v>42005</v>
      </c>
      <c r="S441" t="s">
        <v>138</v>
      </c>
      <c r="T441" t="s">
        <v>62</v>
      </c>
      <c r="U441" t="s">
        <v>212</v>
      </c>
      <c r="V441" t="s">
        <v>93</v>
      </c>
      <c r="W441" t="s">
        <v>64</v>
      </c>
      <c r="X441" t="s">
        <v>122</v>
      </c>
      <c r="Y441" t="s">
        <v>618</v>
      </c>
      <c r="Z441">
        <v>10</v>
      </c>
      <c r="AA441">
        <v>1</v>
      </c>
      <c r="AB441" t="s">
        <v>53</v>
      </c>
      <c r="AC441">
        <v>2</v>
      </c>
      <c r="AD441">
        <v>1</v>
      </c>
      <c r="AE441" t="s">
        <v>53</v>
      </c>
      <c r="AF441">
        <v>5900</v>
      </c>
      <c r="AG441">
        <v>590</v>
      </c>
      <c r="AH441">
        <v>590</v>
      </c>
      <c r="AI441">
        <v>4720</v>
      </c>
      <c r="AJ441" t="s">
        <v>104</v>
      </c>
      <c r="AK441" t="s">
        <v>105</v>
      </c>
      <c r="AL441">
        <v>2010</v>
      </c>
      <c r="AM441" t="s">
        <v>82</v>
      </c>
      <c r="AN441" s="2">
        <f t="shared" si="42"/>
        <v>5.2854596110260061</v>
      </c>
      <c r="AO441">
        <f t="shared" si="43"/>
        <v>-4784.7299999999996</v>
      </c>
      <c r="AP441" s="2">
        <f t="shared" si="44"/>
        <v>0.18899678020674462</v>
      </c>
      <c r="AQ441" s="2">
        <f t="shared" si="48"/>
        <v>5</v>
      </c>
      <c r="AR441">
        <f t="shared" si="45"/>
        <v>61</v>
      </c>
      <c r="AS441" t="str">
        <f t="shared" si="46"/>
        <v>Medium Claim Ratio</v>
      </c>
      <c r="AT441" t="str">
        <f t="shared" si="47"/>
        <v>Low Profit</v>
      </c>
    </row>
    <row r="442" spans="1:46" x14ac:dyDescent="0.2">
      <c r="A442">
        <v>108</v>
      </c>
      <c r="B442">
        <v>31</v>
      </c>
      <c r="C442">
        <v>492224</v>
      </c>
      <c r="D442" s="1">
        <v>38695</v>
      </c>
      <c r="E442" t="s">
        <v>57</v>
      </c>
      <c r="F442" t="s">
        <v>91</v>
      </c>
      <c r="G442">
        <v>2000</v>
      </c>
      <c r="H442">
        <v>1175.7</v>
      </c>
      <c r="I442">
        <v>0</v>
      </c>
      <c r="J442">
        <v>608767</v>
      </c>
      <c r="K442" t="s">
        <v>41</v>
      </c>
      <c r="L442" t="s">
        <v>124</v>
      </c>
      <c r="M442" t="s">
        <v>135</v>
      </c>
      <c r="N442" t="s">
        <v>155</v>
      </c>
      <c r="O442" t="s">
        <v>142</v>
      </c>
      <c r="P442">
        <v>0</v>
      </c>
      <c r="Q442">
        <v>0</v>
      </c>
      <c r="R442" s="1">
        <v>42054</v>
      </c>
      <c r="S442" t="s">
        <v>46</v>
      </c>
      <c r="T442" t="s">
        <v>76</v>
      </c>
      <c r="U442" t="s">
        <v>107</v>
      </c>
      <c r="V442" t="s">
        <v>99</v>
      </c>
      <c r="W442" t="s">
        <v>77</v>
      </c>
      <c r="X442" t="s">
        <v>51</v>
      </c>
      <c r="Y442" t="s">
        <v>619</v>
      </c>
      <c r="Z442">
        <v>14</v>
      </c>
      <c r="AA442">
        <v>1</v>
      </c>
      <c r="AB442" t="s">
        <v>79</v>
      </c>
      <c r="AC442">
        <v>0</v>
      </c>
      <c r="AD442">
        <v>2</v>
      </c>
      <c r="AE442" t="s">
        <v>79</v>
      </c>
      <c r="AF442">
        <v>57330</v>
      </c>
      <c r="AG442">
        <v>6370</v>
      </c>
      <c r="AH442">
        <v>6370</v>
      </c>
      <c r="AI442">
        <v>44590</v>
      </c>
      <c r="AJ442" t="s">
        <v>80</v>
      </c>
      <c r="AK442" t="s">
        <v>144</v>
      </c>
      <c r="AL442">
        <v>2006</v>
      </c>
      <c r="AM442" t="s">
        <v>82</v>
      </c>
      <c r="AN442" s="2">
        <f t="shared" si="42"/>
        <v>48.720999405116004</v>
      </c>
      <c r="AO442">
        <f t="shared" si="43"/>
        <v>-56154.3</v>
      </c>
      <c r="AP442" s="2">
        <f t="shared" si="44"/>
        <v>2.0507229945404756E-2</v>
      </c>
      <c r="AQ442" s="2">
        <f t="shared" si="48"/>
        <v>9</v>
      </c>
      <c r="AR442">
        <f t="shared" si="45"/>
        <v>108</v>
      </c>
      <c r="AS442" t="str">
        <f t="shared" si="46"/>
        <v>High Claim Ratio</v>
      </c>
      <c r="AT442" t="str">
        <f t="shared" si="47"/>
        <v>High Profit</v>
      </c>
    </row>
    <row r="443" spans="1:46" x14ac:dyDescent="0.2">
      <c r="A443">
        <v>303</v>
      </c>
      <c r="B443">
        <v>50</v>
      </c>
      <c r="C443">
        <v>411477</v>
      </c>
      <c r="D443" s="1">
        <v>37250</v>
      </c>
      <c r="E443" t="s">
        <v>39</v>
      </c>
      <c r="F443" t="s">
        <v>69</v>
      </c>
      <c r="G443">
        <v>500</v>
      </c>
      <c r="H443">
        <v>793.15</v>
      </c>
      <c r="I443">
        <v>0</v>
      </c>
      <c r="J443">
        <v>620869</v>
      </c>
      <c r="K443" t="s">
        <v>41</v>
      </c>
      <c r="L443" t="s">
        <v>42</v>
      </c>
      <c r="M443" t="s">
        <v>97</v>
      </c>
      <c r="N443" t="s">
        <v>73</v>
      </c>
      <c r="O443" t="s">
        <v>74</v>
      </c>
      <c r="P443">
        <v>54600</v>
      </c>
      <c r="Q443">
        <v>-45500</v>
      </c>
      <c r="R443" s="1">
        <v>42018</v>
      </c>
      <c r="S443" t="s">
        <v>75</v>
      </c>
      <c r="T443" t="s">
        <v>86</v>
      </c>
      <c r="U443" t="s">
        <v>107</v>
      </c>
      <c r="V443" t="s">
        <v>120</v>
      </c>
      <c r="W443" t="s">
        <v>113</v>
      </c>
      <c r="X443" t="s">
        <v>122</v>
      </c>
      <c r="Y443" t="s">
        <v>620</v>
      </c>
      <c r="Z443">
        <v>17</v>
      </c>
      <c r="AA443">
        <v>3</v>
      </c>
      <c r="AB443" t="s">
        <v>79</v>
      </c>
      <c r="AC443">
        <v>0</v>
      </c>
      <c r="AD443">
        <v>3</v>
      </c>
      <c r="AE443" t="s">
        <v>79</v>
      </c>
      <c r="AF443">
        <v>81960</v>
      </c>
      <c r="AG443">
        <v>13660</v>
      </c>
      <c r="AH443">
        <v>13660</v>
      </c>
      <c r="AI443">
        <v>54640</v>
      </c>
      <c r="AJ443" t="s">
        <v>80</v>
      </c>
      <c r="AK443" t="s">
        <v>144</v>
      </c>
      <c r="AL443">
        <v>2008</v>
      </c>
      <c r="AM443" t="s">
        <v>82</v>
      </c>
      <c r="AN443" s="2">
        <f t="shared" si="42"/>
        <v>103.20468425360448</v>
      </c>
      <c r="AO443">
        <f t="shared" si="43"/>
        <v>-81166.850000000006</v>
      </c>
      <c r="AP443" s="2">
        <f t="shared" si="44"/>
        <v>9.6771635289954975E-3</v>
      </c>
      <c r="AQ443" s="2">
        <f t="shared" si="48"/>
        <v>7</v>
      </c>
      <c r="AR443">
        <f t="shared" si="45"/>
        <v>303</v>
      </c>
      <c r="AS443" t="str">
        <f t="shared" si="46"/>
        <v>High Claim Ratio</v>
      </c>
      <c r="AT443" t="str">
        <f t="shared" si="47"/>
        <v>High Profit</v>
      </c>
    </row>
    <row r="444" spans="1:46" x14ac:dyDescent="0.2">
      <c r="A444">
        <v>152</v>
      </c>
      <c r="B444">
        <v>33</v>
      </c>
      <c r="C444">
        <v>107181</v>
      </c>
      <c r="D444" s="1">
        <v>36478</v>
      </c>
      <c r="E444" t="s">
        <v>57</v>
      </c>
      <c r="F444" t="s">
        <v>40</v>
      </c>
      <c r="G444">
        <v>500</v>
      </c>
      <c r="H444">
        <v>942.51</v>
      </c>
      <c r="I444">
        <v>0</v>
      </c>
      <c r="J444">
        <v>478981</v>
      </c>
      <c r="K444" t="s">
        <v>70</v>
      </c>
      <c r="L444" t="s">
        <v>71</v>
      </c>
      <c r="M444" t="s">
        <v>145</v>
      </c>
      <c r="N444" t="s">
        <v>264</v>
      </c>
      <c r="O444" t="s">
        <v>119</v>
      </c>
      <c r="P444">
        <v>0</v>
      </c>
      <c r="Q444">
        <v>0</v>
      </c>
      <c r="R444" s="1">
        <v>42034</v>
      </c>
      <c r="S444" t="s">
        <v>46</v>
      </c>
      <c r="T444" t="s">
        <v>47</v>
      </c>
      <c r="U444" t="s">
        <v>48</v>
      </c>
      <c r="V444" t="s">
        <v>99</v>
      </c>
      <c r="W444" t="s">
        <v>50</v>
      </c>
      <c r="X444" t="s">
        <v>122</v>
      </c>
      <c r="Y444" t="s">
        <v>621</v>
      </c>
      <c r="Z444">
        <v>16</v>
      </c>
      <c r="AA444">
        <v>1</v>
      </c>
      <c r="AB444" t="s">
        <v>53</v>
      </c>
      <c r="AC444">
        <v>0</v>
      </c>
      <c r="AD444">
        <v>0</v>
      </c>
      <c r="AE444" t="s">
        <v>62</v>
      </c>
      <c r="AF444">
        <v>70400</v>
      </c>
      <c r="AG444">
        <v>6400</v>
      </c>
      <c r="AH444">
        <v>19200</v>
      </c>
      <c r="AI444">
        <v>44800</v>
      </c>
      <c r="AJ444" t="s">
        <v>153</v>
      </c>
      <c r="AK444" t="s">
        <v>154</v>
      </c>
      <c r="AL444">
        <v>2001</v>
      </c>
      <c r="AM444" t="s">
        <v>56</v>
      </c>
      <c r="AN444" s="2">
        <f t="shared" si="42"/>
        <v>74.615001430827448</v>
      </c>
      <c r="AO444">
        <f t="shared" si="43"/>
        <v>-69457.490000000005</v>
      </c>
      <c r="AP444" s="2">
        <f t="shared" si="44"/>
        <v>1.3387735969659522E-2</v>
      </c>
      <c r="AQ444" s="2">
        <f t="shared" si="48"/>
        <v>14</v>
      </c>
      <c r="AR444">
        <f t="shared" si="45"/>
        <v>152</v>
      </c>
      <c r="AS444" t="str">
        <f t="shared" si="46"/>
        <v>High Claim Ratio</v>
      </c>
      <c r="AT444" t="str">
        <f t="shared" si="47"/>
        <v>High Profit</v>
      </c>
    </row>
    <row r="445" spans="1:46" x14ac:dyDescent="0.2">
      <c r="A445">
        <v>120</v>
      </c>
      <c r="B445">
        <v>34</v>
      </c>
      <c r="C445">
        <v>312940</v>
      </c>
      <c r="D445" s="1">
        <v>37191</v>
      </c>
      <c r="E445" t="s">
        <v>57</v>
      </c>
      <c r="F445" t="s">
        <v>91</v>
      </c>
      <c r="G445">
        <v>1000</v>
      </c>
      <c r="H445">
        <v>1056.71</v>
      </c>
      <c r="I445">
        <v>0</v>
      </c>
      <c r="J445">
        <v>464630</v>
      </c>
      <c r="K445" t="s">
        <v>70</v>
      </c>
      <c r="L445" t="s">
        <v>161</v>
      </c>
      <c r="M445" t="s">
        <v>135</v>
      </c>
      <c r="N445" t="s">
        <v>165</v>
      </c>
      <c r="O445" t="s">
        <v>142</v>
      </c>
      <c r="P445">
        <v>77900</v>
      </c>
      <c r="Q445">
        <v>0</v>
      </c>
      <c r="R445" s="1">
        <v>42024</v>
      </c>
      <c r="S445" t="s">
        <v>138</v>
      </c>
      <c r="T445" t="s">
        <v>62</v>
      </c>
      <c r="U445" t="s">
        <v>63</v>
      </c>
      <c r="V445" t="s">
        <v>93</v>
      </c>
      <c r="W445" t="s">
        <v>64</v>
      </c>
      <c r="X445" t="s">
        <v>51</v>
      </c>
      <c r="Y445" t="s">
        <v>622</v>
      </c>
      <c r="Z445">
        <v>3</v>
      </c>
      <c r="AA445">
        <v>1</v>
      </c>
      <c r="AB445" t="s">
        <v>79</v>
      </c>
      <c r="AC445">
        <v>2</v>
      </c>
      <c r="AD445">
        <v>1</v>
      </c>
      <c r="AE445" t="s">
        <v>62</v>
      </c>
      <c r="AF445">
        <v>3770</v>
      </c>
      <c r="AG445">
        <v>580</v>
      </c>
      <c r="AH445">
        <v>580</v>
      </c>
      <c r="AI445">
        <v>2610</v>
      </c>
      <c r="AJ445" t="s">
        <v>197</v>
      </c>
      <c r="AK445" t="s">
        <v>375</v>
      </c>
      <c r="AL445">
        <v>2002</v>
      </c>
      <c r="AM445" t="s">
        <v>82</v>
      </c>
      <c r="AN445" s="2">
        <f t="shared" si="42"/>
        <v>3.5643040152782897</v>
      </c>
      <c r="AO445">
        <f t="shared" si="43"/>
        <v>-2713.29</v>
      </c>
      <c r="AP445" s="2">
        <f t="shared" si="44"/>
        <v>0.28022010076902681</v>
      </c>
      <c r="AQ445" s="2">
        <f t="shared" si="48"/>
        <v>13</v>
      </c>
      <c r="AR445">
        <f t="shared" si="45"/>
        <v>120</v>
      </c>
      <c r="AS445" t="str">
        <f t="shared" si="46"/>
        <v>Low Claim Ratio</v>
      </c>
      <c r="AT445" t="str">
        <f t="shared" si="47"/>
        <v>Low Profit</v>
      </c>
    </row>
    <row r="446" spans="1:46" x14ac:dyDescent="0.2">
      <c r="A446">
        <v>144</v>
      </c>
      <c r="B446">
        <v>36</v>
      </c>
      <c r="C446">
        <v>855186</v>
      </c>
      <c r="D446" s="1">
        <v>34273</v>
      </c>
      <c r="E446" t="s">
        <v>57</v>
      </c>
      <c r="F446" t="s">
        <v>91</v>
      </c>
      <c r="G446">
        <v>2000</v>
      </c>
      <c r="H446">
        <v>1255.68</v>
      </c>
      <c r="I446">
        <v>6000000</v>
      </c>
      <c r="J446">
        <v>466303</v>
      </c>
      <c r="K446" t="s">
        <v>70</v>
      </c>
      <c r="L446" t="s">
        <v>92</v>
      </c>
      <c r="M446" t="s">
        <v>72</v>
      </c>
      <c r="N446" t="s">
        <v>59</v>
      </c>
      <c r="O446" t="s">
        <v>60</v>
      </c>
      <c r="P446">
        <v>23600</v>
      </c>
      <c r="Q446">
        <v>-15600</v>
      </c>
      <c r="R446" s="1">
        <v>42053</v>
      </c>
      <c r="S446" t="s">
        <v>138</v>
      </c>
      <c r="T446" t="s">
        <v>62</v>
      </c>
      <c r="U446" t="s">
        <v>63</v>
      </c>
      <c r="V446" t="s">
        <v>93</v>
      </c>
      <c r="W446" t="s">
        <v>121</v>
      </c>
      <c r="X446" t="s">
        <v>87</v>
      </c>
      <c r="Y446" t="s">
        <v>623</v>
      </c>
      <c r="Z446">
        <v>7</v>
      </c>
      <c r="AA446">
        <v>1</v>
      </c>
      <c r="AB446" t="s">
        <v>79</v>
      </c>
      <c r="AC446">
        <v>0</v>
      </c>
      <c r="AD446">
        <v>0</v>
      </c>
      <c r="AE446" t="s">
        <v>62</v>
      </c>
      <c r="AF446">
        <v>7400</v>
      </c>
      <c r="AG446">
        <v>740</v>
      </c>
      <c r="AH446">
        <v>1480</v>
      </c>
      <c r="AI446">
        <v>5180</v>
      </c>
      <c r="AJ446" t="s">
        <v>80</v>
      </c>
      <c r="AK446" t="s">
        <v>144</v>
      </c>
      <c r="AL446">
        <v>2014</v>
      </c>
      <c r="AM446" t="s">
        <v>82</v>
      </c>
      <c r="AN446" s="2">
        <f t="shared" si="42"/>
        <v>5.8885316866664539</v>
      </c>
      <c r="AO446">
        <f t="shared" si="43"/>
        <v>-6144.32</v>
      </c>
      <c r="AP446" s="2">
        <f t="shared" si="44"/>
        <v>0.16966355897851643</v>
      </c>
      <c r="AQ446" s="2">
        <f t="shared" si="48"/>
        <v>1</v>
      </c>
      <c r="AR446">
        <f t="shared" si="45"/>
        <v>144</v>
      </c>
      <c r="AS446" t="str">
        <f t="shared" si="46"/>
        <v>Medium Claim Ratio</v>
      </c>
      <c r="AT446" t="str">
        <f t="shared" si="47"/>
        <v>High Profit</v>
      </c>
    </row>
    <row r="447" spans="1:46" x14ac:dyDescent="0.2">
      <c r="A447">
        <v>414</v>
      </c>
      <c r="B447">
        <v>52</v>
      </c>
      <c r="C447">
        <v>373935</v>
      </c>
      <c r="D447" s="1">
        <v>37665</v>
      </c>
      <c r="E447" t="s">
        <v>57</v>
      </c>
      <c r="F447" t="s">
        <v>91</v>
      </c>
      <c r="G447">
        <v>500</v>
      </c>
      <c r="H447">
        <v>1335.13</v>
      </c>
      <c r="I447">
        <v>0</v>
      </c>
      <c r="J447">
        <v>452647</v>
      </c>
      <c r="K447" t="s">
        <v>70</v>
      </c>
      <c r="L447" t="s">
        <v>131</v>
      </c>
      <c r="M447" t="s">
        <v>189</v>
      </c>
      <c r="N447" t="s">
        <v>168</v>
      </c>
      <c r="O447" t="s">
        <v>85</v>
      </c>
      <c r="P447">
        <v>44000</v>
      </c>
      <c r="Q447">
        <v>-71000</v>
      </c>
      <c r="R447" s="1">
        <v>42011</v>
      </c>
      <c r="S447" t="s">
        <v>46</v>
      </c>
      <c r="T447" t="s">
        <v>76</v>
      </c>
      <c r="U447" t="s">
        <v>107</v>
      </c>
      <c r="V447" t="s">
        <v>49</v>
      </c>
      <c r="W447" t="s">
        <v>50</v>
      </c>
      <c r="X447" t="s">
        <v>127</v>
      </c>
      <c r="Y447" t="s">
        <v>624</v>
      </c>
      <c r="Z447">
        <v>13</v>
      </c>
      <c r="AA447">
        <v>1</v>
      </c>
      <c r="AB447" t="s">
        <v>53</v>
      </c>
      <c r="AC447">
        <v>1</v>
      </c>
      <c r="AD447">
        <v>1</v>
      </c>
      <c r="AE447" t="s">
        <v>62</v>
      </c>
      <c r="AF447">
        <v>54810</v>
      </c>
      <c r="AG447">
        <v>6090</v>
      </c>
      <c r="AH447">
        <v>6090</v>
      </c>
      <c r="AI447">
        <v>42630</v>
      </c>
      <c r="AJ447" t="s">
        <v>89</v>
      </c>
      <c r="AK447" t="s">
        <v>223</v>
      </c>
      <c r="AL447">
        <v>1999</v>
      </c>
      <c r="AM447" t="s">
        <v>56</v>
      </c>
      <c r="AN447" s="2">
        <f t="shared" si="42"/>
        <v>41.021457492908624</v>
      </c>
      <c r="AO447">
        <f t="shared" si="43"/>
        <v>-53474.87</v>
      </c>
      <c r="AP447" s="2">
        <f t="shared" si="44"/>
        <v>2.435879659192498E-2</v>
      </c>
      <c r="AQ447" s="2">
        <f t="shared" si="48"/>
        <v>16</v>
      </c>
      <c r="AR447">
        <f t="shared" si="45"/>
        <v>414</v>
      </c>
      <c r="AS447" t="str">
        <f t="shared" si="46"/>
        <v>High Claim Ratio</v>
      </c>
      <c r="AT447" t="str">
        <f t="shared" si="47"/>
        <v>High Profit</v>
      </c>
    </row>
    <row r="448" spans="1:46" x14ac:dyDescent="0.2">
      <c r="A448">
        <v>163</v>
      </c>
      <c r="B448">
        <v>37</v>
      </c>
      <c r="C448">
        <v>812989</v>
      </c>
      <c r="D448" s="1">
        <v>38052</v>
      </c>
      <c r="E448" t="s">
        <v>57</v>
      </c>
      <c r="F448" t="s">
        <v>40</v>
      </c>
      <c r="G448">
        <v>500</v>
      </c>
      <c r="H448">
        <v>1178.95</v>
      </c>
      <c r="I448">
        <v>6000000</v>
      </c>
      <c r="J448">
        <v>441370</v>
      </c>
      <c r="K448" t="s">
        <v>70</v>
      </c>
      <c r="L448" t="s">
        <v>161</v>
      </c>
      <c r="M448" t="s">
        <v>117</v>
      </c>
      <c r="N448" t="s">
        <v>126</v>
      </c>
      <c r="O448" t="s">
        <v>74</v>
      </c>
      <c r="P448">
        <v>0</v>
      </c>
      <c r="Q448">
        <v>-67300</v>
      </c>
      <c r="R448" s="1">
        <v>42020</v>
      </c>
      <c r="S448" t="s">
        <v>46</v>
      </c>
      <c r="T448" t="s">
        <v>76</v>
      </c>
      <c r="U448" t="s">
        <v>107</v>
      </c>
      <c r="V448" t="s">
        <v>99</v>
      </c>
      <c r="W448" t="s">
        <v>77</v>
      </c>
      <c r="X448" t="s">
        <v>102</v>
      </c>
      <c r="Y448" t="s">
        <v>625</v>
      </c>
      <c r="Z448">
        <v>20</v>
      </c>
      <c r="AA448">
        <v>1</v>
      </c>
      <c r="AB448" t="s">
        <v>53</v>
      </c>
      <c r="AC448">
        <v>2</v>
      </c>
      <c r="AD448">
        <v>3</v>
      </c>
      <c r="AE448" t="s">
        <v>53</v>
      </c>
      <c r="AF448">
        <v>49400</v>
      </c>
      <c r="AG448">
        <v>4940</v>
      </c>
      <c r="AH448">
        <v>9880</v>
      </c>
      <c r="AI448">
        <v>34580</v>
      </c>
      <c r="AJ448" t="s">
        <v>197</v>
      </c>
      <c r="AK448" t="s">
        <v>198</v>
      </c>
      <c r="AL448">
        <v>2005</v>
      </c>
      <c r="AM448" t="s">
        <v>82</v>
      </c>
      <c r="AN448" s="2">
        <f t="shared" si="42"/>
        <v>41.866180770371628</v>
      </c>
      <c r="AO448">
        <f t="shared" si="43"/>
        <v>-48221.05</v>
      </c>
      <c r="AP448" s="2">
        <f t="shared" si="44"/>
        <v>2.3864901520212142E-2</v>
      </c>
      <c r="AQ448" s="2">
        <f t="shared" si="48"/>
        <v>10</v>
      </c>
      <c r="AR448">
        <f t="shared" si="45"/>
        <v>163</v>
      </c>
      <c r="AS448" t="str">
        <f t="shared" si="46"/>
        <v>High Claim Ratio</v>
      </c>
      <c r="AT448" t="str">
        <f t="shared" si="47"/>
        <v>High Profit</v>
      </c>
    </row>
    <row r="449" spans="1:46" x14ac:dyDescent="0.2">
      <c r="A449">
        <v>352</v>
      </c>
      <c r="B449">
        <v>53</v>
      </c>
      <c r="C449">
        <v>993840</v>
      </c>
      <c r="D449" s="1">
        <v>41467</v>
      </c>
      <c r="E449" t="s">
        <v>83</v>
      </c>
      <c r="F449" t="s">
        <v>40</v>
      </c>
      <c r="G449">
        <v>500</v>
      </c>
      <c r="H449">
        <v>1793.16</v>
      </c>
      <c r="I449">
        <v>0</v>
      </c>
      <c r="J449">
        <v>619166</v>
      </c>
      <c r="K449" t="s">
        <v>41</v>
      </c>
      <c r="L449" t="s">
        <v>92</v>
      </c>
      <c r="M449" t="s">
        <v>97</v>
      </c>
      <c r="N449" t="s">
        <v>264</v>
      </c>
      <c r="O449" t="s">
        <v>119</v>
      </c>
      <c r="P449">
        <v>0</v>
      </c>
      <c r="Q449">
        <v>0</v>
      </c>
      <c r="R449" s="1">
        <v>42019</v>
      </c>
      <c r="S449" t="s">
        <v>46</v>
      </c>
      <c r="T449" t="s">
        <v>86</v>
      </c>
      <c r="U449" t="s">
        <v>63</v>
      </c>
      <c r="V449" t="s">
        <v>99</v>
      </c>
      <c r="W449" t="s">
        <v>121</v>
      </c>
      <c r="X449" t="s">
        <v>65</v>
      </c>
      <c r="Y449" t="s">
        <v>626</v>
      </c>
      <c r="Z449">
        <v>23</v>
      </c>
      <c r="AA449">
        <v>1</v>
      </c>
      <c r="AB449" t="s">
        <v>53</v>
      </c>
      <c r="AC449">
        <v>2</v>
      </c>
      <c r="AD449">
        <v>2</v>
      </c>
      <c r="AE449" t="s">
        <v>79</v>
      </c>
      <c r="AF449">
        <v>68750</v>
      </c>
      <c r="AG449">
        <v>12500</v>
      </c>
      <c r="AH449">
        <v>6250</v>
      </c>
      <c r="AI449">
        <v>50000</v>
      </c>
      <c r="AJ449" t="s">
        <v>89</v>
      </c>
      <c r="AK449" t="s">
        <v>245</v>
      </c>
      <c r="AL449">
        <v>2009</v>
      </c>
      <c r="AM449" t="s">
        <v>82</v>
      </c>
      <c r="AN449" s="2">
        <f t="shared" si="42"/>
        <v>38.318767556962591</v>
      </c>
      <c r="AO449">
        <f t="shared" si="43"/>
        <v>-66956.84</v>
      </c>
      <c r="AP449" s="2">
        <f t="shared" si="44"/>
        <v>2.6081947898939653E-2</v>
      </c>
      <c r="AQ449" s="2">
        <f t="shared" si="48"/>
        <v>6</v>
      </c>
      <c r="AR449">
        <f t="shared" si="45"/>
        <v>352</v>
      </c>
      <c r="AS449" t="str">
        <f t="shared" si="46"/>
        <v>High Claim Ratio</v>
      </c>
      <c r="AT449" t="str">
        <f t="shared" si="47"/>
        <v>High Profit</v>
      </c>
    </row>
    <row r="450" spans="1:46" x14ac:dyDescent="0.2">
      <c r="A450">
        <v>27</v>
      </c>
      <c r="B450">
        <v>32</v>
      </c>
      <c r="C450">
        <v>327856</v>
      </c>
      <c r="D450" s="1">
        <v>41878</v>
      </c>
      <c r="E450" t="s">
        <v>39</v>
      </c>
      <c r="F450" t="s">
        <v>69</v>
      </c>
      <c r="G450">
        <v>500</v>
      </c>
      <c r="H450">
        <v>1008.38</v>
      </c>
      <c r="I450">
        <v>0</v>
      </c>
      <c r="J450">
        <v>472803</v>
      </c>
      <c r="K450" t="s">
        <v>70</v>
      </c>
      <c r="L450" t="s">
        <v>71</v>
      </c>
      <c r="M450" t="s">
        <v>185</v>
      </c>
      <c r="N450" t="s">
        <v>155</v>
      </c>
      <c r="O450" t="s">
        <v>60</v>
      </c>
      <c r="P450">
        <v>37900</v>
      </c>
      <c r="Q450">
        <v>0</v>
      </c>
      <c r="R450" s="1">
        <v>42036</v>
      </c>
      <c r="S450" t="s">
        <v>46</v>
      </c>
      <c r="T450" t="s">
        <v>86</v>
      </c>
      <c r="U450" t="s">
        <v>107</v>
      </c>
      <c r="V450" t="s">
        <v>136</v>
      </c>
      <c r="W450" t="s">
        <v>50</v>
      </c>
      <c r="X450" t="s">
        <v>87</v>
      </c>
      <c r="Y450" t="s">
        <v>627</v>
      </c>
      <c r="Z450">
        <v>11</v>
      </c>
      <c r="AA450">
        <v>1</v>
      </c>
      <c r="AB450" t="s">
        <v>79</v>
      </c>
      <c r="AC450">
        <v>1</v>
      </c>
      <c r="AD450">
        <v>0</v>
      </c>
      <c r="AE450" t="s">
        <v>62</v>
      </c>
      <c r="AF450">
        <v>61500</v>
      </c>
      <c r="AG450">
        <v>12300</v>
      </c>
      <c r="AH450">
        <v>6150</v>
      </c>
      <c r="AI450">
        <v>43050</v>
      </c>
      <c r="AJ450" t="s">
        <v>80</v>
      </c>
      <c r="AK450" t="s">
        <v>144</v>
      </c>
      <c r="AL450">
        <v>2013</v>
      </c>
      <c r="AM450" t="s">
        <v>82</v>
      </c>
      <c r="AN450" s="2">
        <f t="shared" si="42"/>
        <v>60.928490756702132</v>
      </c>
      <c r="AO450">
        <f t="shared" si="43"/>
        <v>-60491.62</v>
      </c>
      <c r="AP450" s="2">
        <f t="shared" si="44"/>
        <v>1.6396156160062438E-2</v>
      </c>
      <c r="AQ450" s="2">
        <f t="shared" si="48"/>
        <v>2</v>
      </c>
      <c r="AR450">
        <f t="shared" si="45"/>
        <v>27</v>
      </c>
      <c r="AS450" t="str">
        <f t="shared" si="46"/>
        <v>High Claim Ratio</v>
      </c>
      <c r="AT450" t="str">
        <f t="shared" si="47"/>
        <v>High Profit</v>
      </c>
    </row>
    <row r="451" spans="1:46" x14ac:dyDescent="0.2">
      <c r="A451">
        <v>239</v>
      </c>
      <c r="B451">
        <v>39</v>
      </c>
      <c r="C451">
        <v>506333</v>
      </c>
      <c r="D451" s="1">
        <v>33046</v>
      </c>
      <c r="E451" t="s">
        <v>83</v>
      </c>
      <c r="F451" t="s">
        <v>69</v>
      </c>
      <c r="G451">
        <v>500</v>
      </c>
      <c r="H451">
        <v>1396.83</v>
      </c>
      <c r="I451">
        <v>0</v>
      </c>
      <c r="J451">
        <v>442308</v>
      </c>
      <c r="K451" t="s">
        <v>70</v>
      </c>
      <c r="L451" t="s">
        <v>124</v>
      </c>
      <c r="M451" t="s">
        <v>111</v>
      </c>
      <c r="N451" t="s">
        <v>59</v>
      </c>
      <c r="O451" t="s">
        <v>45</v>
      </c>
      <c r="P451">
        <v>0</v>
      </c>
      <c r="Q451">
        <v>0</v>
      </c>
      <c r="R451" s="1">
        <v>42010</v>
      </c>
      <c r="S451" t="s">
        <v>75</v>
      </c>
      <c r="T451" t="s">
        <v>76</v>
      </c>
      <c r="U451" t="s">
        <v>48</v>
      </c>
      <c r="V451" t="s">
        <v>136</v>
      </c>
      <c r="W451" t="s">
        <v>113</v>
      </c>
      <c r="X451" t="s">
        <v>127</v>
      </c>
      <c r="Y451" t="s">
        <v>628</v>
      </c>
      <c r="Z451">
        <v>0</v>
      </c>
      <c r="AA451">
        <v>4</v>
      </c>
      <c r="AB451" t="s">
        <v>62</v>
      </c>
      <c r="AC451">
        <v>0</v>
      </c>
      <c r="AD451">
        <v>3</v>
      </c>
      <c r="AE451" t="s">
        <v>79</v>
      </c>
      <c r="AF451">
        <v>76890</v>
      </c>
      <c r="AG451">
        <v>6990</v>
      </c>
      <c r="AH451">
        <v>13980</v>
      </c>
      <c r="AI451">
        <v>55920</v>
      </c>
      <c r="AJ451" t="s">
        <v>187</v>
      </c>
      <c r="AK451" t="s">
        <v>238</v>
      </c>
      <c r="AL451">
        <v>2007</v>
      </c>
      <c r="AM451" t="s">
        <v>82</v>
      </c>
      <c r="AN451" s="2">
        <f t="shared" ref="AN451:AN514" si="49">AF451/(H451+1)</f>
        <v>55.006688939284466</v>
      </c>
      <c r="AO451">
        <f t="shared" ref="AO451:AO514" si="50">H451-AF451</f>
        <v>-75493.17</v>
      </c>
      <c r="AP451" s="2">
        <f t="shared" ref="AP451:AP514" si="51">H451/(AF451+1)</f>
        <v>1.8166365374361108E-2</v>
      </c>
      <c r="AQ451" s="2">
        <f t="shared" si="48"/>
        <v>8</v>
      </c>
      <c r="AR451">
        <f t="shared" ref="AR451:AR514" si="52">A451</f>
        <v>239</v>
      </c>
      <c r="AS451" t="str">
        <f t="shared" ref="AS451:AS514" si="53">IF(AN451&lt;5,"Low Claim Ratio",
 IF(AN451&lt;20,"Medium Claim Ratio",
 "High Claim Ratio"))</f>
        <v>High Claim Ratio</v>
      </c>
      <c r="AT451" t="str">
        <f t="shared" ref="AT451:AT514" si="54">IF(-AO451&lt;0,"Loss Making",
 IF(-AO451&lt;5000,"Low Profit",
 "High Profit"))</f>
        <v>High Profit</v>
      </c>
    </row>
    <row r="452" spans="1:46" x14ac:dyDescent="0.2">
      <c r="A452">
        <v>33</v>
      </c>
      <c r="B452">
        <v>32</v>
      </c>
      <c r="C452">
        <v>263159</v>
      </c>
      <c r="D452" s="1">
        <v>39514</v>
      </c>
      <c r="E452" t="s">
        <v>39</v>
      </c>
      <c r="F452" t="s">
        <v>69</v>
      </c>
      <c r="G452">
        <v>500</v>
      </c>
      <c r="H452">
        <v>1402.78</v>
      </c>
      <c r="I452">
        <v>5000000</v>
      </c>
      <c r="J452">
        <v>469383</v>
      </c>
      <c r="K452" t="s">
        <v>70</v>
      </c>
      <c r="L452" t="s">
        <v>71</v>
      </c>
      <c r="M452" t="s">
        <v>111</v>
      </c>
      <c r="N452" t="s">
        <v>106</v>
      </c>
      <c r="O452" t="s">
        <v>45</v>
      </c>
      <c r="P452">
        <v>70300</v>
      </c>
      <c r="Q452">
        <v>-50300</v>
      </c>
      <c r="R452" s="1">
        <v>42037</v>
      </c>
      <c r="S452" t="s">
        <v>46</v>
      </c>
      <c r="T452" t="s">
        <v>76</v>
      </c>
      <c r="U452" t="s">
        <v>63</v>
      </c>
      <c r="V452" t="s">
        <v>136</v>
      </c>
      <c r="W452" t="s">
        <v>77</v>
      </c>
      <c r="X452" t="s">
        <v>156</v>
      </c>
      <c r="Y452" t="s">
        <v>629</v>
      </c>
      <c r="Z452">
        <v>2</v>
      </c>
      <c r="AA452">
        <v>1</v>
      </c>
      <c r="AB452" t="s">
        <v>53</v>
      </c>
      <c r="AC452">
        <v>0</v>
      </c>
      <c r="AD452">
        <v>1</v>
      </c>
      <c r="AE452" t="s">
        <v>62</v>
      </c>
      <c r="AF452">
        <v>56070</v>
      </c>
      <c r="AG452">
        <v>6230</v>
      </c>
      <c r="AH452">
        <v>12460</v>
      </c>
      <c r="AI452">
        <v>37380</v>
      </c>
      <c r="AJ452" t="s">
        <v>115</v>
      </c>
      <c r="AK452" t="s">
        <v>116</v>
      </c>
      <c r="AL452">
        <v>2012</v>
      </c>
      <c r="AM452" t="s">
        <v>82</v>
      </c>
      <c r="AN452" s="2">
        <f t="shared" si="49"/>
        <v>39.942156178318541</v>
      </c>
      <c r="AO452">
        <f t="shared" si="50"/>
        <v>-54667.22</v>
      </c>
      <c r="AP452" s="2">
        <f t="shared" si="51"/>
        <v>2.5017923703875442E-2</v>
      </c>
      <c r="AQ452" s="2">
        <f t="shared" ref="AQ452:AQ515" si="55">YEAR(R452)-(AL452)</f>
        <v>3</v>
      </c>
      <c r="AR452">
        <f t="shared" si="52"/>
        <v>33</v>
      </c>
      <c r="AS452" t="str">
        <f t="shared" si="53"/>
        <v>High Claim Ratio</v>
      </c>
      <c r="AT452" t="str">
        <f t="shared" si="54"/>
        <v>High Profit</v>
      </c>
    </row>
    <row r="453" spans="1:46" x14ac:dyDescent="0.2">
      <c r="A453">
        <v>88</v>
      </c>
      <c r="B453">
        <v>30</v>
      </c>
      <c r="C453">
        <v>372912</v>
      </c>
      <c r="D453" s="1">
        <v>33821</v>
      </c>
      <c r="E453" t="s">
        <v>57</v>
      </c>
      <c r="F453" t="s">
        <v>69</v>
      </c>
      <c r="G453">
        <v>1000</v>
      </c>
      <c r="H453">
        <v>1437.88</v>
      </c>
      <c r="I453">
        <v>0</v>
      </c>
      <c r="J453">
        <v>614383</v>
      </c>
      <c r="K453" t="s">
        <v>70</v>
      </c>
      <c r="L453" t="s">
        <v>141</v>
      </c>
      <c r="M453" t="s">
        <v>145</v>
      </c>
      <c r="N453" t="s">
        <v>59</v>
      </c>
      <c r="O453" t="s">
        <v>45</v>
      </c>
      <c r="P453">
        <v>42800</v>
      </c>
      <c r="Q453">
        <v>-51200</v>
      </c>
      <c r="R453" s="1">
        <v>42060</v>
      </c>
      <c r="S453" t="s">
        <v>46</v>
      </c>
      <c r="T453" t="s">
        <v>47</v>
      </c>
      <c r="U453" t="s">
        <v>107</v>
      </c>
      <c r="V453" t="s">
        <v>99</v>
      </c>
      <c r="W453" t="s">
        <v>50</v>
      </c>
      <c r="X453" t="s">
        <v>156</v>
      </c>
      <c r="Y453" t="s">
        <v>630</v>
      </c>
      <c r="Z453">
        <v>3</v>
      </c>
      <c r="AA453">
        <v>1</v>
      </c>
      <c r="AB453" t="s">
        <v>79</v>
      </c>
      <c r="AC453">
        <v>2</v>
      </c>
      <c r="AD453">
        <v>0</v>
      </c>
      <c r="AE453" t="s">
        <v>53</v>
      </c>
      <c r="AF453">
        <v>56000</v>
      </c>
      <c r="AG453">
        <v>14000</v>
      </c>
      <c r="AH453">
        <v>0</v>
      </c>
      <c r="AI453">
        <v>42000</v>
      </c>
      <c r="AJ453" t="s">
        <v>89</v>
      </c>
      <c r="AK453" t="s">
        <v>245</v>
      </c>
      <c r="AL453">
        <v>2003</v>
      </c>
      <c r="AM453" t="s">
        <v>82</v>
      </c>
      <c r="AN453" s="2">
        <f t="shared" si="49"/>
        <v>38.919159346158118</v>
      </c>
      <c r="AO453">
        <f t="shared" si="50"/>
        <v>-54562.12</v>
      </c>
      <c r="AP453" s="2">
        <f t="shared" si="51"/>
        <v>2.5675970071963001E-2</v>
      </c>
      <c r="AQ453" s="2">
        <f t="shared" si="55"/>
        <v>12</v>
      </c>
      <c r="AR453">
        <f t="shared" si="52"/>
        <v>88</v>
      </c>
      <c r="AS453" t="str">
        <f t="shared" si="53"/>
        <v>High Claim Ratio</v>
      </c>
      <c r="AT453" t="str">
        <f t="shared" si="54"/>
        <v>High Profit</v>
      </c>
    </row>
    <row r="454" spans="1:46" x14ac:dyDescent="0.2">
      <c r="A454">
        <v>101</v>
      </c>
      <c r="B454">
        <v>33</v>
      </c>
      <c r="C454">
        <v>552788</v>
      </c>
      <c r="D454" s="1">
        <v>33484</v>
      </c>
      <c r="E454" t="s">
        <v>83</v>
      </c>
      <c r="F454" t="s">
        <v>91</v>
      </c>
      <c r="G454">
        <v>1000</v>
      </c>
      <c r="H454">
        <v>1313.64</v>
      </c>
      <c r="I454">
        <v>0</v>
      </c>
      <c r="J454">
        <v>438617</v>
      </c>
      <c r="K454" t="s">
        <v>70</v>
      </c>
      <c r="L454" t="s">
        <v>141</v>
      </c>
      <c r="M454" t="s">
        <v>117</v>
      </c>
      <c r="N454" t="s">
        <v>73</v>
      </c>
      <c r="O454" t="s">
        <v>85</v>
      </c>
      <c r="P454">
        <v>12100</v>
      </c>
      <c r="Q454">
        <v>0</v>
      </c>
      <c r="R454" s="1">
        <v>42045</v>
      </c>
      <c r="S454" t="s">
        <v>138</v>
      </c>
      <c r="T454" t="s">
        <v>62</v>
      </c>
      <c r="U454" t="s">
        <v>212</v>
      </c>
      <c r="V454" t="s">
        <v>93</v>
      </c>
      <c r="W454" t="s">
        <v>77</v>
      </c>
      <c r="X454" t="s">
        <v>122</v>
      </c>
      <c r="Y454" t="s">
        <v>631</v>
      </c>
      <c r="Z454">
        <v>3</v>
      </c>
      <c r="AA454">
        <v>1</v>
      </c>
      <c r="AB454" t="s">
        <v>53</v>
      </c>
      <c r="AC454">
        <v>1</v>
      </c>
      <c r="AD454">
        <v>0</v>
      </c>
      <c r="AE454" t="s">
        <v>79</v>
      </c>
      <c r="AF454">
        <v>4290</v>
      </c>
      <c r="AG454">
        <v>780</v>
      </c>
      <c r="AH454">
        <v>390</v>
      </c>
      <c r="AI454">
        <v>3120</v>
      </c>
      <c r="AJ454" t="s">
        <v>109</v>
      </c>
      <c r="AK454" t="s">
        <v>134</v>
      </c>
      <c r="AL454">
        <v>1997</v>
      </c>
      <c r="AM454" t="s">
        <v>82</v>
      </c>
      <c r="AN454" s="2">
        <f t="shared" si="49"/>
        <v>3.2632507758778067</v>
      </c>
      <c r="AO454">
        <f t="shared" si="50"/>
        <v>-2976.3599999999997</v>
      </c>
      <c r="AP454" s="2">
        <f t="shared" si="51"/>
        <v>0.30613842927056634</v>
      </c>
      <c r="AQ454" s="2">
        <f t="shared" si="55"/>
        <v>18</v>
      </c>
      <c r="AR454">
        <f t="shared" si="52"/>
        <v>101</v>
      </c>
      <c r="AS454" t="str">
        <f t="shared" si="53"/>
        <v>Low Claim Ratio</v>
      </c>
      <c r="AT454" t="str">
        <f t="shared" si="54"/>
        <v>Low Profit</v>
      </c>
    </row>
    <row r="455" spans="1:46" x14ac:dyDescent="0.2">
      <c r="A455">
        <v>20</v>
      </c>
      <c r="B455">
        <v>37</v>
      </c>
      <c r="C455">
        <v>722747</v>
      </c>
      <c r="D455" s="1">
        <v>40788</v>
      </c>
      <c r="E455" t="s">
        <v>83</v>
      </c>
      <c r="F455" t="s">
        <v>40</v>
      </c>
      <c r="G455">
        <v>500</v>
      </c>
      <c r="H455">
        <v>1482.14</v>
      </c>
      <c r="I455">
        <v>0</v>
      </c>
      <c r="J455">
        <v>613936</v>
      </c>
      <c r="K455" t="s">
        <v>70</v>
      </c>
      <c r="L455" t="s">
        <v>92</v>
      </c>
      <c r="M455" t="s">
        <v>145</v>
      </c>
      <c r="N455" t="s">
        <v>59</v>
      </c>
      <c r="O455" t="s">
        <v>45</v>
      </c>
      <c r="P455">
        <v>33000</v>
      </c>
      <c r="Q455">
        <v>-43600</v>
      </c>
      <c r="R455" s="1">
        <v>42057</v>
      </c>
      <c r="S455" t="s">
        <v>75</v>
      </c>
      <c r="T455" t="s">
        <v>76</v>
      </c>
      <c r="U455" t="s">
        <v>107</v>
      </c>
      <c r="V455" t="s">
        <v>120</v>
      </c>
      <c r="W455" t="s">
        <v>77</v>
      </c>
      <c r="X455" t="s">
        <v>87</v>
      </c>
      <c r="Y455" t="s">
        <v>632</v>
      </c>
      <c r="Z455">
        <v>15</v>
      </c>
      <c r="AA455">
        <v>3</v>
      </c>
      <c r="AB455" t="s">
        <v>62</v>
      </c>
      <c r="AC455">
        <v>2</v>
      </c>
      <c r="AD455">
        <v>1</v>
      </c>
      <c r="AE455" t="s">
        <v>79</v>
      </c>
      <c r="AF455">
        <v>60750</v>
      </c>
      <c r="AG455">
        <v>6750</v>
      </c>
      <c r="AH455">
        <v>6750</v>
      </c>
      <c r="AI455">
        <v>47250</v>
      </c>
      <c r="AJ455" t="s">
        <v>153</v>
      </c>
      <c r="AK455" t="s">
        <v>167</v>
      </c>
      <c r="AL455">
        <v>2003</v>
      </c>
      <c r="AM455" t="s">
        <v>82</v>
      </c>
      <c r="AN455" s="2">
        <f t="shared" si="49"/>
        <v>40.960394837978882</v>
      </c>
      <c r="AO455">
        <f t="shared" si="50"/>
        <v>-59267.86</v>
      </c>
      <c r="AP455" s="2">
        <f t="shared" si="51"/>
        <v>2.4396964659017962E-2</v>
      </c>
      <c r="AQ455" s="2">
        <f t="shared" si="55"/>
        <v>12</v>
      </c>
      <c r="AR455">
        <f t="shared" si="52"/>
        <v>20</v>
      </c>
      <c r="AS455" t="str">
        <f t="shared" si="53"/>
        <v>High Claim Ratio</v>
      </c>
      <c r="AT455" t="str">
        <f t="shared" si="54"/>
        <v>High Profit</v>
      </c>
    </row>
    <row r="456" spans="1:46" x14ac:dyDescent="0.2">
      <c r="A456">
        <v>126</v>
      </c>
      <c r="B456">
        <v>30</v>
      </c>
      <c r="C456">
        <v>248467</v>
      </c>
      <c r="D456" s="1">
        <v>41188</v>
      </c>
      <c r="E456" t="s">
        <v>83</v>
      </c>
      <c r="F456" t="s">
        <v>40</v>
      </c>
      <c r="G456">
        <v>2000</v>
      </c>
      <c r="H456">
        <v>1171.75</v>
      </c>
      <c r="I456">
        <v>0</v>
      </c>
      <c r="J456">
        <v>472163</v>
      </c>
      <c r="K456" t="s">
        <v>70</v>
      </c>
      <c r="L456" t="s">
        <v>92</v>
      </c>
      <c r="M456" t="s">
        <v>58</v>
      </c>
      <c r="N456" t="s">
        <v>73</v>
      </c>
      <c r="O456" t="s">
        <v>142</v>
      </c>
      <c r="P456">
        <v>46500</v>
      </c>
      <c r="Q456">
        <v>-42700</v>
      </c>
      <c r="R456" s="1">
        <v>42035</v>
      </c>
      <c r="S456" t="s">
        <v>46</v>
      </c>
      <c r="T456" t="s">
        <v>47</v>
      </c>
      <c r="U456" t="s">
        <v>63</v>
      </c>
      <c r="V456" t="s">
        <v>120</v>
      </c>
      <c r="W456" t="s">
        <v>77</v>
      </c>
      <c r="X456" t="s">
        <v>127</v>
      </c>
      <c r="Y456" t="s">
        <v>633</v>
      </c>
      <c r="Z456">
        <v>23</v>
      </c>
      <c r="AA456">
        <v>1</v>
      </c>
      <c r="AB456" t="s">
        <v>62</v>
      </c>
      <c r="AC456">
        <v>2</v>
      </c>
      <c r="AD456">
        <v>3</v>
      </c>
      <c r="AE456" t="s">
        <v>79</v>
      </c>
      <c r="AF456">
        <v>48730</v>
      </c>
      <c r="AG456">
        <v>4430</v>
      </c>
      <c r="AH456">
        <v>4430</v>
      </c>
      <c r="AI456">
        <v>39870</v>
      </c>
      <c r="AJ456" t="s">
        <v>89</v>
      </c>
      <c r="AK456" t="s">
        <v>245</v>
      </c>
      <c r="AL456">
        <v>2011</v>
      </c>
      <c r="AM456" t="s">
        <v>82</v>
      </c>
      <c r="AN456" s="2">
        <f t="shared" si="49"/>
        <v>41.551907908761457</v>
      </c>
      <c r="AO456">
        <f t="shared" si="50"/>
        <v>-47558.25</v>
      </c>
      <c r="AP456" s="2">
        <f t="shared" si="51"/>
        <v>2.4045268925324742E-2</v>
      </c>
      <c r="AQ456" s="2">
        <f t="shared" si="55"/>
        <v>4</v>
      </c>
      <c r="AR456">
        <f t="shared" si="52"/>
        <v>126</v>
      </c>
      <c r="AS456" t="str">
        <f t="shared" si="53"/>
        <v>High Claim Ratio</v>
      </c>
      <c r="AT456" t="str">
        <f t="shared" si="54"/>
        <v>High Profit</v>
      </c>
    </row>
    <row r="457" spans="1:46" x14ac:dyDescent="0.2">
      <c r="A457">
        <v>264</v>
      </c>
      <c r="B457">
        <v>43</v>
      </c>
      <c r="C457">
        <v>955953</v>
      </c>
      <c r="D457" s="1">
        <v>41657</v>
      </c>
      <c r="E457" t="s">
        <v>83</v>
      </c>
      <c r="F457" t="s">
        <v>91</v>
      </c>
      <c r="G457">
        <v>2000</v>
      </c>
      <c r="H457">
        <v>1353.33</v>
      </c>
      <c r="I457">
        <v>0</v>
      </c>
      <c r="J457">
        <v>447458</v>
      </c>
      <c r="K457" t="s">
        <v>41</v>
      </c>
      <c r="L457" t="s">
        <v>92</v>
      </c>
      <c r="M457" t="s">
        <v>185</v>
      </c>
      <c r="N457" t="s">
        <v>181</v>
      </c>
      <c r="O457" t="s">
        <v>142</v>
      </c>
      <c r="P457">
        <v>0</v>
      </c>
      <c r="Q457">
        <v>-8500</v>
      </c>
      <c r="R457" s="1">
        <v>42047</v>
      </c>
      <c r="S457" t="s">
        <v>75</v>
      </c>
      <c r="T457" t="s">
        <v>86</v>
      </c>
      <c r="U457" t="s">
        <v>63</v>
      </c>
      <c r="V457" t="s">
        <v>49</v>
      </c>
      <c r="W457" t="s">
        <v>113</v>
      </c>
      <c r="X457" t="s">
        <v>102</v>
      </c>
      <c r="Y457" t="s">
        <v>634</v>
      </c>
      <c r="Z457">
        <v>9</v>
      </c>
      <c r="AA457">
        <v>3</v>
      </c>
      <c r="AB457" t="s">
        <v>53</v>
      </c>
      <c r="AC457">
        <v>2</v>
      </c>
      <c r="AD457">
        <v>0</v>
      </c>
      <c r="AE457" t="s">
        <v>79</v>
      </c>
      <c r="AF457">
        <v>95150</v>
      </c>
      <c r="AG457">
        <v>17300</v>
      </c>
      <c r="AH457">
        <v>17300</v>
      </c>
      <c r="AI457">
        <v>60550</v>
      </c>
      <c r="AJ457" t="s">
        <v>129</v>
      </c>
      <c r="AK457" t="s">
        <v>172</v>
      </c>
      <c r="AL457">
        <v>2007</v>
      </c>
      <c r="AM457" t="s">
        <v>82</v>
      </c>
      <c r="AN457" s="2">
        <f t="shared" si="49"/>
        <v>70.256141413097254</v>
      </c>
      <c r="AO457">
        <f t="shared" si="50"/>
        <v>-93796.67</v>
      </c>
      <c r="AP457" s="2">
        <f t="shared" si="51"/>
        <v>1.4222971907809691E-2</v>
      </c>
      <c r="AQ457" s="2">
        <f t="shared" si="55"/>
        <v>8</v>
      </c>
      <c r="AR457">
        <f t="shared" si="52"/>
        <v>264</v>
      </c>
      <c r="AS457" t="str">
        <f t="shared" si="53"/>
        <v>High Claim Ratio</v>
      </c>
      <c r="AT457" t="str">
        <f t="shared" si="54"/>
        <v>High Profit</v>
      </c>
    </row>
    <row r="458" spans="1:46" x14ac:dyDescent="0.2">
      <c r="A458">
        <v>78</v>
      </c>
      <c r="B458">
        <v>24</v>
      </c>
      <c r="C458">
        <v>910622</v>
      </c>
      <c r="D458" s="1">
        <v>33685</v>
      </c>
      <c r="E458" t="s">
        <v>57</v>
      </c>
      <c r="F458" t="s">
        <v>69</v>
      </c>
      <c r="G458">
        <v>500</v>
      </c>
      <c r="H458">
        <v>1175.51</v>
      </c>
      <c r="I458">
        <v>0</v>
      </c>
      <c r="J458">
        <v>474792</v>
      </c>
      <c r="K458" t="s">
        <v>41</v>
      </c>
      <c r="L458" t="s">
        <v>124</v>
      </c>
      <c r="M458" t="s">
        <v>43</v>
      </c>
      <c r="N458" t="s">
        <v>155</v>
      </c>
      <c r="O458" t="s">
        <v>45</v>
      </c>
      <c r="P458">
        <v>0</v>
      </c>
      <c r="Q458">
        <v>0</v>
      </c>
      <c r="R458" s="1">
        <v>42010</v>
      </c>
      <c r="S458" t="s">
        <v>61</v>
      </c>
      <c r="T458" t="s">
        <v>62</v>
      </c>
      <c r="U458" t="s">
        <v>63</v>
      </c>
      <c r="V458" t="s">
        <v>49</v>
      </c>
      <c r="W458" t="s">
        <v>77</v>
      </c>
      <c r="X458" t="s">
        <v>51</v>
      </c>
      <c r="Y458" t="s">
        <v>635</v>
      </c>
      <c r="Z458">
        <v>20</v>
      </c>
      <c r="AA458">
        <v>1</v>
      </c>
      <c r="AB458" t="s">
        <v>62</v>
      </c>
      <c r="AC458">
        <v>0</v>
      </c>
      <c r="AD458">
        <v>1</v>
      </c>
      <c r="AE458" t="s">
        <v>53</v>
      </c>
      <c r="AF458">
        <v>7480</v>
      </c>
      <c r="AG458">
        <v>680</v>
      </c>
      <c r="AH458">
        <v>680</v>
      </c>
      <c r="AI458">
        <v>6120</v>
      </c>
      <c r="AJ458" t="s">
        <v>80</v>
      </c>
      <c r="AK458" t="s">
        <v>144</v>
      </c>
      <c r="AL458">
        <v>2003</v>
      </c>
      <c r="AM458" t="s">
        <v>82</v>
      </c>
      <c r="AN458" s="2">
        <f t="shared" si="49"/>
        <v>6.3577870141350266</v>
      </c>
      <c r="AO458">
        <f t="shared" si="50"/>
        <v>-6304.49</v>
      </c>
      <c r="AP458" s="2">
        <f t="shared" si="51"/>
        <v>0.15713273626520519</v>
      </c>
      <c r="AQ458" s="2">
        <f t="shared" si="55"/>
        <v>12</v>
      </c>
      <c r="AR458">
        <f t="shared" si="52"/>
        <v>78</v>
      </c>
      <c r="AS458" t="str">
        <f t="shared" si="53"/>
        <v>Medium Claim Ratio</v>
      </c>
      <c r="AT458" t="str">
        <f t="shared" si="54"/>
        <v>High Profit</v>
      </c>
    </row>
    <row r="459" spans="1:46" x14ac:dyDescent="0.2">
      <c r="A459">
        <v>123</v>
      </c>
      <c r="B459">
        <v>28</v>
      </c>
      <c r="C459">
        <v>137675</v>
      </c>
      <c r="D459" s="1">
        <v>41246</v>
      </c>
      <c r="E459" t="s">
        <v>83</v>
      </c>
      <c r="F459" t="s">
        <v>69</v>
      </c>
      <c r="G459">
        <v>2000</v>
      </c>
      <c r="H459">
        <v>1836.02</v>
      </c>
      <c r="I459">
        <v>0</v>
      </c>
      <c r="J459">
        <v>470559</v>
      </c>
      <c r="K459" t="s">
        <v>41</v>
      </c>
      <c r="L459" t="s">
        <v>124</v>
      </c>
      <c r="M459" t="s">
        <v>145</v>
      </c>
      <c r="N459" t="s">
        <v>146</v>
      </c>
      <c r="O459" t="s">
        <v>74</v>
      </c>
      <c r="P459">
        <v>38000</v>
      </c>
      <c r="Q459">
        <v>-41200</v>
      </c>
      <c r="R459" s="1">
        <v>42005</v>
      </c>
      <c r="S459" t="s">
        <v>46</v>
      </c>
      <c r="T459" t="s">
        <v>47</v>
      </c>
      <c r="U459" t="s">
        <v>48</v>
      </c>
      <c r="V459" t="s">
        <v>136</v>
      </c>
      <c r="W459" t="s">
        <v>121</v>
      </c>
      <c r="X459" t="s">
        <v>65</v>
      </c>
      <c r="Y459" t="s">
        <v>636</v>
      </c>
      <c r="Z459">
        <v>5</v>
      </c>
      <c r="AA459">
        <v>1</v>
      </c>
      <c r="AB459" t="s">
        <v>62</v>
      </c>
      <c r="AC459">
        <v>2</v>
      </c>
      <c r="AD459">
        <v>1</v>
      </c>
      <c r="AE459" t="s">
        <v>53</v>
      </c>
      <c r="AF459">
        <v>79800</v>
      </c>
      <c r="AG459">
        <v>13300</v>
      </c>
      <c r="AH459">
        <v>6650</v>
      </c>
      <c r="AI459">
        <v>59850</v>
      </c>
      <c r="AJ459" t="s">
        <v>214</v>
      </c>
      <c r="AK459" t="s">
        <v>215</v>
      </c>
      <c r="AL459">
        <v>2011</v>
      </c>
      <c r="AM459" t="s">
        <v>56</v>
      </c>
      <c r="AN459" s="2">
        <f t="shared" si="49"/>
        <v>43.439918999248782</v>
      </c>
      <c r="AO459">
        <f t="shared" si="50"/>
        <v>-77963.98</v>
      </c>
      <c r="AP459" s="2">
        <f t="shared" si="51"/>
        <v>2.3007481109259282E-2</v>
      </c>
      <c r="AQ459" s="2">
        <f t="shared" si="55"/>
        <v>4</v>
      </c>
      <c r="AR459">
        <f t="shared" si="52"/>
        <v>123</v>
      </c>
      <c r="AS459" t="str">
        <f t="shared" si="53"/>
        <v>High Claim Ratio</v>
      </c>
      <c r="AT459" t="str">
        <f t="shared" si="54"/>
        <v>High Profit</v>
      </c>
    </row>
    <row r="460" spans="1:46" x14ac:dyDescent="0.2">
      <c r="A460">
        <v>347</v>
      </c>
      <c r="B460">
        <v>51</v>
      </c>
      <c r="C460">
        <v>343421</v>
      </c>
      <c r="D460" s="1">
        <v>35356</v>
      </c>
      <c r="E460" t="s">
        <v>39</v>
      </c>
      <c r="F460" t="s">
        <v>91</v>
      </c>
      <c r="G460">
        <v>500</v>
      </c>
      <c r="H460">
        <v>1480.79</v>
      </c>
      <c r="I460">
        <v>9000000</v>
      </c>
      <c r="J460">
        <v>432399</v>
      </c>
      <c r="K460" t="s">
        <v>70</v>
      </c>
      <c r="L460" t="s">
        <v>42</v>
      </c>
      <c r="M460" t="s">
        <v>117</v>
      </c>
      <c r="N460" t="s">
        <v>73</v>
      </c>
      <c r="O460" t="s">
        <v>85</v>
      </c>
      <c r="P460">
        <v>0</v>
      </c>
      <c r="Q460">
        <v>-12100</v>
      </c>
      <c r="R460" s="1">
        <v>42011</v>
      </c>
      <c r="S460" t="s">
        <v>46</v>
      </c>
      <c r="T460" t="s">
        <v>47</v>
      </c>
      <c r="U460" t="s">
        <v>107</v>
      </c>
      <c r="V460" t="s">
        <v>120</v>
      </c>
      <c r="W460" t="s">
        <v>121</v>
      </c>
      <c r="X460" t="s">
        <v>122</v>
      </c>
      <c r="Y460" t="s">
        <v>637</v>
      </c>
      <c r="Z460">
        <v>15</v>
      </c>
      <c r="AA460">
        <v>1</v>
      </c>
      <c r="AB460" t="s">
        <v>53</v>
      </c>
      <c r="AC460">
        <v>0</v>
      </c>
      <c r="AD460">
        <v>2</v>
      </c>
      <c r="AE460" t="s">
        <v>62</v>
      </c>
      <c r="AF460">
        <v>103560</v>
      </c>
      <c r="AG460">
        <v>8630</v>
      </c>
      <c r="AH460">
        <v>17260</v>
      </c>
      <c r="AI460">
        <v>77670</v>
      </c>
      <c r="AJ460" t="s">
        <v>197</v>
      </c>
      <c r="AK460" t="s">
        <v>198</v>
      </c>
      <c r="AL460">
        <v>1997</v>
      </c>
      <c r="AM460" t="s">
        <v>82</v>
      </c>
      <c r="AN460" s="2">
        <f t="shared" si="49"/>
        <v>69.888445731176489</v>
      </c>
      <c r="AO460">
        <f t="shared" si="50"/>
        <v>-102079.21</v>
      </c>
      <c r="AP460" s="2">
        <f t="shared" si="51"/>
        <v>1.4298722492057821E-2</v>
      </c>
      <c r="AQ460" s="2">
        <f t="shared" si="55"/>
        <v>18</v>
      </c>
      <c r="AR460">
        <f t="shared" si="52"/>
        <v>347</v>
      </c>
      <c r="AS460" t="str">
        <f t="shared" si="53"/>
        <v>High Claim Ratio</v>
      </c>
      <c r="AT460" t="str">
        <f t="shared" si="54"/>
        <v>High Profit</v>
      </c>
    </row>
    <row r="461" spans="1:46" x14ac:dyDescent="0.2">
      <c r="A461">
        <v>163</v>
      </c>
      <c r="B461">
        <v>38</v>
      </c>
      <c r="C461">
        <v>413192</v>
      </c>
      <c r="D461" s="1">
        <v>35705</v>
      </c>
      <c r="E461" t="s">
        <v>57</v>
      </c>
      <c r="F461" t="s">
        <v>91</v>
      </c>
      <c r="G461">
        <v>2000</v>
      </c>
      <c r="H461">
        <v>1453.92</v>
      </c>
      <c r="I461">
        <v>0</v>
      </c>
      <c r="J461">
        <v>607605</v>
      </c>
      <c r="K461" t="s">
        <v>70</v>
      </c>
      <c r="L461" t="s">
        <v>71</v>
      </c>
      <c r="M461" t="s">
        <v>111</v>
      </c>
      <c r="N461" t="s">
        <v>155</v>
      </c>
      <c r="O461" t="s">
        <v>60</v>
      </c>
      <c r="P461">
        <v>51700</v>
      </c>
      <c r="Q461">
        <v>0</v>
      </c>
      <c r="R461" s="1">
        <v>42056</v>
      </c>
      <c r="S461" t="s">
        <v>46</v>
      </c>
      <c r="T461" t="s">
        <v>47</v>
      </c>
      <c r="U461" t="s">
        <v>63</v>
      </c>
      <c r="V461" t="s">
        <v>136</v>
      </c>
      <c r="W461" t="s">
        <v>77</v>
      </c>
      <c r="X461" t="s">
        <v>122</v>
      </c>
      <c r="Y461" t="s">
        <v>638</v>
      </c>
      <c r="Z461">
        <v>13</v>
      </c>
      <c r="AA461">
        <v>1</v>
      </c>
      <c r="AB461" t="s">
        <v>53</v>
      </c>
      <c r="AC461">
        <v>2</v>
      </c>
      <c r="AD461">
        <v>3</v>
      </c>
      <c r="AE461" t="s">
        <v>62</v>
      </c>
      <c r="AF461">
        <v>79500</v>
      </c>
      <c r="AG461">
        <v>15900</v>
      </c>
      <c r="AH461">
        <v>7950</v>
      </c>
      <c r="AI461">
        <v>55650</v>
      </c>
      <c r="AJ461" t="s">
        <v>95</v>
      </c>
      <c r="AK461" t="s">
        <v>148</v>
      </c>
      <c r="AL461">
        <v>1995</v>
      </c>
      <c r="AM461" t="s">
        <v>82</v>
      </c>
      <c r="AN461" s="2">
        <f t="shared" si="49"/>
        <v>54.642179638743023</v>
      </c>
      <c r="AO461">
        <f t="shared" si="50"/>
        <v>-78046.080000000002</v>
      </c>
      <c r="AP461" s="2">
        <f t="shared" si="51"/>
        <v>1.8288071848152853E-2</v>
      </c>
      <c r="AQ461" s="2">
        <f t="shared" si="55"/>
        <v>20</v>
      </c>
      <c r="AR461">
        <f t="shared" si="52"/>
        <v>163</v>
      </c>
      <c r="AS461" t="str">
        <f t="shared" si="53"/>
        <v>High Claim Ratio</v>
      </c>
      <c r="AT461" t="str">
        <f t="shared" si="54"/>
        <v>High Profit</v>
      </c>
    </row>
    <row r="462" spans="1:46" x14ac:dyDescent="0.2">
      <c r="A462">
        <v>271</v>
      </c>
      <c r="B462">
        <v>44</v>
      </c>
      <c r="C462">
        <v>247801</v>
      </c>
      <c r="D462" s="1">
        <v>39525</v>
      </c>
      <c r="E462" t="s">
        <v>39</v>
      </c>
      <c r="F462" t="s">
        <v>40</v>
      </c>
      <c r="G462">
        <v>500</v>
      </c>
      <c r="H462">
        <v>1340.71</v>
      </c>
      <c r="I462">
        <v>0</v>
      </c>
      <c r="J462">
        <v>600153</v>
      </c>
      <c r="K462" t="s">
        <v>70</v>
      </c>
      <c r="L462" t="s">
        <v>131</v>
      </c>
      <c r="M462" t="s">
        <v>97</v>
      </c>
      <c r="N462" t="s">
        <v>106</v>
      </c>
      <c r="O462" t="s">
        <v>60</v>
      </c>
      <c r="P462">
        <v>0</v>
      </c>
      <c r="Q462">
        <v>0</v>
      </c>
      <c r="R462" s="1">
        <v>42049</v>
      </c>
      <c r="S462" t="s">
        <v>46</v>
      </c>
      <c r="T462" t="s">
        <v>76</v>
      </c>
      <c r="U462" t="s">
        <v>63</v>
      </c>
      <c r="V462" t="s">
        <v>120</v>
      </c>
      <c r="W462" t="s">
        <v>50</v>
      </c>
      <c r="X462" t="s">
        <v>65</v>
      </c>
      <c r="Y462" t="s">
        <v>639</v>
      </c>
      <c r="Z462">
        <v>16</v>
      </c>
      <c r="AA462">
        <v>1</v>
      </c>
      <c r="AB462" t="s">
        <v>79</v>
      </c>
      <c r="AC462">
        <v>2</v>
      </c>
      <c r="AD462">
        <v>2</v>
      </c>
      <c r="AE462" t="s">
        <v>79</v>
      </c>
      <c r="AF462">
        <v>76230</v>
      </c>
      <c r="AG462">
        <v>6930</v>
      </c>
      <c r="AH462">
        <v>13860</v>
      </c>
      <c r="AI462">
        <v>55440</v>
      </c>
      <c r="AJ462" t="s">
        <v>214</v>
      </c>
      <c r="AK462" t="s">
        <v>215</v>
      </c>
      <c r="AL462">
        <v>1997</v>
      </c>
      <c r="AM462" t="s">
        <v>56</v>
      </c>
      <c r="AN462" s="2">
        <f t="shared" si="49"/>
        <v>56.815556267747873</v>
      </c>
      <c r="AO462">
        <f t="shared" si="50"/>
        <v>-74889.289999999994</v>
      </c>
      <c r="AP462" s="2">
        <f t="shared" si="51"/>
        <v>1.7587464417363016E-2</v>
      </c>
      <c r="AQ462" s="2">
        <f t="shared" si="55"/>
        <v>18</v>
      </c>
      <c r="AR462">
        <f t="shared" si="52"/>
        <v>271</v>
      </c>
      <c r="AS462" t="str">
        <f t="shared" si="53"/>
        <v>High Claim Ratio</v>
      </c>
      <c r="AT462" t="str">
        <f t="shared" si="54"/>
        <v>High Profit</v>
      </c>
    </row>
    <row r="463" spans="1:46" x14ac:dyDescent="0.2">
      <c r="A463">
        <v>410</v>
      </c>
      <c r="B463">
        <v>54</v>
      </c>
      <c r="C463">
        <v>171147</v>
      </c>
      <c r="D463" s="1">
        <v>40419</v>
      </c>
      <c r="E463" t="s">
        <v>83</v>
      </c>
      <c r="F463" t="s">
        <v>69</v>
      </c>
      <c r="G463">
        <v>2000</v>
      </c>
      <c r="H463">
        <v>714.03</v>
      </c>
      <c r="I463">
        <v>0</v>
      </c>
      <c r="J463">
        <v>465979</v>
      </c>
      <c r="K463" t="s">
        <v>41</v>
      </c>
      <c r="L463" t="s">
        <v>42</v>
      </c>
      <c r="M463" t="s">
        <v>135</v>
      </c>
      <c r="N463" t="s">
        <v>73</v>
      </c>
      <c r="O463" t="s">
        <v>74</v>
      </c>
      <c r="P463">
        <v>0</v>
      </c>
      <c r="Q463">
        <v>-17000</v>
      </c>
      <c r="R463" s="1">
        <v>42051</v>
      </c>
      <c r="S463" t="s">
        <v>46</v>
      </c>
      <c r="T463" t="s">
        <v>47</v>
      </c>
      <c r="U463" t="s">
        <v>63</v>
      </c>
      <c r="V463" t="s">
        <v>136</v>
      </c>
      <c r="W463" t="s">
        <v>113</v>
      </c>
      <c r="X463" t="s">
        <v>127</v>
      </c>
      <c r="Y463" t="s">
        <v>640</v>
      </c>
      <c r="Z463">
        <v>0</v>
      </c>
      <c r="AA463">
        <v>1</v>
      </c>
      <c r="AB463" t="s">
        <v>53</v>
      </c>
      <c r="AC463">
        <v>0</v>
      </c>
      <c r="AD463">
        <v>2</v>
      </c>
      <c r="AE463" t="s">
        <v>79</v>
      </c>
      <c r="AF463">
        <v>59520</v>
      </c>
      <c r="AG463">
        <v>9920</v>
      </c>
      <c r="AH463">
        <v>9920</v>
      </c>
      <c r="AI463">
        <v>39680</v>
      </c>
      <c r="AJ463" t="s">
        <v>209</v>
      </c>
      <c r="AK463" t="s">
        <v>231</v>
      </c>
      <c r="AL463">
        <v>2001</v>
      </c>
      <c r="AM463" t="s">
        <v>82</v>
      </c>
      <c r="AN463" s="2">
        <f t="shared" si="49"/>
        <v>83.241262604366256</v>
      </c>
      <c r="AO463">
        <f t="shared" si="50"/>
        <v>-58805.97</v>
      </c>
      <c r="AP463" s="2">
        <f t="shared" si="51"/>
        <v>1.199627022395457E-2</v>
      </c>
      <c r="AQ463" s="2">
        <f t="shared" si="55"/>
        <v>14</v>
      </c>
      <c r="AR463">
        <f t="shared" si="52"/>
        <v>410</v>
      </c>
      <c r="AS463" t="str">
        <f t="shared" si="53"/>
        <v>High Claim Ratio</v>
      </c>
      <c r="AT463" t="str">
        <f t="shared" si="54"/>
        <v>High Profit</v>
      </c>
    </row>
    <row r="464" spans="1:46" x14ac:dyDescent="0.2">
      <c r="A464">
        <v>448</v>
      </c>
      <c r="B464">
        <v>57</v>
      </c>
      <c r="C464">
        <v>431283</v>
      </c>
      <c r="D464" s="1">
        <v>38442</v>
      </c>
      <c r="E464" t="s">
        <v>83</v>
      </c>
      <c r="F464" t="s">
        <v>69</v>
      </c>
      <c r="G464">
        <v>2000</v>
      </c>
      <c r="H464">
        <v>1376.16</v>
      </c>
      <c r="I464">
        <v>0</v>
      </c>
      <c r="J464">
        <v>466555</v>
      </c>
      <c r="K464" t="s">
        <v>70</v>
      </c>
      <c r="L464" t="s">
        <v>71</v>
      </c>
      <c r="M464" t="s">
        <v>97</v>
      </c>
      <c r="N464" t="s">
        <v>149</v>
      </c>
      <c r="O464" t="s">
        <v>74</v>
      </c>
      <c r="P464">
        <v>38600</v>
      </c>
      <c r="Q464">
        <v>-50300</v>
      </c>
      <c r="R464" s="1">
        <v>42039</v>
      </c>
      <c r="S464" t="s">
        <v>75</v>
      </c>
      <c r="T464" t="s">
        <v>86</v>
      </c>
      <c r="U464" t="s">
        <v>48</v>
      </c>
      <c r="V464" t="s">
        <v>49</v>
      </c>
      <c r="W464" t="s">
        <v>50</v>
      </c>
      <c r="X464" t="s">
        <v>87</v>
      </c>
      <c r="Y464" t="s">
        <v>641</v>
      </c>
      <c r="Z464">
        <v>10</v>
      </c>
      <c r="AA464">
        <v>3</v>
      </c>
      <c r="AB464" t="s">
        <v>79</v>
      </c>
      <c r="AC464">
        <v>2</v>
      </c>
      <c r="AD464">
        <v>1</v>
      </c>
      <c r="AE464" t="s">
        <v>62</v>
      </c>
      <c r="AF464">
        <v>47760</v>
      </c>
      <c r="AG464">
        <v>5970</v>
      </c>
      <c r="AH464">
        <v>5970</v>
      </c>
      <c r="AI464">
        <v>35820</v>
      </c>
      <c r="AJ464" t="s">
        <v>153</v>
      </c>
      <c r="AK464" t="s">
        <v>163</v>
      </c>
      <c r="AL464">
        <v>2013</v>
      </c>
      <c r="AM464" t="s">
        <v>56</v>
      </c>
      <c r="AN464" s="2">
        <f t="shared" si="49"/>
        <v>34.680066223242029</v>
      </c>
      <c r="AO464">
        <f t="shared" si="50"/>
        <v>-46383.839999999997</v>
      </c>
      <c r="AP464" s="2">
        <f t="shared" si="51"/>
        <v>2.8813467054709913E-2</v>
      </c>
      <c r="AQ464" s="2">
        <f t="shared" si="55"/>
        <v>2</v>
      </c>
      <c r="AR464">
        <f t="shared" si="52"/>
        <v>448</v>
      </c>
      <c r="AS464" t="str">
        <f t="shared" si="53"/>
        <v>High Claim Ratio</v>
      </c>
      <c r="AT464" t="str">
        <f t="shared" si="54"/>
        <v>High Profit</v>
      </c>
    </row>
    <row r="465" spans="1:46" x14ac:dyDescent="0.2">
      <c r="A465">
        <v>218</v>
      </c>
      <c r="B465">
        <v>41</v>
      </c>
      <c r="C465">
        <v>461962</v>
      </c>
      <c r="D465" s="1">
        <v>41633</v>
      </c>
      <c r="E465" t="s">
        <v>83</v>
      </c>
      <c r="F465" t="s">
        <v>69</v>
      </c>
      <c r="G465">
        <v>500</v>
      </c>
      <c r="H465">
        <v>914.22</v>
      </c>
      <c r="I465">
        <v>0</v>
      </c>
      <c r="J465">
        <v>444155</v>
      </c>
      <c r="K465" t="s">
        <v>41</v>
      </c>
      <c r="L465" t="s">
        <v>161</v>
      </c>
      <c r="M465" t="s">
        <v>101</v>
      </c>
      <c r="N465" t="s">
        <v>112</v>
      </c>
      <c r="O465" t="s">
        <v>119</v>
      </c>
      <c r="P465">
        <v>37900</v>
      </c>
      <c r="Q465">
        <v>-72900</v>
      </c>
      <c r="R465" s="1">
        <v>42026</v>
      </c>
      <c r="S465" t="s">
        <v>75</v>
      </c>
      <c r="T465" t="s">
        <v>47</v>
      </c>
      <c r="U465" t="s">
        <v>107</v>
      </c>
      <c r="V465" t="s">
        <v>49</v>
      </c>
      <c r="W465" t="s">
        <v>77</v>
      </c>
      <c r="X465" t="s">
        <v>102</v>
      </c>
      <c r="Y465" t="s">
        <v>642</v>
      </c>
      <c r="Z465">
        <v>14</v>
      </c>
      <c r="AA465">
        <v>3</v>
      </c>
      <c r="AB465" t="s">
        <v>79</v>
      </c>
      <c r="AC465">
        <v>2</v>
      </c>
      <c r="AD465">
        <v>0</v>
      </c>
      <c r="AE465" t="s">
        <v>79</v>
      </c>
      <c r="AF465">
        <v>84590</v>
      </c>
      <c r="AG465">
        <v>15380</v>
      </c>
      <c r="AH465">
        <v>7690</v>
      </c>
      <c r="AI465">
        <v>61520</v>
      </c>
      <c r="AJ465" t="s">
        <v>54</v>
      </c>
      <c r="AK465">
        <v>93</v>
      </c>
      <c r="AL465">
        <v>2013</v>
      </c>
      <c r="AM465" t="s">
        <v>82</v>
      </c>
      <c r="AN465" s="2">
        <f t="shared" si="49"/>
        <v>92.425864819387684</v>
      </c>
      <c r="AO465">
        <f t="shared" si="50"/>
        <v>-83675.78</v>
      </c>
      <c r="AP465" s="2">
        <f t="shared" si="51"/>
        <v>1.0807532716246409E-2</v>
      </c>
      <c r="AQ465" s="2">
        <f t="shared" si="55"/>
        <v>2</v>
      </c>
      <c r="AR465">
        <f t="shared" si="52"/>
        <v>218</v>
      </c>
      <c r="AS465" t="str">
        <f t="shared" si="53"/>
        <v>High Claim Ratio</v>
      </c>
      <c r="AT465" t="str">
        <f t="shared" si="54"/>
        <v>High Profit</v>
      </c>
    </row>
    <row r="466" spans="1:46" x14ac:dyDescent="0.2">
      <c r="A466">
        <v>43</v>
      </c>
      <c r="B466">
        <v>38</v>
      </c>
      <c r="C466">
        <v>149467</v>
      </c>
      <c r="D466" s="1">
        <v>41709</v>
      </c>
      <c r="E466" t="s">
        <v>39</v>
      </c>
      <c r="F466" t="s">
        <v>91</v>
      </c>
      <c r="G466">
        <v>1000</v>
      </c>
      <c r="H466">
        <v>1601.47</v>
      </c>
      <c r="I466">
        <v>0</v>
      </c>
      <c r="J466">
        <v>465764</v>
      </c>
      <c r="K466" t="s">
        <v>41</v>
      </c>
      <c r="L466" t="s">
        <v>71</v>
      </c>
      <c r="M466" t="s">
        <v>159</v>
      </c>
      <c r="N466" t="s">
        <v>132</v>
      </c>
      <c r="O466" t="s">
        <v>60</v>
      </c>
      <c r="P466">
        <v>64400</v>
      </c>
      <c r="Q466">
        <v>0</v>
      </c>
      <c r="R466" s="1">
        <v>42050</v>
      </c>
      <c r="S466" t="s">
        <v>75</v>
      </c>
      <c r="T466" t="s">
        <v>86</v>
      </c>
      <c r="U466" t="s">
        <v>107</v>
      </c>
      <c r="V466" t="s">
        <v>120</v>
      </c>
      <c r="W466" t="s">
        <v>50</v>
      </c>
      <c r="X466" t="s">
        <v>51</v>
      </c>
      <c r="Y466" t="s">
        <v>643</v>
      </c>
      <c r="Z466">
        <v>1</v>
      </c>
      <c r="AA466">
        <v>3</v>
      </c>
      <c r="AB466" t="s">
        <v>53</v>
      </c>
      <c r="AC466">
        <v>2</v>
      </c>
      <c r="AD466">
        <v>2</v>
      </c>
      <c r="AE466" t="s">
        <v>62</v>
      </c>
      <c r="AF466">
        <v>61650</v>
      </c>
      <c r="AG466">
        <v>6850</v>
      </c>
      <c r="AH466">
        <v>6850</v>
      </c>
      <c r="AI466">
        <v>47950</v>
      </c>
      <c r="AJ466" t="s">
        <v>104</v>
      </c>
      <c r="AK466" t="s">
        <v>287</v>
      </c>
      <c r="AL466">
        <v>2006</v>
      </c>
      <c r="AM466" t="s">
        <v>82</v>
      </c>
      <c r="AN466" s="2">
        <f t="shared" si="49"/>
        <v>38.471859067564445</v>
      </c>
      <c r="AO466">
        <f t="shared" si="50"/>
        <v>-60048.53</v>
      </c>
      <c r="AP466" s="2">
        <f t="shared" si="51"/>
        <v>2.5976383189242672E-2</v>
      </c>
      <c r="AQ466" s="2">
        <f t="shared" si="55"/>
        <v>9</v>
      </c>
      <c r="AR466">
        <f t="shared" si="52"/>
        <v>43</v>
      </c>
      <c r="AS466" t="str">
        <f t="shared" si="53"/>
        <v>High Claim Ratio</v>
      </c>
      <c r="AT466" t="str">
        <f t="shared" si="54"/>
        <v>High Profit</v>
      </c>
    </row>
    <row r="467" spans="1:46" x14ac:dyDescent="0.2">
      <c r="A467">
        <v>33</v>
      </c>
      <c r="B467">
        <v>33</v>
      </c>
      <c r="C467">
        <v>758740</v>
      </c>
      <c r="D467" s="1">
        <v>35646</v>
      </c>
      <c r="E467" t="s">
        <v>83</v>
      </c>
      <c r="F467" t="s">
        <v>91</v>
      </c>
      <c r="G467">
        <v>1000</v>
      </c>
      <c r="H467">
        <v>1096.79</v>
      </c>
      <c r="I467">
        <v>6000000</v>
      </c>
      <c r="J467">
        <v>446898</v>
      </c>
      <c r="K467" t="s">
        <v>70</v>
      </c>
      <c r="L467" t="s">
        <v>92</v>
      </c>
      <c r="M467" t="s">
        <v>159</v>
      </c>
      <c r="N467" t="s">
        <v>126</v>
      </c>
      <c r="O467" t="s">
        <v>85</v>
      </c>
      <c r="P467">
        <v>45500</v>
      </c>
      <c r="Q467">
        <v>-60600</v>
      </c>
      <c r="R467" s="1">
        <v>42011</v>
      </c>
      <c r="S467" t="s">
        <v>46</v>
      </c>
      <c r="T467" t="s">
        <v>76</v>
      </c>
      <c r="U467" t="s">
        <v>48</v>
      </c>
      <c r="V467" t="s">
        <v>49</v>
      </c>
      <c r="W467" t="s">
        <v>64</v>
      </c>
      <c r="X467" t="s">
        <v>102</v>
      </c>
      <c r="Y467" t="s">
        <v>644</v>
      </c>
      <c r="Z467">
        <v>16</v>
      </c>
      <c r="AA467">
        <v>1</v>
      </c>
      <c r="AB467" t="s">
        <v>62</v>
      </c>
      <c r="AC467">
        <v>2</v>
      </c>
      <c r="AD467">
        <v>1</v>
      </c>
      <c r="AE467" t="s">
        <v>62</v>
      </c>
      <c r="AF467">
        <v>81400</v>
      </c>
      <c r="AG467">
        <v>8140</v>
      </c>
      <c r="AH467">
        <v>8140</v>
      </c>
      <c r="AI467">
        <v>65120</v>
      </c>
      <c r="AJ467" t="s">
        <v>187</v>
      </c>
      <c r="AK467" t="s">
        <v>201</v>
      </c>
      <c r="AL467">
        <v>1998</v>
      </c>
      <c r="AM467" t="s">
        <v>82</v>
      </c>
      <c r="AN467" s="2">
        <f t="shared" si="49"/>
        <v>74.148972025615109</v>
      </c>
      <c r="AO467">
        <f t="shared" si="50"/>
        <v>-80303.210000000006</v>
      </c>
      <c r="AP467" s="2">
        <f t="shared" si="51"/>
        <v>1.3473913096890701E-2</v>
      </c>
      <c r="AQ467" s="2">
        <f t="shared" si="55"/>
        <v>17</v>
      </c>
      <c r="AR467">
        <f t="shared" si="52"/>
        <v>33</v>
      </c>
      <c r="AS467" t="str">
        <f t="shared" si="53"/>
        <v>High Claim Ratio</v>
      </c>
      <c r="AT467" t="str">
        <f t="shared" si="54"/>
        <v>High Profit</v>
      </c>
    </row>
    <row r="468" spans="1:46" x14ac:dyDescent="0.2">
      <c r="A468">
        <v>126</v>
      </c>
      <c r="B468">
        <v>34</v>
      </c>
      <c r="C468">
        <v>628337</v>
      </c>
      <c r="D468" s="1">
        <v>39400</v>
      </c>
      <c r="E468" t="s">
        <v>57</v>
      </c>
      <c r="F468" t="s">
        <v>69</v>
      </c>
      <c r="G468">
        <v>2000</v>
      </c>
      <c r="H468">
        <v>1078.22</v>
      </c>
      <c r="I468">
        <v>0</v>
      </c>
      <c r="J468">
        <v>453274</v>
      </c>
      <c r="K468" t="s">
        <v>70</v>
      </c>
      <c r="L468" t="s">
        <v>124</v>
      </c>
      <c r="M468" t="s">
        <v>145</v>
      </c>
      <c r="N468" t="s">
        <v>118</v>
      </c>
      <c r="O468" t="s">
        <v>119</v>
      </c>
      <c r="P468">
        <v>54500</v>
      </c>
      <c r="Q468">
        <v>0</v>
      </c>
      <c r="R468" s="1">
        <v>42058</v>
      </c>
      <c r="S468" t="s">
        <v>75</v>
      </c>
      <c r="T468" t="s">
        <v>47</v>
      </c>
      <c r="U468" t="s">
        <v>48</v>
      </c>
      <c r="V468" t="s">
        <v>99</v>
      </c>
      <c r="W468" t="s">
        <v>50</v>
      </c>
      <c r="X468" t="s">
        <v>127</v>
      </c>
      <c r="Y468" t="s">
        <v>645</v>
      </c>
      <c r="Z468">
        <v>2</v>
      </c>
      <c r="AA468">
        <v>3</v>
      </c>
      <c r="AB468" t="s">
        <v>79</v>
      </c>
      <c r="AC468">
        <v>0</v>
      </c>
      <c r="AD468">
        <v>1</v>
      </c>
      <c r="AE468" t="s">
        <v>53</v>
      </c>
      <c r="AF468">
        <v>58410</v>
      </c>
      <c r="AG468">
        <v>10620</v>
      </c>
      <c r="AH468">
        <v>5310</v>
      </c>
      <c r="AI468">
        <v>42480</v>
      </c>
      <c r="AJ468" t="s">
        <v>89</v>
      </c>
      <c r="AK468" t="s">
        <v>90</v>
      </c>
      <c r="AL468">
        <v>2007</v>
      </c>
      <c r="AM468" t="s">
        <v>82</v>
      </c>
      <c r="AN468" s="2">
        <f t="shared" si="49"/>
        <v>54.122421749040974</v>
      </c>
      <c r="AO468">
        <f t="shared" si="50"/>
        <v>-57331.78</v>
      </c>
      <c r="AP468" s="2">
        <f t="shared" si="51"/>
        <v>1.8459194329835133E-2</v>
      </c>
      <c r="AQ468" s="2">
        <f t="shared" si="55"/>
        <v>8</v>
      </c>
      <c r="AR468">
        <f t="shared" si="52"/>
        <v>126</v>
      </c>
      <c r="AS468" t="str">
        <f t="shared" si="53"/>
        <v>High Claim Ratio</v>
      </c>
      <c r="AT468" t="str">
        <f t="shared" si="54"/>
        <v>High Profit</v>
      </c>
    </row>
    <row r="469" spans="1:46" x14ac:dyDescent="0.2">
      <c r="A469">
        <v>411</v>
      </c>
      <c r="B469">
        <v>56</v>
      </c>
      <c r="C469">
        <v>574637</v>
      </c>
      <c r="D469" s="1">
        <v>33815</v>
      </c>
      <c r="E469" t="s">
        <v>83</v>
      </c>
      <c r="F469" t="s">
        <v>40</v>
      </c>
      <c r="G469">
        <v>1000</v>
      </c>
      <c r="H469">
        <v>1595.28</v>
      </c>
      <c r="I469">
        <v>0</v>
      </c>
      <c r="J469">
        <v>479320</v>
      </c>
      <c r="K469" t="s">
        <v>70</v>
      </c>
      <c r="L469" t="s">
        <v>141</v>
      </c>
      <c r="M469" t="s">
        <v>135</v>
      </c>
      <c r="N469" t="s">
        <v>264</v>
      </c>
      <c r="O469" t="s">
        <v>60</v>
      </c>
      <c r="P469">
        <v>0</v>
      </c>
      <c r="Q469">
        <v>0</v>
      </c>
      <c r="R469" s="1">
        <v>42010</v>
      </c>
      <c r="S469" t="s">
        <v>75</v>
      </c>
      <c r="T469" t="s">
        <v>47</v>
      </c>
      <c r="U469" t="s">
        <v>48</v>
      </c>
      <c r="V469" t="s">
        <v>136</v>
      </c>
      <c r="W469" t="s">
        <v>64</v>
      </c>
      <c r="X469" t="s">
        <v>102</v>
      </c>
      <c r="Y469" t="s">
        <v>646</v>
      </c>
      <c r="Z469">
        <v>23</v>
      </c>
      <c r="AA469">
        <v>3</v>
      </c>
      <c r="AB469" t="s">
        <v>62</v>
      </c>
      <c r="AC469">
        <v>0</v>
      </c>
      <c r="AD469">
        <v>0</v>
      </c>
      <c r="AE469" t="s">
        <v>62</v>
      </c>
      <c r="AF469">
        <v>38610</v>
      </c>
      <c r="AG469">
        <v>3510</v>
      </c>
      <c r="AH469">
        <v>3510</v>
      </c>
      <c r="AI469">
        <v>31590</v>
      </c>
      <c r="AJ469" t="s">
        <v>214</v>
      </c>
      <c r="AK469" t="s">
        <v>215</v>
      </c>
      <c r="AL469">
        <v>2007</v>
      </c>
      <c r="AM469" t="s">
        <v>82</v>
      </c>
      <c r="AN469" s="2">
        <f t="shared" si="49"/>
        <v>24.187485904728494</v>
      </c>
      <c r="AO469">
        <f t="shared" si="50"/>
        <v>-37014.720000000001</v>
      </c>
      <c r="AP469" s="2">
        <f t="shared" si="51"/>
        <v>4.1316723213591984E-2</v>
      </c>
      <c r="AQ469" s="2">
        <f t="shared" si="55"/>
        <v>8</v>
      </c>
      <c r="AR469">
        <f t="shared" si="52"/>
        <v>411</v>
      </c>
      <c r="AS469" t="str">
        <f t="shared" si="53"/>
        <v>High Claim Ratio</v>
      </c>
      <c r="AT469" t="str">
        <f t="shared" si="54"/>
        <v>High Profit</v>
      </c>
    </row>
    <row r="470" spans="1:46" x14ac:dyDescent="0.2">
      <c r="A470">
        <v>225</v>
      </c>
      <c r="B470">
        <v>37</v>
      </c>
      <c r="C470">
        <v>373600</v>
      </c>
      <c r="D470" s="1">
        <v>36861</v>
      </c>
      <c r="E470" t="s">
        <v>39</v>
      </c>
      <c r="F470" t="s">
        <v>69</v>
      </c>
      <c r="G470">
        <v>1000</v>
      </c>
      <c r="H470">
        <v>1217.8399999999999</v>
      </c>
      <c r="I470">
        <v>5000000</v>
      </c>
      <c r="J470">
        <v>443462</v>
      </c>
      <c r="K470" t="s">
        <v>70</v>
      </c>
      <c r="L470" t="s">
        <v>131</v>
      </c>
      <c r="M470" t="s">
        <v>189</v>
      </c>
      <c r="N470" t="s">
        <v>155</v>
      </c>
      <c r="O470" t="s">
        <v>142</v>
      </c>
      <c r="P470">
        <v>49600</v>
      </c>
      <c r="Q470">
        <v>0</v>
      </c>
      <c r="R470" s="1">
        <v>42042</v>
      </c>
      <c r="S470" t="s">
        <v>75</v>
      </c>
      <c r="T470" t="s">
        <v>86</v>
      </c>
      <c r="U470" t="s">
        <v>63</v>
      </c>
      <c r="V470" t="s">
        <v>99</v>
      </c>
      <c r="W470" t="s">
        <v>113</v>
      </c>
      <c r="X470" t="s">
        <v>156</v>
      </c>
      <c r="Y470" t="s">
        <v>647</v>
      </c>
      <c r="Z470">
        <v>19</v>
      </c>
      <c r="AA470">
        <v>3</v>
      </c>
      <c r="AB470" t="s">
        <v>62</v>
      </c>
      <c r="AC470">
        <v>2</v>
      </c>
      <c r="AD470">
        <v>2</v>
      </c>
      <c r="AE470" t="s">
        <v>79</v>
      </c>
      <c r="AF470">
        <v>57600</v>
      </c>
      <c r="AG470">
        <v>9600</v>
      </c>
      <c r="AH470">
        <v>9600</v>
      </c>
      <c r="AI470">
        <v>38400</v>
      </c>
      <c r="AJ470" t="s">
        <v>214</v>
      </c>
      <c r="AK470" t="s">
        <v>215</v>
      </c>
      <c r="AL470">
        <v>2015</v>
      </c>
      <c r="AM470" t="s">
        <v>82</v>
      </c>
      <c r="AN470" s="2">
        <f t="shared" si="49"/>
        <v>47.25804863640839</v>
      </c>
      <c r="AO470">
        <f t="shared" si="50"/>
        <v>-56382.16</v>
      </c>
      <c r="AP470" s="2">
        <f t="shared" si="51"/>
        <v>2.1142688494991405E-2</v>
      </c>
      <c r="AQ470" s="2">
        <f t="shared" si="55"/>
        <v>0</v>
      </c>
      <c r="AR470">
        <f t="shared" si="52"/>
        <v>225</v>
      </c>
      <c r="AS470" t="str">
        <f t="shared" si="53"/>
        <v>High Claim Ratio</v>
      </c>
      <c r="AT470" t="str">
        <f t="shared" si="54"/>
        <v>High Profit</v>
      </c>
    </row>
    <row r="471" spans="1:46" x14ac:dyDescent="0.2">
      <c r="A471">
        <v>35</v>
      </c>
      <c r="B471">
        <v>35</v>
      </c>
      <c r="C471">
        <v>930032</v>
      </c>
      <c r="D471" s="1">
        <v>37509</v>
      </c>
      <c r="E471" t="s">
        <v>83</v>
      </c>
      <c r="F471" t="s">
        <v>69</v>
      </c>
      <c r="G471">
        <v>2000</v>
      </c>
      <c r="H471">
        <v>1117.42</v>
      </c>
      <c r="I471">
        <v>0</v>
      </c>
      <c r="J471">
        <v>446158</v>
      </c>
      <c r="K471" t="s">
        <v>70</v>
      </c>
      <c r="L471" t="s">
        <v>71</v>
      </c>
      <c r="M471" t="s">
        <v>135</v>
      </c>
      <c r="N471" t="s">
        <v>170</v>
      </c>
      <c r="O471" t="s">
        <v>142</v>
      </c>
      <c r="P471">
        <v>0</v>
      </c>
      <c r="Q471">
        <v>-51900</v>
      </c>
      <c r="R471" s="1">
        <v>42049</v>
      </c>
      <c r="S471" t="s">
        <v>75</v>
      </c>
      <c r="T471" t="s">
        <v>47</v>
      </c>
      <c r="U471" t="s">
        <v>63</v>
      </c>
      <c r="V471" t="s">
        <v>99</v>
      </c>
      <c r="W471" t="s">
        <v>121</v>
      </c>
      <c r="X471" t="s">
        <v>122</v>
      </c>
      <c r="Y471" t="s">
        <v>648</v>
      </c>
      <c r="Z471">
        <v>23</v>
      </c>
      <c r="AA471">
        <v>3</v>
      </c>
      <c r="AB471" t="s">
        <v>79</v>
      </c>
      <c r="AC471">
        <v>2</v>
      </c>
      <c r="AD471">
        <v>2</v>
      </c>
      <c r="AE471" t="s">
        <v>79</v>
      </c>
      <c r="AF471">
        <v>53190</v>
      </c>
      <c r="AG471">
        <v>5910</v>
      </c>
      <c r="AH471">
        <v>11820</v>
      </c>
      <c r="AI471">
        <v>35460</v>
      </c>
      <c r="AJ471" t="s">
        <v>214</v>
      </c>
      <c r="AK471" t="s">
        <v>258</v>
      </c>
      <c r="AL471">
        <v>1996</v>
      </c>
      <c r="AM471" t="s">
        <v>82</v>
      </c>
      <c r="AN471" s="2">
        <f t="shared" si="49"/>
        <v>47.558162407682261</v>
      </c>
      <c r="AO471">
        <f t="shared" si="50"/>
        <v>-52072.58</v>
      </c>
      <c r="AP471" s="2">
        <f t="shared" si="51"/>
        <v>2.1007689270741293E-2</v>
      </c>
      <c r="AQ471" s="2">
        <f t="shared" si="55"/>
        <v>19</v>
      </c>
      <c r="AR471">
        <f t="shared" si="52"/>
        <v>35</v>
      </c>
      <c r="AS471" t="str">
        <f t="shared" si="53"/>
        <v>High Claim Ratio</v>
      </c>
      <c r="AT471" t="str">
        <f t="shared" si="54"/>
        <v>High Profit</v>
      </c>
    </row>
    <row r="472" spans="1:46" x14ac:dyDescent="0.2">
      <c r="A472">
        <v>460</v>
      </c>
      <c r="B472">
        <v>57</v>
      </c>
      <c r="C472">
        <v>396590</v>
      </c>
      <c r="D472" s="1">
        <v>35741</v>
      </c>
      <c r="E472" t="s">
        <v>39</v>
      </c>
      <c r="F472" t="s">
        <v>69</v>
      </c>
      <c r="G472">
        <v>2000</v>
      </c>
      <c r="H472">
        <v>1567.37</v>
      </c>
      <c r="I472">
        <v>0</v>
      </c>
      <c r="J472">
        <v>602514</v>
      </c>
      <c r="K472" t="s">
        <v>70</v>
      </c>
      <c r="L472" t="s">
        <v>161</v>
      </c>
      <c r="M472" t="s">
        <v>43</v>
      </c>
      <c r="N472" t="s">
        <v>132</v>
      </c>
      <c r="O472" t="s">
        <v>45</v>
      </c>
      <c r="P472">
        <v>62500</v>
      </c>
      <c r="Q472">
        <v>0</v>
      </c>
      <c r="R472" s="1">
        <v>42050</v>
      </c>
      <c r="S472" t="s">
        <v>46</v>
      </c>
      <c r="T472" t="s">
        <v>86</v>
      </c>
      <c r="U472" t="s">
        <v>48</v>
      </c>
      <c r="V472" t="s">
        <v>120</v>
      </c>
      <c r="W472" t="s">
        <v>77</v>
      </c>
      <c r="X472" t="s">
        <v>65</v>
      </c>
      <c r="Y472" t="s">
        <v>649</v>
      </c>
      <c r="Z472">
        <v>10</v>
      </c>
      <c r="AA472">
        <v>1</v>
      </c>
      <c r="AB472" t="s">
        <v>62</v>
      </c>
      <c r="AC472">
        <v>2</v>
      </c>
      <c r="AD472">
        <v>3</v>
      </c>
      <c r="AE472" t="s">
        <v>79</v>
      </c>
      <c r="AF472">
        <v>58300</v>
      </c>
      <c r="AG472">
        <v>5830</v>
      </c>
      <c r="AH472">
        <v>11660</v>
      </c>
      <c r="AI472">
        <v>40810</v>
      </c>
      <c r="AJ472" t="s">
        <v>104</v>
      </c>
      <c r="AK472" t="s">
        <v>151</v>
      </c>
      <c r="AL472">
        <v>2014</v>
      </c>
      <c r="AM472" t="s">
        <v>56</v>
      </c>
      <c r="AN472" s="2">
        <f t="shared" si="49"/>
        <v>37.172350912093449</v>
      </c>
      <c r="AO472">
        <f t="shared" si="50"/>
        <v>-56732.63</v>
      </c>
      <c r="AP472" s="2">
        <f t="shared" si="51"/>
        <v>2.6884101473388104E-2</v>
      </c>
      <c r="AQ472" s="2">
        <f t="shared" si="55"/>
        <v>1</v>
      </c>
      <c r="AR472">
        <f t="shared" si="52"/>
        <v>460</v>
      </c>
      <c r="AS472" t="str">
        <f t="shared" si="53"/>
        <v>High Claim Ratio</v>
      </c>
      <c r="AT472" t="str">
        <f t="shared" si="54"/>
        <v>High Profit</v>
      </c>
    </row>
    <row r="473" spans="1:46" x14ac:dyDescent="0.2">
      <c r="A473">
        <v>195</v>
      </c>
      <c r="B473">
        <v>38</v>
      </c>
      <c r="C473">
        <v>238412</v>
      </c>
      <c r="D473" s="1">
        <v>34107</v>
      </c>
      <c r="E473" t="s">
        <v>83</v>
      </c>
      <c r="F473" t="s">
        <v>91</v>
      </c>
      <c r="G473">
        <v>2000</v>
      </c>
      <c r="H473">
        <v>1294.93</v>
      </c>
      <c r="I473">
        <v>6000000</v>
      </c>
      <c r="J473">
        <v>477356</v>
      </c>
      <c r="K473" t="s">
        <v>41</v>
      </c>
      <c r="L473" t="s">
        <v>42</v>
      </c>
      <c r="M473" t="s">
        <v>97</v>
      </c>
      <c r="N473" t="s">
        <v>181</v>
      </c>
      <c r="O473" t="s">
        <v>85</v>
      </c>
      <c r="P473">
        <v>38000</v>
      </c>
      <c r="Q473">
        <v>-50300</v>
      </c>
      <c r="R473" s="1">
        <v>42049</v>
      </c>
      <c r="S473" t="s">
        <v>75</v>
      </c>
      <c r="T473" t="s">
        <v>86</v>
      </c>
      <c r="U473" t="s">
        <v>63</v>
      </c>
      <c r="V473" t="s">
        <v>136</v>
      </c>
      <c r="W473" t="s">
        <v>113</v>
      </c>
      <c r="X473" t="s">
        <v>102</v>
      </c>
      <c r="Y473" t="s">
        <v>650</v>
      </c>
      <c r="Z473">
        <v>12</v>
      </c>
      <c r="AA473">
        <v>3</v>
      </c>
      <c r="AB473" t="s">
        <v>53</v>
      </c>
      <c r="AC473">
        <v>1</v>
      </c>
      <c r="AD473">
        <v>2</v>
      </c>
      <c r="AE473" t="s">
        <v>79</v>
      </c>
      <c r="AF473">
        <v>64620</v>
      </c>
      <c r="AG473">
        <v>7180</v>
      </c>
      <c r="AH473">
        <v>0</v>
      </c>
      <c r="AI473">
        <v>57440</v>
      </c>
      <c r="AJ473" t="s">
        <v>80</v>
      </c>
      <c r="AK473" t="s">
        <v>144</v>
      </c>
      <c r="AL473">
        <v>2003</v>
      </c>
      <c r="AM473" t="s">
        <v>82</v>
      </c>
      <c r="AN473" s="2">
        <f t="shared" si="49"/>
        <v>49.86380437214973</v>
      </c>
      <c r="AO473">
        <f t="shared" si="50"/>
        <v>-63325.07</v>
      </c>
      <c r="AP473" s="2">
        <f t="shared" si="51"/>
        <v>2.0038841862552424E-2</v>
      </c>
      <c r="AQ473" s="2">
        <f t="shared" si="55"/>
        <v>12</v>
      </c>
      <c r="AR473">
        <f t="shared" si="52"/>
        <v>195</v>
      </c>
      <c r="AS473" t="str">
        <f t="shared" si="53"/>
        <v>High Claim Ratio</v>
      </c>
      <c r="AT473" t="str">
        <f t="shared" si="54"/>
        <v>High Profit</v>
      </c>
    </row>
    <row r="474" spans="1:46" x14ac:dyDescent="0.2">
      <c r="A474">
        <v>360</v>
      </c>
      <c r="B474">
        <v>51</v>
      </c>
      <c r="C474">
        <v>484321</v>
      </c>
      <c r="D474" s="1">
        <v>35257</v>
      </c>
      <c r="E474" t="s">
        <v>83</v>
      </c>
      <c r="F474" t="s">
        <v>40</v>
      </c>
      <c r="G474">
        <v>1000</v>
      </c>
      <c r="H474">
        <v>1152.1199999999999</v>
      </c>
      <c r="I474">
        <v>0</v>
      </c>
      <c r="J474">
        <v>434669</v>
      </c>
      <c r="K474" t="s">
        <v>41</v>
      </c>
      <c r="L474" t="s">
        <v>71</v>
      </c>
      <c r="M474" t="s">
        <v>84</v>
      </c>
      <c r="N474" t="s">
        <v>149</v>
      </c>
      <c r="O474" t="s">
        <v>142</v>
      </c>
      <c r="P474">
        <v>0</v>
      </c>
      <c r="Q474">
        <v>-62400</v>
      </c>
      <c r="R474" s="1">
        <v>42040</v>
      </c>
      <c r="S474" t="s">
        <v>75</v>
      </c>
      <c r="T474" t="s">
        <v>47</v>
      </c>
      <c r="U474" t="s">
        <v>107</v>
      </c>
      <c r="V474" t="s">
        <v>136</v>
      </c>
      <c r="W474" t="s">
        <v>113</v>
      </c>
      <c r="X474" t="s">
        <v>65</v>
      </c>
      <c r="Y474" t="s">
        <v>651</v>
      </c>
      <c r="Z474">
        <v>15</v>
      </c>
      <c r="AA474">
        <v>3</v>
      </c>
      <c r="AB474" t="s">
        <v>79</v>
      </c>
      <c r="AC474">
        <v>2</v>
      </c>
      <c r="AD474">
        <v>0</v>
      </c>
      <c r="AE474" t="s">
        <v>53</v>
      </c>
      <c r="AF474">
        <v>90480</v>
      </c>
      <c r="AG474">
        <v>15080</v>
      </c>
      <c r="AH474">
        <v>15080</v>
      </c>
      <c r="AI474">
        <v>60320</v>
      </c>
      <c r="AJ474" t="s">
        <v>187</v>
      </c>
      <c r="AK474" t="s">
        <v>238</v>
      </c>
      <c r="AL474">
        <v>2000</v>
      </c>
      <c r="AM474" t="s">
        <v>82</v>
      </c>
      <c r="AN474" s="2">
        <f t="shared" si="49"/>
        <v>78.465380879700305</v>
      </c>
      <c r="AO474">
        <f t="shared" si="50"/>
        <v>-89327.88</v>
      </c>
      <c r="AP474" s="2">
        <f t="shared" si="51"/>
        <v>1.2733281020324708E-2</v>
      </c>
      <c r="AQ474" s="2">
        <f t="shared" si="55"/>
        <v>15</v>
      </c>
      <c r="AR474">
        <f t="shared" si="52"/>
        <v>360</v>
      </c>
      <c r="AS474" t="str">
        <f t="shared" si="53"/>
        <v>High Claim Ratio</v>
      </c>
      <c r="AT474" t="str">
        <f t="shared" si="54"/>
        <v>High Profit</v>
      </c>
    </row>
    <row r="475" spans="1:46" x14ac:dyDescent="0.2">
      <c r="A475">
        <v>300</v>
      </c>
      <c r="B475">
        <v>49</v>
      </c>
      <c r="C475">
        <v>795847</v>
      </c>
      <c r="D475" s="1">
        <v>35050</v>
      </c>
      <c r="E475" t="s">
        <v>83</v>
      </c>
      <c r="F475" t="s">
        <v>69</v>
      </c>
      <c r="G475">
        <v>1000</v>
      </c>
      <c r="H475">
        <v>1441.21</v>
      </c>
      <c r="I475">
        <v>0</v>
      </c>
      <c r="J475">
        <v>609322</v>
      </c>
      <c r="K475" t="s">
        <v>70</v>
      </c>
      <c r="L475" t="s">
        <v>71</v>
      </c>
      <c r="M475" t="s">
        <v>189</v>
      </c>
      <c r="N475" t="s">
        <v>170</v>
      </c>
      <c r="O475" t="s">
        <v>119</v>
      </c>
      <c r="P475">
        <v>0</v>
      </c>
      <c r="Q475">
        <v>0</v>
      </c>
      <c r="R475" s="1">
        <v>42008</v>
      </c>
      <c r="S475" t="s">
        <v>61</v>
      </c>
      <c r="T475" t="s">
        <v>62</v>
      </c>
      <c r="U475" t="s">
        <v>212</v>
      </c>
      <c r="V475" t="s">
        <v>93</v>
      </c>
      <c r="W475" t="s">
        <v>50</v>
      </c>
      <c r="X475" t="s">
        <v>51</v>
      </c>
      <c r="Y475" t="s">
        <v>652</v>
      </c>
      <c r="Z475">
        <v>3</v>
      </c>
      <c r="AA475">
        <v>1</v>
      </c>
      <c r="AB475" t="s">
        <v>79</v>
      </c>
      <c r="AC475">
        <v>1</v>
      </c>
      <c r="AD475">
        <v>0</v>
      </c>
      <c r="AE475" t="s">
        <v>79</v>
      </c>
      <c r="AF475">
        <v>7080</v>
      </c>
      <c r="AG475">
        <v>1180</v>
      </c>
      <c r="AH475">
        <v>1180</v>
      </c>
      <c r="AI475">
        <v>4720</v>
      </c>
      <c r="AJ475" t="s">
        <v>104</v>
      </c>
      <c r="AK475" t="s">
        <v>151</v>
      </c>
      <c r="AL475">
        <v>2001</v>
      </c>
      <c r="AM475" t="s">
        <v>82</v>
      </c>
      <c r="AN475" s="2">
        <f t="shared" si="49"/>
        <v>4.9091325119088065</v>
      </c>
      <c r="AO475">
        <f t="shared" si="50"/>
        <v>-5638.79</v>
      </c>
      <c r="AP475" s="2">
        <f t="shared" si="51"/>
        <v>0.20353198700748482</v>
      </c>
      <c r="AQ475" s="2">
        <f t="shared" si="55"/>
        <v>14</v>
      </c>
      <c r="AR475">
        <f t="shared" si="52"/>
        <v>300</v>
      </c>
      <c r="AS475" t="str">
        <f t="shared" si="53"/>
        <v>Low Claim Ratio</v>
      </c>
      <c r="AT475" t="str">
        <f t="shared" si="54"/>
        <v>High Profit</v>
      </c>
    </row>
    <row r="476" spans="1:46" x14ac:dyDescent="0.2">
      <c r="A476">
        <v>245</v>
      </c>
      <c r="B476">
        <v>42</v>
      </c>
      <c r="C476">
        <v>218456</v>
      </c>
      <c r="D476" s="1">
        <v>37453</v>
      </c>
      <c r="E476" t="s">
        <v>83</v>
      </c>
      <c r="F476" t="s">
        <v>91</v>
      </c>
      <c r="G476">
        <v>1000</v>
      </c>
      <c r="H476">
        <v>1575.74</v>
      </c>
      <c r="I476">
        <v>7000000</v>
      </c>
      <c r="J476">
        <v>614265</v>
      </c>
      <c r="K476" t="s">
        <v>41</v>
      </c>
      <c r="L476" t="s">
        <v>161</v>
      </c>
      <c r="M476" t="s">
        <v>125</v>
      </c>
      <c r="N476" t="s">
        <v>168</v>
      </c>
      <c r="O476" t="s">
        <v>60</v>
      </c>
      <c r="P476">
        <v>0</v>
      </c>
      <c r="Q476">
        <v>-68900</v>
      </c>
      <c r="R476" s="1">
        <v>42055</v>
      </c>
      <c r="S476" t="s">
        <v>138</v>
      </c>
      <c r="T476" t="s">
        <v>62</v>
      </c>
      <c r="U476" t="s">
        <v>63</v>
      </c>
      <c r="V476" t="s">
        <v>49</v>
      </c>
      <c r="W476" t="s">
        <v>175</v>
      </c>
      <c r="X476" t="s">
        <v>102</v>
      </c>
      <c r="Y476" t="s">
        <v>653</v>
      </c>
      <c r="Z476">
        <v>19</v>
      </c>
      <c r="AA476">
        <v>1</v>
      </c>
      <c r="AB476" t="s">
        <v>62</v>
      </c>
      <c r="AC476">
        <v>2</v>
      </c>
      <c r="AD476">
        <v>2</v>
      </c>
      <c r="AE476" t="s">
        <v>62</v>
      </c>
      <c r="AF476">
        <v>6490</v>
      </c>
      <c r="AG476">
        <v>590</v>
      </c>
      <c r="AH476">
        <v>1180</v>
      </c>
      <c r="AI476">
        <v>4720</v>
      </c>
      <c r="AJ476" t="s">
        <v>115</v>
      </c>
      <c r="AK476" t="s">
        <v>116</v>
      </c>
      <c r="AL476">
        <v>2011</v>
      </c>
      <c r="AM476" t="s">
        <v>56</v>
      </c>
      <c r="AN476" s="2">
        <f t="shared" si="49"/>
        <v>4.1160876238314499</v>
      </c>
      <c r="AO476">
        <f t="shared" si="50"/>
        <v>-4914.26</v>
      </c>
      <c r="AP476" s="2">
        <f t="shared" si="51"/>
        <v>0.24275766445848099</v>
      </c>
      <c r="AQ476" s="2">
        <f t="shared" si="55"/>
        <v>4</v>
      </c>
      <c r="AR476">
        <f t="shared" si="52"/>
        <v>245</v>
      </c>
      <c r="AS476" t="str">
        <f t="shared" si="53"/>
        <v>Low Claim Ratio</v>
      </c>
      <c r="AT476" t="str">
        <f t="shared" si="54"/>
        <v>Low Profit</v>
      </c>
    </row>
    <row r="477" spans="1:46" x14ac:dyDescent="0.2">
      <c r="A477">
        <v>146</v>
      </c>
      <c r="B477">
        <v>36</v>
      </c>
      <c r="C477">
        <v>792673</v>
      </c>
      <c r="D477" s="1">
        <v>41376</v>
      </c>
      <c r="E477" t="s">
        <v>39</v>
      </c>
      <c r="F477" t="s">
        <v>91</v>
      </c>
      <c r="G477">
        <v>2000</v>
      </c>
      <c r="H477">
        <v>1233.96</v>
      </c>
      <c r="I477">
        <v>0</v>
      </c>
      <c r="J477">
        <v>606177</v>
      </c>
      <c r="K477" t="s">
        <v>70</v>
      </c>
      <c r="L477" t="s">
        <v>124</v>
      </c>
      <c r="M477" t="s">
        <v>111</v>
      </c>
      <c r="N477" t="s">
        <v>112</v>
      </c>
      <c r="O477" t="s">
        <v>60</v>
      </c>
      <c r="P477">
        <v>34500</v>
      </c>
      <c r="Q477">
        <v>-60600</v>
      </c>
      <c r="R477" s="1">
        <v>42040</v>
      </c>
      <c r="S477" t="s">
        <v>75</v>
      </c>
      <c r="T477" t="s">
        <v>47</v>
      </c>
      <c r="U477" t="s">
        <v>107</v>
      </c>
      <c r="V477" t="s">
        <v>49</v>
      </c>
      <c r="W477" t="s">
        <v>121</v>
      </c>
      <c r="X477" t="s">
        <v>122</v>
      </c>
      <c r="Y477" t="s">
        <v>654</v>
      </c>
      <c r="Z477">
        <v>16</v>
      </c>
      <c r="AA477">
        <v>3</v>
      </c>
      <c r="AB477" t="s">
        <v>79</v>
      </c>
      <c r="AC477">
        <v>1</v>
      </c>
      <c r="AD477">
        <v>1</v>
      </c>
      <c r="AE477" t="s">
        <v>79</v>
      </c>
      <c r="AF477">
        <v>55900</v>
      </c>
      <c r="AG477">
        <v>5590</v>
      </c>
      <c r="AH477">
        <v>5590</v>
      </c>
      <c r="AI477">
        <v>44720</v>
      </c>
      <c r="AJ477" t="s">
        <v>104</v>
      </c>
      <c r="AK477" t="s">
        <v>287</v>
      </c>
      <c r="AL477">
        <v>2015</v>
      </c>
      <c r="AM477" t="s">
        <v>82</v>
      </c>
      <c r="AN477" s="2">
        <f t="shared" si="49"/>
        <v>45.264623955431752</v>
      </c>
      <c r="AO477">
        <f t="shared" si="50"/>
        <v>-54666.04</v>
      </c>
      <c r="AP477" s="2">
        <f t="shared" si="51"/>
        <v>2.2074023720505896E-2</v>
      </c>
      <c r="AQ477" s="2">
        <f t="shared" si="55"/>
        <v>0</v>
      </c>
      <c r="AR477">
        <f t="shared" si="52"/>
        <v>146</v>
      </c>
      <c r="AS477" t="str">
        <f t="shared" si="53"/>
        <v>High Claim Ratio</v>
      </c>
      <c r="AT477" t="str">
        <f t="shared" si="54"/>
        <v>High Profit</v>
      </c>
    </row>
    <row r="478" spans="1:46" x14ac:dyDescent="0.2">
      <c r="A478">
        <v>67</v>
      </c>
      <c r="B478">
        <v>29</v>
      </c>
      <c r="C478">
        <v>662256</v>
      </c>
      <c r="D478" s="1">
        <v>35016</v>
      </c>
      <c r="E478" t="s">
        <v>83</v>
      </c>
      <c r="F478" t="s">
        <v>40</v>
      </c>
      <c r="G478">
        <v>1000</v>
      </c>
      <c r="H478">
        <v>1861.43</v>
      </c>
      <c r="I478">
        <v>0</v>
      </c>
      <c r="J478">
        <v>461514</v>
      </c>
      <c r="K478" t="s">
        <v>41</v>
      </c>
      <c r="L478" t="s">
        <v>131</v>
      </c>
      <c r="M478" t="s">
        <v>185</v>
      </c>
      <c r="N478" t="s">
        <v>173</v>
      </c>
      <c r="O478" t="s">
        <v>45</v>
      </c>
      <c r="P478">
        <v>60400</v>
      </c>
      <c r="Q478">
        <v>-67800</v>
      </c>
      <c r="R478" s="1">
        <v>42019</v>
      </c>
      <c r="S478" t="s">
        <v>46</v>
      </c>
      <c r="T478" t="s">
        <v>76</v>
      </c>
      <c r="U478" t="s">
        <v>48</v>
      </c>
      <c r="V478" t="s">
        <v>120</v>
      </c>
      <c r="W478" t="s">
        <v>50</v>
      </c>
      <c r="X478" t="s">
        <v>51</v>
      </c>
      <c r="Y478" t="s">
        <v>655</v>
      </c>
      <c r="Z478">
        <v>16</v>
      </c>
      <c r="AA478">
        <v>1</v>
      </c>
      <c r="AB478" t="s">
        <v>79</v>
      </c>
      <c r="AC478">
        <v>0</v>
      </c>
      <c r="AD478">
        <v>3</v>
      </c>
      <c r="AE478" t="s">
        <v>53</v>
      </c>
      <c r="AF478">
        <v>63800</v>
      </c>
      <c r="AG478">
        <v>6380</v>
      </c>
      <c r="AH478">
        <v>6380</v>
      </c>
      <c r="AI478">
        <v>51040</v>
      </c>
      <c r="AJ478" t="s">
        <v>54</v>
      </c>
      <c r="AK478" t="s">
        <v>55</v>
      </c>
      <c r="AL478">
        <v>1998</v>
      </c>
      <c r="AM478" t="s">
        <v>56</v>
      </c>
      <c r="AN478" s="2">
        <f t="shared" si="49"/>
        <v>34.256321042938524</v>
      </c>
      <c r="AO478">
        <f t="shared" si="50"/>
        <v>-61938.57</v>
      </c>
      <c r="AP478" s="2">
        <f t="shared" si="51"/>
        <v>2.9175561511575056E-2</v>
      </c>
      <c r="AQ478" s="2">
        <f t="shared" si="55"/>
        <v>17</v>
      </c>
      <c r="AR478">
        <f t="shared" si="52"/>
        <v>67</v>
      </c>
      <c r="AS478" t="str">
        <f t="shared" si="53"/>
        <v>High Claim Ratio</v>
      </c>
      <c r="AT478" t="str">
        <f t="shared" si="54"/>
        <v>High Profit</v>
      </c>
    </row>
    <row r="479" spans="1:46" x14ac:dyDescent="0.2">
      <c r="A479">
        <v>380</v>
      </c>
      <c r="B479">
        <v>56</v>
      </c>
      <c r="C479">
        <v>971338</v>
      </c>
      <c r="D479" s="1">
        <v>38295</v>
      </c>
      <c r="E479" t="s">
        <v>39</v>
      </c>
      <c r="F479" t="s">
        <v>69</v>
      </c>
      <c r="G479">
        <v>1000</v>
      </c>
      <c r="H479">
        <v>1570.86</v>
      </c>
      <c r="I479">
        <v>0</v>
      </c>
      <c r="J479">
        <v>454685</v>
      </c>
      <c r="K479" t="s">
        <v>41</v>
      </c>
      <c r="L479" t="s">
        <v>42</v>
      </c>
      <c r="M479" t="s">
        <v>189</v>
      </c>
      <c r="N479" t="s">
        <v>242</v>
      </c>
      <c r="O479" t="s">
        <v>60</v>
      </c>
      <c r="P479">
        <v>66000</v>
      </c>
      <c r="Q479">
        <v>0</v>
      </c>
      <c r="R479" s="1">
        <v>42009</v>
      </c>
      <c r="S479" t="s">
        <v>46</v>
      </c>
      <c r="T479" t="s">
        <v>47</v>
      </c>
      <c r="U479" t="s">
        <v>107</v>
      </c>
      <c r="V479" t="s">
        <v>49</v>
      </c>
      <c r="W479" t="s">
        <v>64</v>
      </c>
      <c r="X479" t="s">
        <v>127</v>
      </c>
      <c r="Y479" t="s">
        <v>656</v>
      </c>
      <c r="Z479">
        <v>10</v>
      </c>
      <c r="AA479">
        <v>1</v>
      </c>
      <c r="AB479" t="s">
        <v>62</v>
      </c>
      <c r="AC479">
        <v>0</v>
      </c>
      <c r="AD479">
        <v>1</v>
      </c>
      <c r="AE479" t="s">
        <v>53</v>
      </c>
      <c r="AF479">
        <v>58160</v>
      </c>
      <c r="AG479">
        <v>7270</v>
      </c>
      <c r="AH479">
        <v>7270</v>
      </c>
      <c r="AI479">
        <v>43620</v>
      </c>
      <c r="AJ479" t="s">
        <v>54</v>
      </c>
      <c r="AK479">
        <v>95</v>
      </c>
      <c r="AL479">
        <v>1996</v>
      </c>
      <c r="AM479" t="s">
        <v>56</v>
      </c>
      <c r="AN479" s="2">
        <f t="shared" si="49"/>
        <v>37.000750702988817</v>
      </c>
      <c r="AO479">
        <f t="shared" si="50"/>
        <v>-56589.14</v>
      </c>
      <c r="AP479" s="2">
        <f t="shared" si="51"/>
        <v>2.7008820343529166E-2</v>
      </c>
      <c r="AQ479" s="2">
        <f t="shared" si="55"/>
        <v>19</v>
      </c>
      <c r="AR479">
        <f t="shared" si="52"/>
        <v>380</v>
      </c>
      <c r="AS479" t="str">
        <f t="shared" si="53"/>
        <v>High Claim Ratio</v>
      </c>
      <c r="AT479" t="str">
        <f t="shared" si="54"/>
        <v>High Profit</v>
      </c>
    </row>
    <row r="480" spans="1:46" x14ac:dyDescent="0.2">
      <c r="A480">
        <v>389</v>
      </c>
      <c r="B480">
        <v>53</v>
      </c>
      <c r="C480">
        <v>714738</v>
      </c>
      <c r="D480" s="1">
        <v>35875</v>
      </c>
      <c r="E480" t="s">
        <v>83</v>
      </c>
      <c r="F480" t="s">
        <v>91</v>
      </c>
      <c r="G480">
        <v>2000</v>
      </c>
      <c r="H480">
        <v>791.47</v>
      </c>
      <c r="I480">
        <v>0</v>
      </c>
      <c r="J480">
        <v>477260</v>
      </c>
      <c r="K480" t="s">
        <v>41</v>
      </c>
      <c r="L480" t="s">
        <v>124</v>
      </c>
      <c r="M480" t="s">
        <v>84</v>
      </c>
      <c r="N480" t="s">
        <v>168</v>
      </c>
      <c r="O480" t="s">
        <v>85</v>
      </c>
      <c r="P480">
        <v>0</v>
      </c>
      <c r="Q480">
        <v>0</v>
      </c>
      <c r="R480" s="1">
        <v>42005</v>
      </c>
      <c r="S480" t="s">
        <v>61</v>
      </c>
      <c r="T480" t="s">
        <v>62</v>
      </c>
      <c r="U480" t="s">
        <v>63</v>
      </c>
      <c r="V480" t="s">
        <v>49</v>
      </c>
      <c r="W480" t="s">
        <v>121</v>
      </c>
      <c r="X480" t="s">
        <v>65</v>
      </c>
      <c r="Y480" t="s">
        <v>657</v>
      </c>
      <c r="Z480">
        <v>6</v>
      </c>
      <c r="AA480">
        <v>1</v>
      </c>
      <c r="AB480" t="s">
        <v>79</v>
      </c>
      <c r="AC480">
        <v>1</v>
      </c>
      <c r="AD480">
        <v>2</v>
      </c>
      <c r="AE480" t="s">
        <v>79</v>
      </c>
      <c r="AF480">
        <v>6300</v>
      </c>
      <c r="AG480">
        <v>630</v>
      </c>
      <c r="AH480">
        <v>1260</v>
      </c>
      <c r="AI480">
        <v>4410</v>
      </c>
      <c r="AJ480" t="s">
        <v>67</v>
      </c>
      <c r="AK480" t="s">
        <v>193</v>
      </c>
      <c r="AL480">
        <v>2001</v>
      </c>
      <c r="AM480" t="s">
        <v>56</v>
      </c>
      <c r="AN480" s="2">
        <f t="shared" si="49"/>
        <v>7.9498277537320021</v>
      </c>
      <c r="AO480">
        <f t="shared" si="50"/>
        <v>-5508.53</v>
      </c>
      <c r="AP480" s="2">
        <f t="shared" si="51"/>
        <v>0.12561022059990479</v>
      </c>
      <c r="AQ480" s="2">
        <f t="shared" si="55"/>
        <v>14</v>
      </c>
      <c r="AR480">
        <f t="shared" si="52"/>
        <v>389</v>
      </c>
      <c r="AS480" t="str">
        <f t="shared" si="53"/>
        <v>Medium Claim Ratio</v>
      </c>
      <c r="AT480" t="str">
        <f t="shared" si="54"/>
        <v>High Profit</v>
      </c>
    </row>
    <row r="481" spans="1:46" x14ac:dyDescent="0.2">
      <c r="A481">
        <v>317</v>
      </c>
      <c r="B481">
        <v>46</v>
      </c>
      <c r="C481">
        <v>753844</v>
      </c>
      <c r="D481" s="1">
        <v>36363</v>
      </c>
      <c r="E481" t="s">
        <v>57</v>
      </c>
      <c r="F481" t="s">
        <v>40</v>
      </c>
      <c r="G481">
        <v>1000</v>
      </c>
      <c r="H481">
        <v>1012.78</v>
      </c>
      <c r="I481">
        <v>0</v>
      </c>
      <c r="J481">
        <v>469126</v>
      </c>
      <c r="K481" t="s">
        <v>41</v>
      </c>
      <c r="L481" t="s">
        <v>42</v>
      </c>
      <c r="M481" t="s">
        <v>72</v>
      </c>
      <c r="N481" t="s">
        <v>155</v>
      </c>
      <c r="O481" t="s">
        <v>60</v>
      </c>
      <c r="P481">
        <v>43700</v>
      </c>
      <c r="Q481">
        <v>0</v>
      </c>
      <c r="R481" s="1">
        <v>42030</v>
      </c>
      <c r="S481" t="s">
        <v>46</v>
      </c>
      <c r="T481" t="s">
        <v>86</v>
      </c>
      <c r="U481" t="s">
        <v>48</v>
      </c>
      <c r="V481" t="s">
        <v>99</v>
      </c>
      <c r="W481" t="s">
        <v>113</v>
      </c>
      <c r="X481" t="s">
        <v>87</v>
      </c>
      <c r="Y481" t="s">
        <v>658</v>
      </c>
      <c r="Z481">
        <v>18</v>
      </c>
      <c r="AA481">
        <v>1</v>
      </c>
      <c r="AB481" t="s">
        <v>79</v>
      </c>
      <c r="AC481">
        <v>2</v>
      </c>
      <c r="AD481">
        <v>1</v>
      </c>
      <c r="AE481" t="s">
        <v>79</v>
      </c>
      <c r="AF481">
        <v>104610</v>
      </c>
      <c r="AG481">
        <v>19020</v>
      </c>
      <c r="AH481">
        <v>19020</v>
      </c>
      <c r="AI481">
        <v>66570</v>
      </c>
      <c r="AJ481" t="s">
        <v>67</v>
      </c>
      <c r="AK481" t="s">
        <v>271</v>
      </c>
      <c r="AL481">
        <v>1999</v>
      </c>
      <c r="AM481" t="s">
        <v>56</v>
      </c>
      <c r="AN481" s="2">
        <f t="shared" si="49"/>
        <v>103.18806841721084</v>
      </c>
      <c r="AO481">
        <f t="shared" si="50"/>
        <v>-103597.22</v>
      </c>
      <c r="AP481" s="2">
        <f t="shared" si="51"/>
        <v>9.6813910583017082E-3</v>
      </c>
      <c r="AQ481" s="2">
        <f t="shared" si="55"/>
        <v>16</v>
      </c>
      <c r="AR481">
        <f t="shared" si="52"/>
        <v>317</v>
      </c>
      <c r="AS481" t="str">
        <f t="shared" si="53"/>
        <v>High Claim Ratio</v>
      </c>
      <c r="AT481" t="str">
        <f t="shared" si="54"/>
        <v>High Profit</v>
      </c>
    </row>
    <row r="482" spans="1:46" x14ac:dyDescent="0.2">
      <c r="A482">
        <v>264</v>
      </c>
      <c r="B482">
        <v>44</v>
      </c>
      <c r="C482">
        <v>976645</v>
      </c>
      <c r="D482" s="1">
        <v>40237</v>
      </c>
      <c r="E482" t="s">
        <v>83</v>
      </c>
      <c r="F482" t="s">
        <v>69</v>
      </c>
      <c r="G482">
        <v>500</v>
      </c>
      <c r="H482">
        <v>1047.06</v>
      </c>
      <c r="I482">
        <v>6000000</v>
      </c>
      <c r="J482">
        <v>443402</v>
      </c>
      <c r="K482" t="s">
        <v>41</v>
      </c>
      <c r="L482" t="s">
        <v>141</v>
      </c>
      <c r="M482" t="s">
        <v>125</v>
      </c>
      <c r="N482" t="s">
        <v>44</v>
      </c>
      <c r="O482" t="s">
        <v>119</v>
      </c>
      <c r="P482">
        <v>0</v>
      </c>
      <c r="Q482">
        <v>0</v>
      </c>
      <c r="R482" s="1">
        <v>42048</v>
      </c>
      <c r="S482" t="s">
        <v>75</v>
      </c>
      <c r="T482" t="s">
        <v>76</v>
      </c>
      <c r="U482" t="s">
        <v>48</v>
      </c>
      <c r="V482" t="s">
        <v>99</v>
      </c>
      <c r="W482" t="s">
        <v>50</v>
      </c>
      <c r="X482" t="s">
        <v>102</v>
      </c>
      <c r="Y482" t="s">
        <v>659</v>
      </c>
      <c r="Z482">
        <v>20</v>
      </c>
      <c r="AA482">
        <v>3</v>
      </c>
      <c r="AB482" t="s">
        <v>79</v>
      </c>
      <c r="AC482">
        <v>0</v>
      </c>
      <c r="AD482">
        <v>2</v>
      </c>
      <c r="AE482" t="s">
        <v>79</v>
      </c>
      <c r="AF482">
        <v>69850</v>
      </c>
      <c r="AG482">
        <v>12700</v>
      </c>
      <c r="AH482">
        <v>6350</v>
      </c>
      <c r="AI482">
        <v>50800</v>
      </c>
      <c r="AJ482" t="s">
        <v>129</v>
      </c>
      <c r="AK482" t="s">
        <v>249</v>
      </c>
      <c r="AL482">
        <v>1999</v>
      </c>
      <c r="AM482" t="s">
        <v>82</v>
      </c>
      <c r="AN482" s="2">
        <f t="shared" si="49"/>
        <v>66.646947693834321</v>
      </c>
      <c r="AO482">
        <f t="shared" si="50"/>
        <v>-68802.94</v>
      </c>
      <c r="AP482" s="2">
        <f t="shared" si="51"/>
        <v>1.4989907087944338E-2</v>
      </c>
      <c r="AQ482" s="2">
        <f t="shared" si="55"/>
        <v>16</v>
      </c>
      <c r="AR482">
        <f t="shared" si="52"/>
        <v>264</v>
      </c>
      <c r="AS482" t="str">
        <f t="shared" si="53"/>
        <v>High Claim Ratio</v>
      </c>
      <c r="AT482" t="str">
        <f t="shared" si="54"/>
        <v>High Profit</v>
      </c>
    </row>
    <row r="483" spans="1:46" x14ac:dyDescent="0.2">
      <c r="A483">
        <v>20</v>
      </c>
      <c r="B483">
        <v>21</v>
      </c>
      <c r="C483">
        <v>918037</v>
      </c>
      <c r="D483" s="1">
        <v>38382</v>
      </c>
      <c r="E483" t="s">
        <v>39</v>
      </c>
      <c r="F483" t="s">
        <v>40</v>
      </c>
      <c r="G483">
        <v>1000</v>
      </c>
      <c r="H483">
        <v>1390.29</v>
      </c>
      <c r="I483">
        <v>0</v>
      </c>
      <c r="J483">
        <v>479408</v>
      </c>
      <c r="K483" t="s">
        <v>70</v>
      </c>
      <c r="L483" t="s">
        <v>124</v>
      </c>
      <c r="M483" t="s">
        <v>117</v>
      </c>
      <c r="N483" t="s">
        <v>173</v>
      </c>
      <c r="O483" t="s">
        <v>60</v>
      </c>
      <c r="P483">
        <v>0</v>
      </c>
      <c r="Q483">
        <v>-41200</v>
      </c>
      <c r="R483" s="1">
        <v>42018</v>
      </c>
      <c r="S483" t="s">
        <v>46</v>
      </c>
      <c r="T483" t="s">
        <v>76</v>
      </c>
      <c r="U483" t="s">
        <v>63</v>
      </c>
      <c r="V483" t="s">
        <v>99</v>
      </c>
      <c r="W483" t="s">
        <v>175</v>
      </c>
      <c r="X483" t="s">
        <v>156</v>
      </c>
      <c r="Y483" t="s">
        <v>660</v>
      </c>
      <c r="Z483">
        <v>14</v>
      </c>
      <c r="AA483">
        <v>1</v>
      </c>
      <c r="AB483" t="s">
        <v>79</v>
      </c>
      <c r="AC483">
        <v>0</v>
      </c>
      <c r="AD483">
        <v>0</v>
      </c>
      <c r="AE483" t="s">
        <v>62</v>
      </c>
      <c r="AF483">
        <v>62900</v>
      </c>
      <c r="AG483">
        <v>12580</v>
      </c>
      <c r="AH483">
        <v>6290</v>
      </c>
      <c r="AI483">
        <v>44030</v>
      </c>
      <c r="AJ483" t="s">
        <v>95</v>
      </c>
      <c r="AK483" t="s">
        <v>148</v>
      </c>
      <c r="AL483">
        <v>2006</v>
      </c>
      <c r="AM483" t="s">
        <v>82</v>
      </c>
      <c r="AN483" s="2">
        <f t="shared" si="49"/>
        <v>45.209841226487647</v>
      </c>
      <c r="AO483">
        <f t="shared" si="50"/>
        <v>-61509.71</v>
      </c>
      <c r="AP483" s="2">
        <f t="shared" si="51"/>
        <v>2.2102828253922832E-2</v>
      </c>
      <c r="AQ483" s="2">
        <f t="shared" si="55"/>
        <v>9</v>
      </c>
      <c r="AR483">
        <f t="shared" si="52"/>
        <v>20</v>
      </c>
      <c r="AS483" t="str">
        <f t="shared" si="53"/>
        <v>High Claim Ratio</v>
      </c>
      <c r="AT483" t="str">
        <f t="shared" si="54"/>
        <v>High Profit</v>
      </c>
    </row>
    <row r="484" spans="1:46" x14ac:dyDescent="0.2">
      <c r="A484">
        <v>116</v>
      </c>
      <c r="B484">
        <v>30</v>
      </c>
      <c r="C484">
        <v>996253</v>
      </c>
      <c r="D484" s="1">
        <v>37224</v>
      </c>
      <c r="E484" t="s">
        <v>57</v>
      </c>
      <c r="F484" t="s">
        <v>91</v>
      </c>
      <c r="G484">
        <v>500</v>
      </c>
      <c r="H484">
        <v>951.46</v>
      </c>
      <c r="I484">
        <v>0</v>
      </c>
      <c r="J484">
        <v>467227</v>
      </c>
      <c r="K484" t="s">
        <v>41</v>
      </c>
      <c r="L484" t="s">
        <v>161</v>
      </c>
      <c r="M484" t="s">
        <v>159</v>
      </c>
      <c r="N484" t="s">
        <v>112</v>
      </c>
      <c r="O484" t="s">
        <v>142</v>
      </c>
      <c r="P484">
        <v>0</v>
      </c>
      <c r="Q484">
        <v>-35500</v>
      </c>
      <c r="R484" s="1">
        <v>42035</v>
      </c>
      <c r="S484" t="s">
        <v>75</v>
      </c>
      <c r="T484" t="s">
        <v>86</v>
      </c>
      <c r="U484" t="s">
        <v>48</v>
      </c>
      <c r="V484" t="s">
        <v>120</v>
      </c>
      <c r="W484" t="s">
        <v>113</v>
      </c>
      <c r="X484" t="s">
        <v>65</v>
      </c>
      <c r="Y484" t="s">
        <v>661</v>
      </c>
      <c r="Z484">
        <v>8</v>
      </c>
      <c r="AA484">
        <v>3</v>
      </c>
      <c r="AB484" t="s">
        <v>79</v>
      </c>
      <c r="AC484">
        <v>0</v>
      </c>
      <c r="AD484">
        <v>3</v>
      </c>
      <c r="AE484" t="s">
        <v>62</v>
      </c>
      <c r="AF484">
        <v>59670</v>
      </c>
      <c r="AG484">
        <v>6630</v>
      </c>
      <c r="AH484">
        <v>6630</v>
      </c>
      <c r="AI484">
        <v>46410</v>
      </c>
      <c r="AJ484" t="s">
        <v>214</v>
      </c>
      <c r="AK484" t="s">
        <v>215</v>
      </c>
      <c r="AL484">
        <v>2004</v>
      </c>
      <c r="AM484" t="s">
        <v>56</v>
      </c>
      <c r="AN484" s="2">
        <f t="shared" si="49"/>
        <v>62.648300191084139</v>
      </c>
      <c r="AO484">
        <f t="shared" si="50"/>
        <v>-58718.54</v>
      </c>
      <c r="AP484" s="2">
        <f t="shared" si="51"/>
        <v>1.5945098959293458E-2</v>
      </c>
      <c r="AQ484" s="2">
        <f t="shared" si="55"/>
        <v>11</v>
      </c>
      <c r="AR484">
        <f t="shared" si="52"/>
        <v>116</v>
      </c>
      <c r="AS484" t="str">
        <f t="shared" si="53"/>
        <v>High Claim Ratio</v>
      </c>
      <c r="AT484" t="str">
        <f t="shared" si="54"/>
        <v>High Profit</v>
      </c>
    </row>
    <row r="485" spans="1:46" x14ac:dyDescent="0.2">
      <c r="A485">
        <v>222</v>
      </c>
      <c r="B485">
        <v>40</v>
      </c>
      <c r="C485">
        <v>373731</v>
      </c>
      <c r="D485" s="1">
        <v>41267</v>
      </c>
      <c r="E485" t="s">
        <v>83</v>
      </c>
      <c r="F485" t="s">
        <v>69</v>
      </c>
      <c r="G485">
        <v>1000</v>
      </c>
      <c r="H485">
        <v>1226.78</v>
      </c>
      <c r="I485">
        <v>0</v>
      </c>
      <c r="J485">
        <v>468433</v>
      </c>
      <c r="K485" t="s">
        <v>41</v>
      </c>
      <c r="L485" t="s">
        <v>161</v>
      </c>
      <c r="M485" t="s">
        <v>84</v>
      </c>
      <c r="N485" t="s">
        <v>118</v>
      </c>
      <c r="O485" t="s">
        <v>85</v>
      </c>
      <c r="P485">
        <v>49600</v>
      </c>
      <c r="Q485">
        <v>-49200</v>
      </c>
      <c r="R485" s="1">
        <v>42026</v>
      </c>
      <c r="S485" t="s">
        <v>75</v>
      </c>
      <c r="T485" t="s">
        <v>76</v>
      </c>
      <c r="U485" t="s">
        <v>63</v>
      </c>
      <c r="V485" t="s">
        <v>120</v>
      </c>
      <c r="W485" t="s">
        <v>77</v>
      </c>
      <c r="X485" t="s">
        <v>102</v>
      </c>
      <c r="Y485" t="s">
        <v>662</v>
      </c>
      <c r="Z485">
        <v>17</v>
      </c>
      <c r="AA485">
        <v>2</v>
      </c>
      <c r="AB485" t="s">
        <v>53</v>
      </c>
      <c r="AC485">
        <v>2</v>
      </c>
      <c r="AD485">
        <v>0</v>
      </c>
      <c r="AE485" t="s">
        <v>62</v>
      </c>
      <c r="AF485">
        <v>81500</v>
      </c>
      <c r="AG485">
        <v>16300</v>
      </c>
      <c r="AH485">
        <v>8150</v>
      </c>
      <c r="AI485">
        <v>57050</v>
      </c>
      <c r="AJ485" t="s">
        <v>187</v>
      </c>
      <c r="AK485" t="s">
        <v>188</v>
      </c>
      <c r="AL485">
        <v>2013</v>
      </c>
      <c r="AM485" t="s">
        <v>82</v>
      </c>
      <c r="AN485" s="2">
        <f t="shared" si="49"/>
        <v>66.379970352994832</v>
      </c>
      <c r="AO485">
        <f t="shared" si="50"/>
        <v>-80273.22</v>
      </c>
      <c r="AP485" s="2">
        <f t="shared" si="51"/>
        <v>1.5052330646249739E-2</v>
      </c>
      <c r="AQ485" s="2">
        <f t="shared" si="55"/>
        <v>2</v>
      </c>
      <c r="AR485">
        <f t="shared" si="52"/>
        <v>222</v>
      </c>
      <c r="AS485" t="str">
        <f t="shared" si="53"/>
        <v>High Claim Ratio</v>
      </c>
      <c r="AT485" t="str">
        <f t="shared" si="54"/>
        <v>High Profit</v>
      </c>
    </row>
    <row r="486" spans="1:46" x14ac:dyDescent="0.2">
      <c r="A486">
        <v>439</v>
      </c>
      <c r="B486">
        <v>56</v>
      </c>
      <c r="C486">
        <v>836272</v>
      </c>
      <c r="D486" s="1">
        <v>35561</v>
      </c>
      <c r="E486" t="s">
        <v>39</v>
      </c>
      <c r="F486" t="s">
        <v>69</v>
      </c>
      <c r="G486">
        <v>500</v>
      </c>
      <c r="H486">
        <v>1280.9000000000001</v>
      </c>
      <c r="I486">
        <v>0</v>
      </c>
      <c r="J486">
        <v>604289</v>
      </c>
      <c r="K486" t="s">
        <v>41</v>
      </c>
      <c r="L486" t="s">
        <v>131</v>
      </c>
      <c r="M486" t="s">
        <v>84</v>
      </c>
      <c r="N486" t="s">
        <v>181</v>
      </c>
      <c r="O486" t="s">
        <v>74</v>
      </c>
      <c r="P486">
        <v>48900</v>
      </c>
      <c r="Q486">
        <v>-40900</v>
      </c>
      <c r="R486" s="1">
        <v>42034</v>
      </c>
      <c r="S486" t="s">
        <v>46</v>
      </c>
      <c r="T486" t="s">
        <v>76</v>
      </c>
      <c r="U486" t="s">
        <v>63</v>
      </c>
      <c r="V486" t="s">
        <v>136</v>
      </c>
      <c r="W486" t="s">
        <v>121</v>
      </c>
      <c r="X486" t="s">
        <v>102</v>
      </c>
      <c r="Y486" t="s">
        <v>663</v>
      </c>
      <c r="Z486">
        <v>9</v>
      </c>
      <c r="AA486">
        <v>1</v>
      </c>
      <c r="AB486" t="s">
        <v>79</v>
      </c>
      <c r="AC486">
        <v>2</v>
      </c>
      <c r="AD486">
        <v>0</v>
      </c>
      <c r="AE486" t="s">
        <v>62</v>
      </c>
      <c r="AF486">
        <v>50000</v>
      </c>
      <c r="AG486">
        <v>15000</v>
      </c>
      <c r="AH486">
        <v>5000</v>
      </c>
      <c r="AI486">
        <v>30000</v>
      </c>
      <c r="AJ486" t="s">
        <v>197</v>
      </c>
      <c r="AK486" t="s">
        <v>198</v>
      </c>
      <c r="AL486">
        <v>2009</v>
      </c>
      <c r="AM486" t="s">
        <v>82</v>
      </c>
      <c r="AN486" s="2">
        <f t="shared" si="49"/>
        <v>39.004602543100084</v>
      </c>
      <c r="AO486">
        <f t="shared" si="50"/>
        <v>-48719.1</v>
      </c>
      <c r="AP486" s="2">
        <f t="shared" si="51"/>
        <v>2.5617487650246996E-2</v>
      </c>
      <c r="AQ486" s="2">
        <f t="shared" si="55"/>
        <v>6</v>
      </c>
      <c r="AR486">
        <f t="shared" si="52"/>
        <v>439</v>
      </c>
      <c r="AS486" t="str">
        <f t="shared" si="53"/>
        <v>High Claim Ratio</v>
      </c>
      <c r="AT486" t="str">
        <f t="shared" si="54"/>
        <v>High Profit</v>
      </c>
    </row>
    <row r="487" spans="1:46" x14ac:dyDescent="0.2">
      <c r="A487">
        <v>66</v>
      </c>
      <c r="B487">
        <v>28</v>
      </c>
      <c r="C487">
        <v>167231</v>
      </c>
      <c r="D487" s="1">
        <v>34360</v>
      </c>
      <c r="E487" t="s">
        <v>57</v>
      </c>
      <c r="F487" t="s">
        <v>69</v>
      </c>
      <c r="G487">
        <v>2000</v>
      </c>
      <c r="H487">
        <v>1472.77</v>
      </c>
      <c r="I487">
        <v>0</v>
      </c>
      <c r="J487">
        <v>471366</v>
      </c>
      <c r="K487" t="s">
        <v>41</v>
      </c>
      <c r="L487" t="s">
        <v>92</v>
      </c>
      <c r="M487" t="s">
        <v>185</v>
      </c>
      <c r="N487" t="s">
        <v>264</v>
      </c>
      <c r="O487" t="s">
        <v>45</v>
      </c>
      <c r="P487">
        <v>0</v>
      </c>
      <c r="Q487">
        <v>-31700</v>
      </c>
      <c r="R487" s="1">
        <v>42052</v>
      </c>
      <c r="S487" t="s">
        <v>46</v>
      </c>
      <c r="T487" t="s">
        <v>86</v>
      </c>
      <c r="U487" t="s">
        <v>107</v>
      </c>
      <c r="V487" t="s">
        <v>120</v>
      </c>
      <c r="W487" t="s">
        <v>77</v>
      </c>
      <c r="X487" t="s">
        <v>102</v>
      </c>
      <c r="Y487" t="s">
        <v>664</v>
      </c>
      <c r="Z487">
        <v>0</v>
      </c>
      <c r="AA487">
        <v>1</v>
      </c>
      <c r="AB487" t="s">
        <v>62</v>
      </c>
      <c r="AC487">
        <v>2</v>
      </c>
      <c r="AD487">
        <v>1</v>
      </c>
      <c r="AE487" t="s">
        <v>62</v>
      </c>
      <c r="AF487">
        <v>48290</v>
      </c>
      <c r="AG487">
        <v>8780</v>
      </c>
      <c r="AH487">
        <v>8780</v>
      </c>
      <c r="AI487">
        <v>30730</v>
      </c>
      <c r="AJ487" t="s">
        <v>104</v>
      </c>
      <c r="AK487" t="s">
        <v>151</v>
      </c>
      <c r="AL487">
        <v>1995</v>
      </c>
      <c r="AM487" t="s">
        <v>82</v>
      </c>
      <c r="AN487" s="2">
        <f t="shared" si="49"/>
        <v>32.766306818567351</v>
      </c>
      <c r="AO487">
        <f t="shared" si="50"/>
        <v>-46817.23</v>
      </c>
      <c r="AP487" s="2">
        <f t="shared" si="51"/>
        <v>3.0497815327907893E-2</v>
      </c>
      <c r="AQ487" s="2">
        <f t="shared" si="55"/>
        <v>20</v>
      </c>
      <c r="AR487">
        <f t="shared" si="52"/>
        <v>66</v>
      </c>
      <c r="AS487" t="str">
        <f t="shared" si="53"/>
        <v>High Claim Ratio</v>
      </c>
      <c r="AT487" t="str">
        <f t="shared" si="54"/>
        <v>High Profit</v>
      </c>
    </row>
    <row r="488" spans="1:46" x14ac:dyDescent="0.2">
      <c r="A488">
        <v>128</v>
      </c>
      <c r="B488">
        <v>29</v>
      </c>
      <c r="C488">
        <v>743330</v>
      </c>
      <c r="D488" s="1">
        <v>40486</v>
      </c>
      <c r="E488" t="s">
        <v>39</v>
      </c>
      <c r="F488" t="s">
        <v>91</v>
      </c>
      <c r="G488">
        <v>1000</v>
      </c>
      <c r="H488">
        <v>1878.44</v>
      </c>
      <c r="I488">
        <v>0</v>
      </c>
      <c r="J488">
        <v>450746</v>
      </c>
      <c r="K488" t="s">
        <v>41</v>
      </c>
      <c r="L488" t="s">
        <v>131</v>
      </c>
      <c r="M488" t="s">
        <v>111</v>
      </c>
      <c r="N488" t="s">
        <v>112</v>
      </c>
      <c r="O488" t="s">
        <v>45</v>
      </c>
      <c r="P488">
        <v>0</v>
      </c>
      <c r="Q488">
        <v>-76000</v>
      </c>
      <c r="R488" s="1">
        <v>42055</v>
      </c>
      <c r="S488" t="s">
        <v>46</v>
      </c>
      <c r="T488" t="s">
        <v>76</v>
      </c>
      <c r="U488" t="s">
        <v>107</v>
      </c>
      <c r="V488" t="s">
        <v>99</v>
      </c>
      <c r="W488" t="s">
        <v>64</v>
      </c>
      <c r="X488" t="s">
        <v>65</v>
      </c>
      <c r="Y488" t="s">
        <v>665</v>
      </c>
      <c r="Z488">
        <v>2</v>
      </c>
      <c r="AA488">
        <v>1</v>
      </c>
      <c r="AB488" t="s">
        <v>79</v>
      </c>
      <c r="AC488">
        <v>0</v>
      </c>
      <c r="AD488">
        <v>0</v>
      </c>
      <c r="AE488" t="s">
        <v>62</v>
      </c>
      <c r="AF488">
        <v>59070</v>
      </c>
      <c r="AG488">
        <v>5370</v>
      </c>
      <c r="AH488">
        <v>5370</v>
      </c>
      <c r="AI488">
        <v>48330</v>
      </c>
      <c r="AJ488" t="s">
        <v>89</v>
      </c>
      <c r="AK488" t="s">
        <v>245</v>
      </c>
      <c r="AL488">
        <v>2003</v>
      </c>
      <c r="AM488" t="s">
        <v>82</v>
      </c>
      <c r="AN488" s="2">
        <f t="shared" si="49"/>
        <v>31.429574766951855</v>
      </c>
      <c r="AO488">
        <f t="shared" si="50"/>
        <v>-57191.56</v>
      </c>
      <c r="AP488" s="2">
        <f t="shared" si="51"/>
        <v>3.1799698667704969E-2</v>
      </c>
      <c r="AQ488" s="2">
        <f t="shared" si="55"/>
        <v>12</v>
      </c>
      <c r="AR488">
        <f t="shared" si="52"/>
        <v>128</v>
      </c>
      <c r="AS488" t="str">
        <f t="shared" si="53"/>
        <v>High Claim Ratio</v>
      </c>
      <c r="AT488" t="str">
        <f t="shared" si="54"/>
        <v>High Profit</v>
      </c>
    </row>
    <row r="489" spans="1:46" x14ac:dyDescent="0.2">
      <c r="A489">
        <v>69</v>
      </c>
      <c r="B489">
        <v>24</v>
      </c>
      <c r="C489">
        <v>807369</v>
      </c>
      <c r="D489" s="1">
        <v>33774</v>
      </c>
      <c r="E489" t="s">
        <v>57</v>
      </c>
      <c r="F489" t="s">
        <v>91</v>
      </c>
      <c r="G489">
        <v>500</v>
      </c>
      <c r="H489">
        <v>1418.5</v>
      </c>
      <c r="I489">
        <v>0</v>
      </c>
      <c r="J489">
        <v>614948</v>
      </c>
      <c r="K489" t="s">
        <v>70</v>
      </c>
      <c r="L489" t="s">
        <v>131</v>
      </c>
      <c r="M489" t="s">
        <v>84</v>
      </c>
      <c r="N489" t="s">
        <v>155</v>
      </c>
      <c r="O489" t="s">
        <v>60</v>
      </c>
      <c r="P489">
        <v>0</v>
      </c>
      <c r="Q489">
        <v>0</v>
      </c>
      <c r="R489" s="1">
        <v>42039</v>
      </c>
      <c r="S489" t="s">
        <v>75</v>
      </c>
      <c r="T489" t="s">
        <v>76</v>
      </c>
      <c r="U489" t="s">
        <v>63</v>
      </c>
      <c r="V489" t="s">
        <v>49</v>
      </c>
      <c r="W489" t="s">
        <v>77</v>
      </c>
      <c r="X489" t="s">
        <v>102</v>
      </c>
      <c r="Y489" t="s">
        <v>666</v>
      </c>
      <c r="Z489">
        <v>23</v>
      </c>
      <c r="AA489">
        <v>3</v>
      </c>
      <c r="AB489" t="s">
        <v>62</v>
      </c>
      <c r="AC489">
        <v>0</v>
      </c>
      <c r="AD489">
        <v>0</v>
      </c>
      <c r="AE489" t="s">
        <v>79</v>
      </c>
      <c r="AF489">
        <v>63300</v>
      </c>
      <c r="AG489">
        <v>12660</v>
      </c>
      <c r="AH489">
        <v>6330</v>
      </c>
      <c r="AI489">
        <v>44310</v>
      </c>
      <c r="AJ489" t="s">
        <v>80</v>
      </c>
      <c r="AK489" t="s">
        <v>81</v>
      </c>
      <c r="AL489">
        <v>2012</v>
      </c>
      <c r="AM489" t="s">
        <v>82</v>
      </c>
      <c r="AN489" s="2">
        <f t="shared" si="49"/>
        <v>44.593166607960548</v>
      </c>
      <c r="AO489">
        <f t="shared" si="50"/>
        <v>-61881.5</v>
      </c>
      <c r="AP489" s="2">
        <f t="shared" si="51"/>
        <v>2.2408808707603357E-2</v>
      </c>
      <c r="AQ489" s="2">
        <f t="shared" si="55"/>
        <v>3</v>
      </c>
      <c r="AR489">
        <f t="shared" si="52"/>
        <v>69</v>
      </c>
      <c r="AS489" t="str">
        <f t="shared" si="53"/>
        <v>High Claim Ratio</v>
      </c>
      <c r="AT489" t="str">
        <f t="shared" si="54"/>
        <v>High Profit</v>
      </c>
    </row>
    <row r="490" spans="1:46" x14ac:dyDescent="0.2">
      <c r="A490">
        <v>294</v>
      </c>
      <c r="B490">
        <v>46</v>
      </c>
      <c r="C490">
        <v>735307</v>
      </c>
      <c r="D490" s="1">
        <v>40331</v>
      </c>
      <c r="E490" t="s">
        <v>83</v>
      </c>
      <c r="F490" t="s">
        <v>69</v>
      </c>
      <c r="G490">
        <v>500</v>
      </c>
      <c r="H490">
        <v>1532.8</v>
      </c>
      <c r="I490">
        <v>0</v>
      </c>
      <c r="J490">
        <v>473935</v>
      </c>
      <c r="K490" t="s">
        <v>41</v>
      </c>
      <c r="L490" t="s">
        <v>141</v>
      </c>
      <c r="M490" t="s">
        <v>101</v>
      </c>
      <c r="N490" t="s">
        <v>264</v>
      </c>
      <c r="O490" t="s">
        <v>74</v>
      </c>
      <c r="P490">
        <v>0</v>
      </c>
      <c r="Q490">
        <v>0</v>
      </c>
      <c r="R490" s="1">
        <v>42058</v>
      </c>
      <c r="S490" t="s">
        <v>46</v>
      </c>
      <c r="T490" t="s">
        <v>47</v>
      </c>
      <c r="U490" t="s">
        <v>107</v>
      </c>
      <c r="V490" t="s">
        <v>120</v>
      </c>
      <c r="W490" t="s">
        <v>50</v>
      </c>
      <c r="X490" t="s">
        <v>127</v>
      </c>
      <c r="Y490" t="s">
        <v>667</v>
      </c>
      <c r="Z490">
        <v>8</v>
      </c>
      <c r="AA490">
        <v>1</v>
      </c>
      <c r="AB490" t="s">
        <v>79</v>
      </c>
      <c r="AC490">
        <v>0</v>
      </c>
      <c r="AD490">
        <v>3</v>
      </c>
      <c r="AE490" t="s">
        <v>53</v>
      </c>
      <c r="AF490">
        <v>65780</v>
      </c>
      <c r="AG490">
        <v>11960</v>
      </c>
      <c r="AH490">
        <v>11960</v>
      </c>
      <c r="AI490">
        <v>41860</v>
      </c>
      <c r="AJ490" t="s">
        <v>67</v>
      </c>
      <c r="AK490" t="s">
        <v>271</v>
      </c>
      <c r="AL490">
        <v>2013</v>
      </c>
      <c r="AM490" t="s">
        <v>82</v>
      </c>
      <c r="AN490" s="2">
        <f t="shared" si="49"/>
        <v>42.88694745077585</v>
      </c>
      <c r="AO490">
        <f t="shared" si="50"/>
        <v>-64247.199999999997</v>
      </c>
      <c r="AP490" s="2">
        <f t="shared" si="51"/>
        <v>2.3301561241087853E-2</v>
      </c>
      <c r="AQ490" s="2">
        <f t="shared" si="55"/>
        <v>2</v>
      </c>
      <c r="AR490">
        <f t="shared" si="52"/>
        <v>294</v>
      </c>
      <c r="AS490" t="str">
        <f t="shared" si="53"/>
        <v>High Claim Ratio</v>
      </c>
      <c r="AT490" t="str">
        <f t="shared" si="54"/>
        <v>High Profit</v>
      </c>
    </row>
    <row r="491" spans="1:46" x14ac:dyDescent="0.2">
      <c r="A491">
        <v>19</v>
      </c>
      <c r="B491">
        <v>29</v>
      </c>
      <c r="C491">
        <v>789208</v>
      </c>
      <c r="D491" s="1">
        <v>37541</v>
      </c>
      <c r="E491" t="s">
        <v>39</v>
      </c>
      <c r="F491" t="s">
        <v>40</v>
      </c>
      <c r="G491">
        <v>500</v>
      </c>
      <c r="H491">
        <v>1304.3499999999999</v>
      </c>
      <c r="I491">
        <v>0</v>
      </c>
      <c r="J491">
        <v>617267</v>
      </c>
      <c r="K491" t="s">
        <v>41</v>
      </c>
      <c r="L491" t="s">
        <v>161</v>
      </c>
      <c r="M491" t="s">
        <v>145</v>
      </c>
      <c r="N491" t="s">
        <v>242</v>
      </c>
      <c r="O491" t="s">
        <v>142</v>
      </c>
      <c r="P491">
        <v>0</v>
      </c>
      <c r="Q491">
        <v>0</v>
      </c>
      <c r="R491" s="1">
        <v>42043</v>
      </c>
      <c r="S491" t="s">
        <v>75</v>
      </c>
      <c r="T491" t="s">
        <v>86</v>
      </c>
      <c r="U491" t="s">
        <v>107</v>
      </c>
      <c r="V491" t="s">
        <v>136</v>
      </c>
      <c r="W491" t="s">
        <v>77</v>
      </c>
      <c r="X491" t="s">
        <v>51</v>
      </c>
      <c r="Y491" t="s">
        <v>668</v>
      </c>
      <c r="Z491">
        <v>6</v>
      </c>
      <c r="AA491">
        <v>3</v>
      </c>
      <c r="AB491" t="s">
        <v>79</v>
      </c>
      <c r="AC491">
        <v>0</v>
      </c>
      <c r="AD491">
        <v>2</v>
      </c>
      <c r="AE491" t="s">
        <v>62</v>
      </c>
      <c r="AF491">
        <v>75400</v>
      </c>
      <c r="AG491">
        <v>11600</v>
      </c>
      <c r="AH491">
        <v>11600</v>
      </c>
      <c r="AI491">
        <v>52200</v>
      </c>
      <c r="AJ491" t="s">
        <v>80</v>
      </c>
      <c r="AK491" t="s">
        <v>144</v>
      </c>
      <c r="AL491">
        <v>2005</v>
      </c>
      <c r="AM491" t="s">
        <v>56</v>
      </c>
      <c r="AN491" s="2">
        <f t="shared" si="49"/>
        <v>57.762285976941051</v>
      </c>
      <c r="AO491">
        <f t="shared" si="50"/>
        <v>-74095.649999999994</v>
      </c>
      <c r="AP491" s="2">
        <f t="shared" si="51"/>
        <v>1.7298842190421878E-2</v>
      </c>
      <c r="AQ491" s="2">
        <f t="shared" si="55"/>
        <v>10</v>
      </c>
      <c r="AR491">
        <f t="shared" si="52"/>
        <v>19</v>
      </c>
      <c r="AS491" t="str">
        <f t="shared" si="53"/>
        <v>High Claim Ratio</v>
      </c>
      <c r="AT491" t="str">
        <f t="shared" si="54"/>
        <v>High Profit</v>
      </c>
    </row>
    <row r="492" spans="1:46" x14ac:dyDescent="0.2">
      <c r="A492">
        <v>191</v>
      </c>
      <c r="B492">
        <v>33</v>
      </c>
      <c r="C492">
        <v>585324</v>
      </c>
      <c r="D492" s="1">
        <v>39503</v>
      </c>
      <c r="E492" t="s">
        <v>39</v>
      </c>
      <c r="F492" t="s">
        <v>91</v>
      </c>
      <c r="G492">
        <v>2000</v>
      </c>
      <c r="H492">
        <v>1551.61</v>
      </c>
      <c r="I492">
        <v>0</v>
      </c>
      <c r="J492">
        <v>470670</v>
      </c>
      <c r="K492" t="s">
        <v>41</v>
      </c>
      <c r="L492" t="s">
        <v>131</v>
      </c>
      <c r="M492" t="s">
        <v>84</v>
      </c>
      <c r="N492" t="s">
        <v>146</v>
      </c>
      <c r="O492" t="s">
        <v>85</v>
      </c>
      <c r="P492">
        <v>45000</v>
      </c>
      <c r="Q492">
        <v>-30400</v>
      </c>
      <c r="R492" s="1">
        <v>42056</v>
      </c>
      <c r="S492" t="s">
        <v>61</v>
      </c>
      <c r="T492" t="s">
        <v>62</v>
      </c>
      <c r="U492" t="s">
        <v>63</v>
      </c>
      <c r="V492" t="s">
        <v>93</v>
      </c>
      <c r="W492" t="s">
        <v>113</v>
      </c>
      <c r="X492" t="s">
        <v>87</v>
      </c>
      <c r="Y492" t="s">
        <v>669</v>
      </c>
      <c r="Z492">
        <v>3</v>
      </c>
      <c r="AA492">
        <v>1</v>
      </c>
      <c r="AB492" t="s">
        <v>53</v>
      </c>
      <c r="AC492">
        <v>1</v>
      </c>
      <c r="AD492">
        <v>1</v>
      </c>
      <c r="AE492" t="s">
        <v>79</v>
      </c>
      <c r="AF492">
        <v>2250</v>
      </c>
      <c r="AG492">
        <v>250</v>
      </c>
      <c r="AH492">
        <v>250</v>
      </c>
      <c r="AI492">
        <v>1750</v>
      </c>
      <c r="AJ492" t="s">
        <v>115</v>
      </c>
      <c r="AK492" t="s">
        <v>183</v>
      </c>
      <c r="AL492">
        <v>2005</v>
      </c>
      <c r="AM492" t="s">
        <v>82</v>
      </c>
      <c r="AN492" s="2">
        <f t="shared" si="49"/>
        <v>1.449172683416956</v>
      </c>
      <c r="AO492">
        <f t="shared" si="50"/>
        <v>-698.3900000000001</v>
      </c>
      <c r="AP492" s="2">
        <f t="shared" si="51"/>
        <v>0.68929808973789419</v>
      </c>
      <c r="AQ492" s="2">
        <f t="shared" si="55"/>
        <v>10</v>
      </c>
      <c r="AR492">
        <f t="shared" si="52"/>
        <v>191</v>
      </c>
      <c r="AS492" t="str">
        <f t="shared" si="53"/>
        <v>Low Claim Ratio</v>
      </c>
      <c r="AT492" t="str">
        <f t="shared" si="54"/>
        <v>Low Profit</v>
      </c>
    </row>
    <row r="493" spans="1:46" x14ac:dyDescent="0.2">
      <c r="A493">
        <v>4</v>
      </c>
      <c r="B493">
        <v>39</v>
      </c>
      <c r="C493">
        <v>498759</v>
      </c>
      <c r="D493" s="1">
        <v>35313</v>
      </c>
      <c r="E493" t="s">
        <v>83</v>
      </c>
      <c r="F493" t="s">
        <v>69</v>
      </c>
      <c r="G493">
        <v>1000</v>
      </c>
      <c r="H493">
        <v>1326.98</v>
      </c>
      <c r="I493">
        <v>6000000</v>
      </c>
      <c r="J493">
        <v>450368</v>
      </c>
      <c r="K493" t="s">
        <v>70</v>
      </c>
      <c r="L493" t="s">
        <v>131</v>
      </c>
      <c r="M493" t="s">
        <v>58</v>
      </c>
      <c r="N493" t="s">
        <v>59</v>
      </c>
      <c r="O493" t="s">
        <v>85</v>
      </c>
      <c r="P493">
        <v>64200</v>
      </c>
      <c r="Q493">
        <v>0</v>
      </c>
      <c r="R493" s="1">
        <v>42017</v>
      </c>
      <c r="S493" t="s">
        <v>75</v>
      </c>
      <c r="T493" t="s">
        <v>86</v>
      </c>
      <c r="U493" t="s">
        <v>63</v>
      </c>
      <c r="V493" t="s">
        <v>136</v>
      </c>
      <c r="W493" t="s">
        <v>64</v>
      </c>
      <c r="X493" t="s">
        <v>127</v>
      </c>
      <c r="Y493" t="s">
        <v>670</v>
      </c>
      <c r="Z493">
        <v>14</v>
      </c>
      <c r="AA493">
        <v>3</v>
      </c>
      <c r="AB493" t="s">
        <v>53</v>
      </c>
      <c r="AC493">
        <v>1</v>
      </c>
      <c r="AD493">
        <v>3</v>
      </c>
      <c r="AE493" t="s">
        <v>62</v>
      </c>
      <c r="AF493">
        <v>54120</v>
      </c>
      <c r="AG493">
        <v>4510</v>
      </c>
      <c r="AH493">
        <v>9020</v>
      </c>
      <c r="AI493">
        <v>40590</v>
      </c>
      <c r="AJ493" t="s">
        <v>197</v>
      </c>
      <c r="AK493" t="s">
        <v>375</v>
      </c>
      <c r="AL493">
        <v>2007</v>
      </c>
      <c r="AM493" t="s">
        <v>82</v>
      </c>
      <c r="AN493" s="2">
        <f t="shared" si="49"/>
        <v>40.753625807617581</v>
      </c>
      <c r="AO493">
        <f t="shared" si="50"/>
        <v>-52793.02</v>
      </c>
      <c r="AP493" s="2">
        <f t="shared" si="51"/>
        <v>2.4518763511391144E-2</v>
      </c>
      <c r="AQ493" s="2">
        <f t="shared" si="55"/>
        <v>8</v>
      </c>
      <c r="AR493">
        <f t="shared" si="52"/>
        <v>4</v>
      </c>
      <c r="AS493" t="str">
        <f t="shared" si="53"/>
        <v>High Claim Ratio</v>
      </c>
      <c r="AT493" t="str">
        <f t="shared" si="54"/>
        <v>High Profit</v>
      </c>
    </row>
    <row r="494" spans="1:46" x14ac:dyDescent="0.2">
      <c r="A494">
        <v>298</v>
      </c>
      <c r="B494">
        <v>49</v>
      </c>
      <c r="C494">
        <v>795004</v>
      </c>
      <c r="D494" s="1">
        <v>35870</v>
      </c>
      <c r="E494" t="s">
        <v>39</v>
      </c>
      <c r="F494" t="s">
        <v>40</v>
      </c>
      <c r="G494">
        <v>500</v>
      </c>
      <c r="H494">
        <v>862.92</v>
      </c>
      <c r="I494">
        <v>0</v>
      </c>
      <c r="J494">
        <v>448809</v>
      </c>
      <c r="K494" t="s">
        <v>41</v>
      </c>
      <c r="L494" t="s">
        <v>42</v>
      </c>
      <c r="M494" t="s">
        <v>58</v>
      </c>
      <c r="N494" t="s">
        <v>118</v>
      </c>
      <c r="O494" t="s">
        <v>119</v>
      </c>
      <c r="P494">
        <v>0</v>
      </c>
      <c r="Q494">
        <v>-71700</v>
      </c>
      <c r="R494" s="1">
        <v>42021</v>
      </c>
      <c r="S494" t="s">
        <v>75</v>
      </c>
      <c r="T494" t="s">
        <v>47</v>
      </c>
      <c r="U494" t="s">
        <v>48</v>
      </c>
      <c r="V494" t="s">
        <v>120</v>
      </c>
      <c r="W494" t="s">
        <v>77</v>
      </c>
      <c r="X494" t="s">
        <v>156</v>
      </c>
      <c r="Y494" t="s">
        <v>671</v>
      </c>
      <c r="Z494">
        <v>16</v>
      </c>
      <c r="AA494">
        <v>3</v>
      </c>
      <c r="AB494" t="s">
        <v>79</v>
      </c>
      <c r="AC494">
        <v>0</v>
      </c>
      <c r="AD494">
        <v>2</v>
      </c>
      <c r="AE494" t="s">
        <v>79</v>
      </c>
      <c r="AF494">
        <v>69480</v>
      </c>
      <c r="AG494">
        <v>11580</v>
      </c>
      <c r="AH494">
        <v>11580</v>
      </c>
      <c r="AI494">
        <v>46320</v>
      </c>
      <c r="AJ494" t="s">
        <v>54</v>
      </c>
      <c r="AK494">
        <v>95</v>
      </c>
      <c r="AL494">
        <v>2007</v>
      </c>
      <c r="AM494" t="s">
        <v>82</v>
      </c>
      <c r="AN494" s="2">
        <f t="shared" si="49"/>
        <v>80.424113343828139</v>
      </c>
      <c r="AO494">
        <f t="shared" si="50"/>
        <v>-68617.08</v>
      </c>
      <c r="AP494" s="2">
        <f t="shared" si="51"/>
        <v>1.2419510369741368E-2</v>
      </c>
      <c r="AQ494" s="2">
        <f t="shared" si="55"/>
        <v>8</v>
      </c>
      <c r="AR494">
        <f t="shared" si="52"/>
        <v>298</v>
      </c>
      <c r="AS494" t="str">
        <f t="shared" si="53"/>
        <v>High Claim Ratio</v>
      </c>
      <c r="AT494" t="str">
        <f t="shared" si="54"/>
        <v>High Profit</v>
      </c>
    </row>
    <row r="495" spans="1:46" x14ac:dyDescent="0.2">
      <c r="A495">
        <v>231</v>
      </c>
      <c r="B495">
        <v>43</v>
      </c>
      <c r="C495">
        <v>203250</v>
      </c>
      <c r="D495" s="1">
        <v>40290</v>
      </c>
      <c r="E495" t="s">
        <v>57</v>
      </c>
      <c r="F495" t="s">
        <v>69</v>
      </c>
      <c r="G495">
        <v>2000</v>
      </c>
      <c r="H495">
        <v>1331.69</v>
      </c>
      <c r="I495">
        <v>0</v>
      </c>
      <c r="J495">
        <v>469653</v>
      </c>
      <c r="K495" t="s">
        <v>70</v>
      </c>
      <c r="L495" t="s">
        <v>124</v>
      </c>
      <c r="M495" t="s">
        <v>185</v>
      </c>
      <c r="N495" t="s">
        <v>59</v>
      </c>
      <c r="O495" t="s">
        <v>142</v>
      </c>
      <c r="P495">
        <v>0</v>
      </c>
      <c r="Q495">
        <v>0</v>
      </c>
      <c r="R495" s="1">
        <v>42053</v>
      </c>
      <c r="S495" t="s">
        <v>46</v>
      </c>
      <c r="T495" t="s">
        <v>76</v>
      </c>
      <c r="U495" t="s">
        <v>63</v>
      </c>
      <c r="V495" t="s">
        <v>49</v>
      </c>
      <c r="W495" t="s">
        <v>77</v>
      </c>
      <c r="X495" t="s">
        <v>127</v>
      </c>
      <c r="Y495" t="s">
        <v>672</v>
      </c>
      <c r="Z495">
        <v>12</v>
      </c>
      <c r="AA495">
        <v>1</v>
      </c>
      <c r="AB495" t="s">
        <v>62</v>
      </c>
      <c r="AC495">
        <v>1</v>
      </c>
      <c r="AD495">
        <v>2</v>
      </c>
      <c r="AE495" t="s">
        <v>79</v>
      </c>
      <c r="AF495">
        <v>66950</v>
      </c>
      <c r="AG495">
        <v>10300</v>
      </c>
      <c r="AH495">
        <v>10300</v>
      </c>
      <c r="AI495">
        <v>46350</v>
      </c>
      <c r="AJ495" t="s">
        <v>89</v>
      </c>
      <c r="AK495" t="s">
        <v>245</v>
      </c>
      <c r="AL495">
        <v>2015</v>
      </c>
      <c r="AM495" t="s">
        <v>82</v>
      </c>
      <c r="AN495" s="2">
        <f t="shared" si="49"/>
        <v>50.236739226676868</v>
      </c>
      <c r="AO495">
        <f t="shared" si="50"/>
        <v>-65618.31</v>
      </c>
      <c r="AP495" s="2">
        <f t="shared" si="51"/>
        <v>1.9890516945228601E-2</v>
      </c>
      <c r="AQ495" s="2">
        <f t="shared" si="55"/>
        <v>0</v>
      </c>
      <c r="AR495">
        <f t="shared" si="52"/>
        <v>231</v>
      </c>
      <c r="AS495" t="str">
        <f t="shared" si="53"/>
        <v>High Claim Ratio</v>
      </c>
      <c r="AT495" t="str">
        <f t="shared" si="54"/>
        <v>High Profit</v>
      </c>
    </row>
    <row r="496" spans="1:46" x14ac:dyDescent="0.2">
      <c r="A496">
        <v>338</v>
      </c>
      <c r="B496">
        <v>47</v>
      </c>
      <c r="C496">
        <v>430794</v>
      </c>
      <c r="D496" s="1">
        <v>39472</v>
      </c>
      <c r="E496" t="s">
        <v>39</v>
      </c>
      <c r="F496" t="s">
        <v>40</v>
      </c>
      <c r="G496">
        <v>2000</v>
      </c>
      <c r="H496">
        <v>1486.04</v>
      </c>
      <c r="I496">
        <v>0</v>
      </c>
      <c r="J496">
        <v>615688</v>
      </c>
      <c r="K496" t="s">
        <v>70</v>
      </c>
      <c r="L496" t="s">
        <v>92</v>
      </c>
      <c r="M496" t="s">
        <v>84</v>
      </c>
      <c r="N496" t="s">
        <v>73</v>
      </c>
      <c r="O496" t="s">
        <v>74</v>
      </c>
      <c r="P496">
        <v>0</v>
      </c>
      <c r="Q496">
        <v>-56200</v>
      </c>
      <c r="R496" s="1">
        <v>42018</v>
      </c>
      <c r="S496" t="s">
        <v>75</v>
      </c>
      <c r="T496" t="s">
        <v>76</v>
      </c>
      <c r="U496" t="s">
        <v>48</v>
      </c>
      <c r="V496" t="s">
        <v>120</v>
      </c>
      <c r="W496" t="s">
        <v>39</v>
      </c>
      <c r="X496" t="s">
        <v>156</v>
      </c>
      <c r="Y496" t="s">
        <v>673</v>
      </c>
      <c r="Z496">
        <v>1</v>
      </c>
      <c r="AA496">
        <v>3</v>
      </c>
      <c r="AB496" t="s">
        <v>79</v>
      </c>
      <c r="AC496">
        <v>2</v>
      </c>
      <c r="AD496">
        <v>3</v>
      </c>
      <c r="AE496" t="s">
        <v>62</v>
      </c>
      <c r="AF496">
        <v>64100</v>
      </c>
      <c r="AG496">
        <v>12820</v>
      </c>
      <c r="AH496">
        <v>6410</v>
      </c>
      <c r="AI496">
        <v>44870</v>
      </c>
      <c r="AJ496" t="s">
        <v>80</v>
      </c>
      <c r="AK496" t="s">
        <v>81</v>
      </c>
      <c r="AL496">
        <v>2014</v>
      </c>
      <c r="AM496" t="s">
        <v>56</v>
      </c>
      <c r="AN496" s="2">
        <f t="shared" si="49"/>
        <v>43.105767161609641</v>
      </c>
      <c r="AO496">
        <f t="shared" si="50"/>
        <v>-62613.96</v>
      </c>
      <c r="AP496" s="2">
        <f t="shared" si="51"/>
        <v>2.3182789660067704E-2</v>
      </c>
      <c r="AQ496" s="2">
        <f t="shared" si="55"/>
        <v>1</v>
      </c>
      <c r="AR496">
        <f t="shared" si="52"/>
        <v>338</v>
      </c>
      <c r="AS496" t="str">
        <f t="shared" si="53"/>
        <v>High Claim Ratio</v>
      </c>
      <c r="AT496" t="str">
        <f t="shared" si="54"/>
        <v>High Profit</v>
      </c>
    </row>
    <row r="497" spans="1:46" x14ac:dyDescent="0.2">
      <c r="A497">
        <v>261</v>
      </c>
      <c r="B497">
        <v>46</v>
      </c>
      <c r="C497">
        <v>156636</v>
      </c>
      <c r="D497" s="1">
        <v>36779</v>
      </c>
      <c r="E497" t="s">
        <v>57</v>
      </c>
      <c r="F497" t="s">
        <v>69</v>
      </c>
      <c r="G497">
        <v>1000</v>
      </c>
      <c r="H497">
        <v>870.55</v>
      </c>
      <c r="I497">
        <v>0</v>
      </c>
      <c r="J497">
        <v>465631</v>
      </c>
      <c r="K497" t="s">
        <v>41</v>
      </c>
      <c r="L497" t="s">
        <v>71</v>
      </c>
      <c r="M497" t="s">
        <v>101</v>
      </c>
      <c r="N497" t="s">
        <v>118</v>
      </c>
      <c r="O497" t="s">
        <v>85</v>
      </c>
      <c r="P497">
        <v>0</v>
      </c>
      <c r="Q497">
        <v>-49400</v>
      </c>
      <c r="R497" s="1">
        <v>42031</v>
      </c>
      <c r="S497" t="s">
        <v>46</v>
      </c>
      <c r="T497" t="s">
        <v>76</v>
      </c>
      <c r="U497" t="s">
        <v>63</v>
      </c>
      <c r="V497" t="s">
        <v>120</v>
      </c>
      <c r="W497" t="s">
        <v>50</v>
      </c>
      <c r="X497" t="s">
        <v>102</v>
      </c>
      <c r="Y497" t="s">
        <v>674</v>
      </c>
      <c r="Z497">
        <v>19</v>
      </c>
      <c r="AA497">
        <v>1</v>
      </c>
      <c r="AB497" t="s">
        <v>62</v>
      </c>
      <c r="AC497">
        <v>0</v>
      </c>
      <c r="AD497">
        <v>3</v>
      </c>
      <c r="AE497" t="s">
        <v>62</v>
      </c>
      <c r="AF497">
        <v>80280</v>
      </c>
      <c r="AG497">
        <v>13380</v>
      </c>
      <c r="AH497">
        <v>13380</v>
      </c>
      <c r="AI497">
        <v>53520</v>
      </c>
      <c r="AJ497" t="s">
        <v>89</v>
      </c>
      <c r="AK497" t="s">
        <v>90</v>
      </c>
      <c r="AL497">
        <v>2013</v>
      </c>
      <c r="AM497" t="s">
        <v>82</v>
      </c>
      <c r="AN497" s="2">
        <f t="shared" si="49"/>
        <v>92.111754919396489</v>
      </c>
      <c r="AO497">
        <f t="shared" si="50"/>
        <v>-79409.45</v>
      </c>
      <c r="AP497" s="2">
        <f t="shared" si="51"/>
        <v>1.0843786200969095E-2</v>
      </c>
      <c r="AQ497" s="2">
        <f t="shared" si="55"/>
        <v>2</v>
      </c>
      <c r="AR497">
        <f t="shared" si="52"/>
        <v>261</v>
      </c>
      <c r="AS497" t="str">
        <f t="shared" si="53"/>
        <v>High Claim Ratio</v>
      </c>
      <c r="AT497" t="str">
        <f t="shared" si="54"/>
        <v>High Profit</v>
      </c>
    </row>
    <row r="498" spans="1:46" x14ac:dyDescent="0.2">
      <c r="A498">
        <v>321</v>
      </c>
      <c r="B498">
        <v>44</v>
      </c>
      <c r="C498">
        <v>284143</v>
      </c>
      <c r="D498" s="1">
        <v>39561</v>
      </c>
      <c r="E498" t="s">
        <v>83</v>
      </c>
      <c r="F498" t="s">
        <v>91</v>
      </c>
      <c r="G498">
        <v>2000</v>
      </c>
      <c r="H498">
        <v>1344.56</v>
      </c>
      <c r="I498">
        <v>6000000</v>
      </c>
      <c r="J498">
        <v>443344</v>
      </c>
      <c r="K498" t="s">
        <v>41</v>
      </c>
      <c r="L498" t="s">
        <v>92</v>
      </c>
      <c r="M498" t="s">
        <v>58</v>
      </c>
      <c r="N498" t="s">
        <v>149</v>
      </c>
      <c r="O498" t="s">
        <v>45</v>
      </c>
      <c r="P498">
        <v>0</v>
      </c>
      <c r="Q498">
        <v>-39100</v>
      </c>
      <c r="R498" s="1">
        <v>42047</v>
      </c>
      <c r="S498" t="s">
        <v>61</v>
      </c>
      <c r="T498" t="s">
        <v>62</v>
      </c>
      <c r="U498" t="s">
        <v>212</v>
      </c>
      <c r="V498" t="s">
        <v>49</v>
      </c>
      <c r="W498" t="s">
        <v>77</v>
      </c>
      <c r="X498" t="s">
        <v>127</v>
      </c>
      <c r="Y498" t="s">
        <v>675</v>
      </c>
      <c r="Z498">
        <v>7</v>
      </c>
      <c r="AA498">
        <v>1</v>
      </c>
      <c r="AB498" t="s">
        <v>62</v>
      </c>
      <c r="AC498">
        <v>1</v>
      </c>
      <c r="AD498">
        <v>2</v>
      </c>
      <c r="AE498" t="s">
        <v>79</v>
      </c>
      <c r="AF498">
        <v>4680</v>
      </c>
      <c r="AG498">
        <v>520</v>
      </c>
      <c r="AH498">
        <v>0</v>
      </c>
      <c r="AI498">
        <v>4160</v>
      </c>
      <c r="AJ498" t="s">
        <v>95</v>
      </c>
      <c r="AK498" t="s">
        <v>148</v>
      </c>
      <c r="AL498">
        <v>1999</v>
      </c>
      <c r="AM498" t="s">
        <v>82</v>
      </c>
      <c r="AN498" s="2">
        <f t="shared" si="49"/>
        <v>3.4781057700882907</v>
      </c>
      <c r="AO498">
        <f t="shared" si="50"/>
        <v>-3335.44</v>
      </c>
      <c r="AP498" s="2">
        <f t="shared" si="51"/>
        <v>0.28723776970732751</v>
      </c>
      <c r="AQ498" s="2">
        <f t="shared" si="55"/>
        <v>16</v>
      </c>
      <c r="AR498">
        <f t="shared" si="52"/>
        <v>321</v>
      </c>
      <c r="AS498" t="str">
        <f t="shared" si="53"/>
        <v>Low Claim Ratio</v>
      </c>
      <c r="AT498" t="str">
        <f t="shared" si="54"/>
        <v>Low Profit</v>
      </c>
    </row>
    <row r="499" spans="1:46" x14ac:dyDescent="0.2">
      <c r="A499">
        <v>0</v>
      </c>
      <c r="B499">
        <v>32</v>
      </c>
      <c r="C499">
        <v>740518</v>
      </c>
      <c r="D499" s="1">
        <v>40592</v>
      </c>
      <c r="E499" t="s">
        <v>39</v>
      </c>
      <c r="F499" t="s">
        <v>91</v>
      </c>
      <c r="G499">
        <v>1000</v>
      </c>
      <c r="H499">
        <v>1377.04</v>
      </c>
      <c r="I499">
        <v>0</v>
      </c>
      <c r="J499">
        <v>441363</v>
      </c>
      <c r="K499" t="s">
        <v>41</v>
      </c>
      <c r="L499" t="s">
        <v>141</v>
      </c>
      <c r="M499" t="s">
        <v>97</v>
      </c>
      <c r="N499" t="s">
        <v>106</v>
      </c>
      <c r="O499" t="s">
        <v>119</v>
      </c>
      <c r="P499">
        <v>61400</v>
      </c>
      <c r="Q499">
        <v>-41100</v>
      </c>
      <c r="R499" s="1">
        <v>42021</v>
      </c>
      <c r="S499" t="s">
        <v>75</v>
      </c>
      <c r="T499" t="s">
        <v>76</v>
      </c>
      <c r="U499" t="s">
        <v>63</v>
      </c>
      <c r="V499" t="s">
        <v>136</v>
      </c>
      <c r="W499" t="s">
        <v>77</v>
      </c>
      <c r="X499" t="s">
        <v>102</v>
      </c>
      <c r="Y499" t="s">
        <v>676</v>
      </c>
      <c r="Z499">
        <v>6</v>
      </c>
      <c r="AA499">
        <v>4</v>
      </c>
      <c r="AB499" t="s">
        <v>62</v>
      </c>
      <c r="AC499">
        <v>1</v>
      </c>
      <c r="AD499">
        <v>1</v>
      </c>
      <c r="AE499" t="s">
        <v>79</v>
      </c>
      <c r="AF499">
        <v>39720</v>
      </c>
      <c r="AG499">
        <v>6620</v>
      </c>
      <c r="AH499">
        <v>6620</v>
      </c>
      <c r="AI499">
        <v>26480</v>
      </c>
      <c r="AJ499" t="s">
        <v>95</v>
      </c>
      <c r="AK499" t="s">
        <v>148</v>
      </c>
      <c r="AL499">
        <v>2002</v>
      </c>
      <c r="AM499" t="s">
        <v>82</v>
      </c>
      <c r="AN499" s="2">
        <f t="shared" si="49"/>
        <v>28.823546486313894</v>
      </c>
      <c r="AO499">
        <f t="shared" si="50"/>
        <v>-38342.959999999999</v>
      </c>
      <c r="AP499" s="2">
        <f t="shared" si="51"/>
        <v>3.4667807960524662E-2</v>
      </c>
      <c r="AQ499" s="2">
        <f t="shared" si="55"/>
        <v>13</v>
      </c>
      <c r="AR499">
        <f t="shared" si="52"/>
        <v>0</v>
      </c>
      <c r="AS499" t="str">
        <f t="shared" si="53"/>
        <v>High Claim Ratio</v>
      </c>
      <c r="AT499" t="str">
        <f t="shared" si="54"/>
        <v>High Profit</v>
      </c>
    </row>
    <row r="500" spans="1:46" x14ac:dyDescent="0.2">
      <c r="A500">
        <v>405</v>
      </c>
      <c r="B500">
        <v>58</v>
      </c>
      <c r="C500">
        <v>445289</v>
      </c>
      <c r="D500" s="1">
        <v>41023</v>
      </c>
      <c r="E500" t="s">
        <v>83</v>
      </c>
      <c r="F500" t="s">
        <v>40</v>
      </c>
      <c r="G500">
        <v>500</v>
      </c>
      <c r="H500">
        <v>1237.8800000000001</v>
      </c>
      <c r="I500">
        <v>0</v>
      </c>
      <c r="J500">
        <v>462683</v>
      </c>
      <c r="K500" t="s">
        <v>41</v>
      </c>
      <c r="L500" t="s">
        <v>42</v>
      </c>
      <c r="M500" t="s">
        <v>125</v>
      </c>
      <c r="N500" t="s">
        <v>264</v>
      </c>
      <c r="O500" t="s">
        <v>142</v>
      </c>
      <c r="P500">
        <v>0</v>
      </c>
      <c r="Q500">
        <v>-46900</v>
      </c>
      <c r="R500" s="1">
        <v>42017</v>
      </c>
      <c r="S500" t="s">
        <v>46</v>
      </c>
      <c r="T500" t="s">
        <v>86</v>
      </c>
      <c r="U500" t="s">
        <v>48</v>
      </c>
      <c r="V500" t="s">
        <v>49</v>
      </c>
      <c r="W500" t="s">
        <v>77</v>
      </c>
      <c r="X500" t="s">
        <v>87</v>
      </c>
      <c r="Y500" t="s">
        <v>677</v>
      </c>
      <c r="Z500">
        <v>11</v>
      </c>
      <c r="AA500">
        <v>1</v>
      </c>
      <c r="AB500" t="s">
        <v>62</v>
      </c>
      <c r="AC500">
        <v>0</v>
      </c>
      <c r="AD500">
        <v>0</v>
      </c>
      <c r="AE500" t="s">
        <v>62</v>
      </c>
      <c r="AF500">
        <v>63580</v>
      </c>
      <c r="AG500">
        <v>5780</v>
      </c>
      <c r="AH500">
        <v>5780</v>
      </c>
      <c r="AI500">
        <v>52020</v>
      </c>
      <c r="AJ500" t="s">
        <v>67</v>
      </c>
      <c r="AK500" t="s">
        <v>271</v>
      </c>
      <c r="AL500">
        <v>1997</v>
      </c>
      <c r="AM500" t="s">
        <v>56</v>
      </c>
      <c r="AN500" s="2">
        <f t="shared" si="49"/>
        <v>51.320547591372851</v>
      </c>
      <c r="AO500">
        <f t="shared" si="50"/>
        <v>-62342.12</v>
      </c>
      <c r="AP500" s="2">
        <f t="shared" si="51"/>
        <v>1.9469338324342181E-2</v>
      </c>
      <c r="AQ500" s="2">
        <f t="shared" si="55"/>
        <v>18</v>
      </c>
      <c r="AR500">
        <f t="shared" si="52"/>
        <v>405</v>
      </c>
      <c r="AS500" t="str">
        <f t="shared" si="53"/>
        <v>High Claim Ratio</v>
      </c>
      <c r="AT500" t="str">
        <f t="shared" si="54"/>
        <v>High Profit</v>
      </c>
    </row>
    <row r="501" spans="1:46" x14ac:dyDescent="0.2">
      <c r="A501">
        <v>304</v>
      </c>
      <c r="B501">
        <v>49</v>
      </c>
      <c r="C501">
        <v>599262</v>
      </c>
      <c r="D501" s="1">
        <v>37159</v>
      </c>
      <c r="E501" t="s">
        <v>57</v>
      </c>
      <c r="F501" t="s">
        <v>69</v>
      </c>
      <c r="G501">
        <v>1000</v>
      </c>
      <c r="H501">
        <v>1525.86</v>
      </c>
      <c r="I501">
        <v>0</v>
      </c>
      <c r="J501">
        <v>463184</v>
      </c>
      <c r="K501" t="s">
        <v>70</v>
      </c>
      <c r="L501" t="s">
        <v>71</v>
      </c>
      <c r="M501" t="s">
        <v>43</v>
      </c>
      <c r="N501" t="s">
        <v>118</v>
      </c>
      <c r="O501" t="s">
        <v>74</v>
      </c>
      <c r="P501">
        <v>0</v>
      </c>
      <c r="Q501">
        <v>0</v>
      </c>
      <c r="R501" s="1">
        <v>42025</v>
      </c>
      <c r="S501" t="s">
        <v>46</v>
      </c>
      <c r="T501" t="s">
        <v>47</v>
      </c>
      <c r="U501" t="s">
        <v>63</v>
      </c>
      <c r="V501" t="s">
        <v>120</v>
      </c>
      <c r="W501" t="s">
        <v>121</v>
      </c>
      <c r="X501" t="s">
        <v>127</v>
      </c>
      <c r="Y501" t="s">
        <v>678</v>
      </c>
      <c r="Z501">
        <v>2</v>
      </c>
      <c r="AA501">
        <v>1</v>
      </c>
      <c r="AB501" t="s">
        <v>53</v>
      </c>
      <c r="AC501">
        <v>1</v>
      </c>
      <c r="AD501">
        <v>1</v>
      </c>
      <c r="AE501" t="s">
        <v>53</v>
      </c>
      <c r="AF501">
        <v>73370</v>
      </c>
      <c r="AG501">
        <v>13340</v>
      </c>
      <c r="AH501">
        <v>6670</v>
      </c>
      <c r="AI501">
        <v>53360</v>
      </c>
      <c r="AJ501" t="s">
        <v>54</v>
      </c>
      <c r="AK501">
        <v>95</v>
      </c>
      <c r="AL501">
        <v>2013</v>
      </c>
      <c r="AM501" t="s">
        <v>82</v>
      </c>
      <c r="AN501" s="2">
        <f t="shared" si="49"/>
        <v>48.052866667539924</v>
      </c>
      <c r="AO501">
        <f t="shared" si="50"/>
        <v>-71844.14</v>
      </c>
      <c r="AP501" s="2">
        <f t="shared" si="51"/>
        <v>2.0796499979555953E-2</v>
      </c>
      <c r="AQ501" s="2">
        <f t="shared" si="55"/>
        <v>2</v>
      </c>
      <c r="AR501">
        <f t="shared" si="52"/>
        <v>304</v>
      </c>
      <c r="AS501" t="str">
        <f t="shared" si="53"/>
        <v>High Claim Ratio</v>
      </c>
      <c r="AT501" t="str">
        <f t="shared" si="54"/>
        <v>High Profit</v>
      </c>
    </row>
    <row r="502" spans="1:46" x14ac:dyDescent="0.2">
      <c r="A502">
        <v>1</v>
      </c>
      <c r="B502">
        <v>29</v>
      </c>
      <c r="C502">
        <v>357949</v>
      </c>
      <c r="D502" s="1">
        <v>38861</v>
      </c>
      <c r="E502" t="s">
        <v>39</v>
      </c>
      <c r="F502" t="s">
        <v>91</v>
      </c>
      <c r="G502">
        <v>500</v>
      </c>
      <c r="H502">
        <v>854.58</v>
      </c>
      <c r="I502">
        <v>0</v>
      </c>
      <c r="J502">
        <v>612826</v>
      </c>
      <c r="K502" t="s">
        <v>70</v>
      </c>
      <c r="L502" t="s">
        <v>161</v>
      </c>
      <c r="M502" t="s">
        <v>43</v>
      </c>
      <c r="N502" t="s">
        <v>165</v>
      </c>
      <c r="O502" t="s">
        <v>60</v>
      </c>
      <c r="P502">
        <v>52200</v>
      </c>
      <c r="Q502">
        <v>0</v>
      </c>
      <c r="R502" s="1">
        <v>42005</v>
      </c>
      <c r="S502" t="s">
        <v>46</v>
      </c>
      <c r="T502" t="s">
        <v>47</v>
      </c>
      <c r="U502" t="s">
        <v>63</v>
      </c>
      <c r="V502" t="s">
        <v>49</v>
      </c>
      <c r="W502" t="s">
        <v>50</v>
      </c>
      <c r="X502" t="s">
        <v>156</v>
      </c>
      <c r="Y502" t="s">
        <v>679</v>
      </c>
      <c r="Z502">
        <v>15</v>
      </c>
      <c r="AA502">
        <v>1</v>
      </c>
      <c r="AB502" t="s">
        <v>62</v>
      </c>
      <c r="AC502">
        <v>2</v>
      </c>
      <c r="AD502">
        <v>3</v>
      </c>
      <c r="AE502" t="s">
        <v>53</v>
      </c>
      <c r="AF502">
        <v>86790</v>
      </c>
      <c r="AG502">
        <v>7890</v>
      </c>
      <c r="AH502">
        <v>23670</v>
      </c>
      <c r="AI502">
        <v>55230</v>
      </c>
      <c r="AJ502" t="s">
        <v>209</v>
      </c>
      <c r="AK502" t="s">
        <v>225</v>
      </c>
      <c r="AL502">
        <v>2003</v>
      </c>
      <c r="AM502" t="s">
        <v>82</v>
      </c>
      <c r="AN502" s="2">
        <f t="shared" si="49"/>
        <v>101.43995885831833</v>
      </c>
      <c r="AO502">
        <f t="shared" si="50"/>
        <v>-85935.42</v>
      </c>
      <c r="AP502" s="2">
        <f t="shared" si="51"/>
        <v>9.8464126464725618E-3</v>
      </c>
      <c r="AQ502" s="2">
        <f t="shared" si="55"/>
        <v>12</v>
      </c>
      <c r="AR502">
        <f t="shared" si="52"/>
        <v>1</v>
      </c>
      <c r="AS502" t="str">
        <f t="shared" si="53"/>
        <v>High Claim Ratio</v>
      </c>
      <c r="AT502" t="str">
        <f t="shared" si="54"/>
        <v>High Profit</v>
      </c>
    </row>
    <row r="503" spans="1:46" x14ac:dyDescent="0.2">
      <c r="A503">
        <v>26</v>
      </c>
      <c r="B503">
        <v>39</v>
      </c>
      <c r="C503">
        <v>493161</v>
      </c>
      <c r="D503" s="1">
        <v>33633</v>
      </c>
      <c r="E503" t="s">
        <v>57</v>
      </c>
      <c r="F503" t="s">
        <v>40</v>
      </c>
      <c r="G503">
        <v>1000</v>
      </c>
      <c r="H503">
        <v>770.76</v>
      </c>
      <c r="I503">
        <v>0</v>
      </c>
      <c r="J503">
        <v>433155</v>
      </c>
      <c r="K503" t="s">
        <v>41</v>
      </c>
      <c r="L503" t="s">
        <v>124</v>
      </c>
      <c r="M503" t="s">
        <v>97</v>
      </c>
      <c r="N503" t="s">
        <v>44</v>
      </c>
      <c r="O503" t="s">
        <v>45</v>
      </c>
      <c r="P503">
        <v>0</v>
      </c>
      <c r="Q503">
        <v>-53700</v>
      </c>
      <c r="R503" s="1">
        <v>42053</v>
      </c>
      <c r="S503" t="s">
        <v>46</v>
      </c>
      <c r="T503" t="s">
        <v>47</v>
      </c>
      <c r="U503" t="s">
        <v>48</v>
      </c>
      <c r="V503" t="s">
        <v>49</v>
      </c>
      <c r="W503" t="s">
        <v>113</v>
      </c>
      <c r="X503" t="s">
        <v>51</v>
      </c>
      <c r="Y503" t="s">
        <v>680</v>
      </c>
      <c r="Z503">
        <v>0</v>
      </c>
      <c r="AA503">
        <v>1</v>
      </c>
      <c r="AB503" t="s">
        <v>79</v>
      </c>
      <c r="AC503">
        <v>0</v>
      </c>
      <c r="AD503">
        <v>2</v>
      </c>
      <c r="AE503" t="s">
        <v>62</v>
      </c>
      <c r="AF503">
        <v>49800</v>
      </c>
      <c r="AG503">
        <v>9960</v>
      </c>
      <c r="AH503">
        <v>4980</v>
      </c>
      <c r="AI503">
        <v>34860</v>
      </c>
      <c r="AJ503" t="s">
        <v>67</v>
      </c>
      <c r="AK503" t="s">
        <v>271</v>
      </c>
      <c r="AL503">
        <v>2015</v>
      </c>
      <c r="AM503" t="s">
        <v>82</v>
      </c>
      <c r="AN503" s="2">
        <f t="shared" si="49"/>
        <v>64.527832486783453</v>
      </c>
      <c r="AO503">
        <f t="shared" si="50"/>
        <v>-49029.24</v>
      </c>
      <c r="AP503" s="2">
        <f t="shared" si="51"/>
        <v>1.5476797654665569E-2</v>
      </c>
      <c r="AQ503" s="2">
        <f t="shared" si="55"/>
        <v>0</v>
      </c>
      <c r="AR503">
        <f t="shared" si="52"/>
        <v>26</v>
      </c>
      <c r="AS503" t="str">
        <f t="shared" si="53"/>
        <v>High Claim Ratio</v>
      </c>
      <c r="AT503" t="str">
        <f t="shared" si="54"/>
        <v>High Profit</v>
      </c>
    </row>
    <row r="504" spans="1:46" x14ac:dyDescent="0.2">
      <c r="A504">
        <v>202</v>
      </c>
      <c r="B504">
        <v>38</v>
      </c>
      <c r="C504">
        <v>320251</v>
      </c>
      <c r="D504" s="1">
        <v>39837</v>
      </c>
      <c r="E504" t="s">
        <v>83</v>
      </c>
      <c r="F504" t="s">
        <v>69</v>
      </c>
      <c r="G504">
        <v>2000</v>
      </c>
      <c r="H504">
        <v>1132.74</v>
      </c>
      <c r="I504">
        <v>0</v>
      </c>
      <c r="J504">
        <v>616120</v>
      </c>
      <c r="K504" t="s">
        <v>70</v>
      </c>
      <c r="L504" t="s">
        <v>92</v>
      </c>
      <c r="M504" t="s">
        <v>84</v>
      </c>
      <c r="N504" t="s">
        <v>264</v>
      </c>
      <c r="O504" t="s">
        <v>45</v>
      </c>
      <c r="P504">
        <v>0</v>
      </c>
      <c r="Q504">
        <v>-37500</v>
      </c>
      <c r="R504" s="1">
        <v>42039</v>
      </c>
      <c r="S504" t="s">
        <v>46</v>
      </c>
      <c r="T504" t="s">
        <v>47</v>
      </c>
      <c r="U504" t="s">
        <v>48</v>
      </c>
      <c r="V504" t="s">
        <v>120</v>
      </c>
      <c r="W504" t="s">
        <v>113</v>
      </c>
      <c r="X504" t="s">
        <v>122</v>
      </c>
      <c r="Y504" t="s">
        <v>681</v>
      </c>
      <c r="Z504">
        <v>12</v>
      </c>
      <c r="AA504">
        <v>1</v>
      </c>
      <c r="AB504" t="s">
        <v>53</v>
      </c>
      <c r="AC504">
        <v>1</v>
      </c>
      <c r="AD504">
        <v>1</v>
      </c>
      <c r="AE504" t="s">
        <v>79</v>
      </c>
      <c r="AF504">
        <v>77440</v>
      </c>
      <c r="AG504">
        <v>7040</v>
      </c>
      <c r="AH504">
        <v>14080</v>
      </c>
      <c r="AI504">
        <v>56320</v>
      </c>
      <c r="AJ504" t="s">
        <v>104</v>
      </c>
      <c r="AK504" t="s">
        <v>287</v>
      </c>
      <c r="AL504">
        <v>2005</v>
      </c>
      <c r="AM504" t="s">
        <v>82</v>
      </c>
      <c r="AN504" s="2">
        <f t="shared" si="49"/>
        <v>68.304902358565457</v>
      </c>
      <c r="AO504">
        <f t="shared" si="50"/>
        <v>-76307.259999999995</v>
      </c>
      <c r="AP504" s="2">
        <f t="shared" si="51"/>
        <v>1.4627135496700715E-2</v>
      </c>
      <c r="AQ504" s="2">
        <f t="shared" si="55"/>
        <v>10</v>
      </c>
      <c r="AR504">
        <f t="shared" si="52"/>
        <v>202</v>
      </c>
      <c r="AS504" t="str">
        <f t="shared" si="53"/>
        <v>High Claim Ratio</v>
      </c>
      <c r="AT504" t="str">
        <f t="shared" si="54"/>
        <v>High Profit</v>
      </c>
    </row>
    <row r="505" spans="1:46" x14ac:dyDescent="0.2">
      <c r="A505">
        <v>289</v>
      </c>
      <c r="B505">
        <v>48</v>
      </c>
      <c r="C505">
        <v>231127</v>
      </c>
      <c r="D505" s="1">
        <v>34940</v>
      </c>
      <c r="E505" t="s">
        <v>83</v>
      </c>
      <c r="F505" t="s">
        <v>91</v>
      </c>
      <c r="G505">
        <v>500</v>
      </c>
      <c r="H505">
        <v>1173.3699999999999</v>
      </c>
      <c r="I505">
        <v>8000000</v>
      </c>
      <c r="J505">
        <v>461744</v>
      </c>
      <c r="K505" t="s">
        <v>70</v>
      </c>
      <c r="L505" t="s">
        <v>71</v>
      </c>
      <c r="M505" t="s">
        <v>159</v>
      </c>
      <c r="N505" t="s">
        <v>73</v>
      </c>
      <c r="O505" t="s">
        <v>74</v>
      </c>
      <c r="P505">
        <v>0</v>
      </c>
      <c r="Q505">
        <v>-42700</v>
      </c>
      <c r="R505" s="1">
        <v>42013</v>
      </c>
      <c r="S505" t="s">
        <v>46</v>
      </c>
      <c r="T505" t="s">
        <v>86</v>
      </c>
      <c r="U505" t="s">
        <v>107</v>
      </c>
      <c r="V505" t="s">
        <v>120</v>
      </c>
      <c r="W505" t="s">
        <v>50</v>
      </c>
      <c r="X505" t="s">
        <v>102</v>
      </c>
      <c r="Y505" t="s">
        <v>682</v>
      </c>
      <c r="Z505">
        <v>1</v>
      </c>
      <c r="AA505">
        <v>1</v>
      </c>
      <c r="AB505" t="s">
        <v>62</v>
      </c>
      <c r="AC505">
        <v>1</v>
      </c>
      <c r="AD505">
        <v>0</v>
      </c>
      <c r="AE505" t="s">
        <v>62</v>
      </c>
      <c r="AF505">
        <v>42900</v>
      </c>
      <c r="AG505">
        <v>8580</v>
      </c>
      <c r="AH505">
        <v>0</v>
      </c>
      <c r="AI505">
        <v>34320</v>
      </c>
      <c r="AJ505" t="s">
        <v>95</v>
      </c>
      <c r="AK505" t="s">
        <v>158</v>
      </c>
      <c r="AL505">
        <v>1999</v>
      </c>
      <c r="AM505" t="s">
        <v>82</v>
      </c>
      <c r="AN505" s="2">
        <f t="shared" si="49"/>
        <v>36.530224716230833</v>
      </c>
      <c r="AO505">
        <f t="shared" si="50"/>
        <v>-41726.629999999997</v>
      </c>
      <c r="AP505" s="2">
        <f t="shared" si="51"/>
        <v>2.7350644507121043E-2</v>
      </c>
      <c r="AQ505" s="2">
        <f t="shared" si="55"/>
        <v>16</v>
      </c>
      <c r="AR505">
        <f t="shared" si="52"/>
        <v>289</v>
      </c>
      <c r="AS505" t="str">
        <f t="shared" si="53"/>
        <v>High Claim Ratio</v>
      </c>
      <c r="AT505" t="str">
        <f t="shared" si="54"/>
        <v>High Profit</v>
      </c>
    </row>
    <row r="506" spans="1:46" x14ac:dyDescent="0.2">
      <c r="A506">
        <v>61</v>
      </c>
      <c r="B506">
        <v>26</v>
      </c>
      <c r="C506">
        <v>766193</v>
      </c>
      <c r="D506" s="1">
        <v>40755</v>
      </c>
      <c r="E506" t="s">
        <v>39</v>
      </c>
      <c r="F506" t="s">
        <v>69</v>
      </c>
      <c r="G506">
        <v>2000</v>
      </c>
      <c r="H506">
        <v>1188.28</v>
      </c>
      <c r="I506">
        <v>6000000</v>
      </c>
      <c r="J506">
        <v>475916</v>
      </c>
      <c r="K506" t="s">
        <v>70</v>
      </c>
      <c r="L506" t="s">
        <v>161</v>
      </c>
      <c r="M506" t="s">
        <v>189</v>
      </c>
      <c r="N506" t="s">
        <v>132</v>
      </c>
      <c r="O506" t="s">
        <v>119</v>
      </c>
      <c r="P506">
        <v>0</v>
      </c>
      <c r="Q506">
        <v>-53800</v>
      </c>
      <c r="R506" s="1">
        <v>42049</v>
      </c>
      <c r="S506" t="s">
        <v>75</v>
      </c>
      <c r="T506" t="s">
        <v>76</v>
      </c>
      <c r="U506" t="s">
        <v>48</v>
      </c>
      <c r="V506" t="s">
        <v>99</v>
      </c>
      <c r="W506" t="s">
        <v>64</v>
      </c>
      <c r="X506" t="s">
        <v>122</v>
      </c>
      <c r="Y506" t="s">
        <v>683</v>
      </c>
      <c r="Z506">
        <v>16</v>
      </c>
      <c r="AA506">
        <v>2</v>
      </c>
      <c r="AB506" t="s">
        <v>53</v>
      </c>
      <c r="AC506">
        <v>1</v>
      </c>
      <c r="AD506">
        <v>0</v>
      </c>
      <c r="AE506" t="s">
        <v>79</v>
      </c>
      <c r="AF506">
        <v>53820</v>
      </c>
      <c r="AG506">
        <v>11960</v>
      </c>
      <c r="AH506">
        <v>5980</v>
      </c>
      <c r="AI506">
        <v>35880</v>
      </c>
      <c r="AJ506" t="s">
        <v>129</v>
      </c>
      <c r="AK506" t="s">
        <v>130</v>
      </c>
      <c r="AL506">
        <v>2015</v>
      </c>
      <c r="AM506" t="s">
        <v>56</v>
      </c>
      <c r="AN506" s="2">
        <f t="shared" si="49"/>
        <v>45.254271491995155</v>
      </c>
      <c r="AO506">
        <f t="shared" si="50"/>
        <v>-52631.72</v>
      </c>
      <c r="AP506" s="2">
        <f t="shared" si="51"/>
        <v>2.2078370896118613E-2</v>
      </c>
      <c r="AQ506" s="2">
        <f t="shared" si="55"/>
        <v>0</v>
      </c>
      <c r="AR506">
        <f t="shared" si="52"/>
        <v>61</v>
      </c>
      <c r="AS506" t="str">
        <f t="shared" si="53"/>
        <v>High Claim Ratio</v>
      </c>
      <c r="AT506" t="str">
        <f t="shared" si="54"/>
        <v>High Profit</v>
      </c>
    </row>
    <row r="507" spans="1:46" x14ac:dyDescent="0.2">
      <c r="A507">
        <v>334</v>
      </c>
      <c r="B507">
        <v>46</v>
      </c>
      <c r="C507">
        <v>555374</v>
      </c>
      <c r="D507" s="1">
        <v>41279</v>
      </c>
      <c r="E507" t="s">
        <v>83</v>
      </c>
      <c r="F507" t="s">
        <v>69</v>
      </c>
      <c r="G507">
        <v>1000</v>
      </c>
      <c r="H507">
        <v>876.88</v>
      </c>
      <c r="I507">
        <v>6000000</v>
      </c>
      <c r="J507">
        <v>454434</v>
      </c>
      <c r="K507" t="s">
        <v>41</v>
      </c>
      <c r="L507" t="s">
        <v>42</v>
      </c>
      <c r="M507" t="s">
        <v>72</v>
      </c>
      <c r="N507" t="s">
        <v>59</v>
      </c>
      <c r="O507" t="s">
        <v>60</v>
      </c>
      <c r="P507">
        <v>0</v>
      </c>
      <c r="Q507">
        <v>0</v>
      </c>
      <c r="R507" s="1">
        <v>42007</v>
      </c>
      <c r="S507" t="s">
        <v>46</v>
      </c>
      <c r="T507" t="s">
        <v>76</v>
      </c>
      <c r="U507" t="s">
        <v>63</v>
      </c>
      <c r="V507" t="s">
        <v>49</v>
      </c>
      <c r="W507" t="s">
        <v>113</v>
      </c>
      <c r="X507" t="s">
        <v>122</v>
      </c>
      <c r="Y507" t="s">
        <v>684</v>
      </c>
      <c r="Z507">
        <v>2</v>
      </c>
      <c r="AA507">
        <v>1</v>
      </c>
      <c r="AB507" t="s">
        <v>79</v>
      </c>
      <c r="AC507">
        <v>2</v>
      </c>
      <c r="AD507">
        <v>1</v>
      </c>
      <c r="AE507" t="s">
        <v>79</v>
      </c>
      <c r="AF507">
        <v>57330</v>
      </c>
      <c r="AG507">
        <v>12740</v>
      </c>
      <c r="AH507">
        <v>6370</v>
      </c>
      <c r="AI507">
        <v>38220</v>
      </c>
      <c r="AJ507" t="s">
        <v>197</v>
      </c>
      <c r="AK507" t="s">
        <v>375</v>
      </c>
      <c r="AL507">
        <v>1998</v>
      </c>
      <c r="AM507" t="s">
        <v>82</v>
      </c>
      <c r="AN507" s="2">
        <f t="shared" si="49"/>
        <v>65.305053082425843</v>
      </c>
      <c r="AO507">
        <f t="shared" si="50"/>
        <v>-56453.120000000003</v>
      </c>
      <c r="AP507" s="2">
        <f t="shared" si="51"/>
        <v>1.5295041077253144E-2</v>
      </c>
      <c r="AQ507" s="2">
        <f t="shared" si="55"/>
        <v>17</v>
      </c>
      <c r="AR507">
        <f t="shared" si="52"/>
        <v>334</v>
      </c>
      <c r="AS507" t="str">
        <f t="shared" si="53"/>
        <v>High Claim Ratio</v>
      </c>
      <c r="AT507" t="str">
        <f t="shared" si="54"/>
        <v>High Profit</v>
      </c>
    </row>
    <row r="508" spans="1:46" x14ac:dyDescent="0.2">
      <c r="A508">
        <v>12</v>
      </c>
      <c r="B508">
        <v>24</v>
      </c>
      <c r="C508">
        <v>491484</v>
      </c>
      <c r="D508" s="1">
        <v>34656</v>
      </c>
      <c r="E508" t="s">
        <v>83</v>
      </c>
      <c r="F508" t="s">
        <v>91</v>
      </c>
      <c r="G508">
        <v>1000</v>
      </c>
      <c r="H508">
        <v>1143.95</v>
      </c>
      <c r="I508">
        <v>0</v>
      </c>
      <c r="J508">
        <v>464353</v>
      </c>
      <c r="K508" t="s">
        <v>70</v>
      </c>
      <c r="L508" t="s">
        <v>71</v>
      </c>
      <c r="M508" t="s">
        <v>97</v>
      </c>
      <c r="N508" t="s">
        <v>165</v>
      </c>
      <c r="O508" t="s">
        <v>60</v>
      </c>
      <c r="P508">
        <v>51400</v>
      </c>
      <c r="Q508">
        <v>0</v>
      </c>
      <c r="R508" s="1">
        <v>42039</v>
      </c>
      <c r="S508" t="s">
        <v>75</v>
      </c>
      <c r="T508" t="s">
        <v>76</v>
      </c>
      <c r="U508" t="s">
        <v>63</v>
      </c>
      <c r="V508" t="s">
        <v>49</v>
      </c>
      <c r="W508" t="s">
        <v>77</v>
      </c>
      <c r="X508" t="s">
        <v>65</v>
      </c>
      <c r="Y508" t="s">
        <v>685</v>
      </c>
      <c r="Z508">
        <v>13</v>
      </c>
      <c r="AA508">
        <v>3</v>
      </c>
      <c r="AB508" t="s">
        <v>79</v>
      </c>
      <c r="AC508">
        <v>2</v>
      </c>
      <c r="AD508">
        <v>1</v>
      </c>
      <c r="AE508" t="s">
        <v>62</v>
      </c>
      <c r="AF508">
        <v>53370</v>
      </c>
      <c r="AG508">
        <v>5930</v>
      </c>
      <c r="AH508">
        <v>5930</v>
      </c>
      <c r="AI508">
        <v>41510</v>
      </c>
      <c r="AJ508" t="s">
        <v>104</v>
      </c>
      <c r="AK508" t="s">
        <v>287</v>
      </c>
      <c r="AL508">
        <v>2011</v>
      </c>
      <c r="AM508" t="s">
        <v>82</v>
      </c>
      <c r="AN508" s="2">
        <f t="shared" si="49"/>
        <v>46.613389230970782</v>
      </c>
      <c r="AO508">
        <f t="shared" si="50"/>
        <v>-52226.05</v>
      </c>
      <c r="AP508" s="2">
        <f t="shared" si="51"/>
        <v>2.1433924790616628E-2</v>
      </c>
      <c r="AQ508" s="2">
        <f t="shared" si="55"/>
        <v>4</v>
      </c>
      <c r="AR508">
        <f t="shared" si="52"/>
        <v>12</v>
      </c>
      <c r="AS508" t="str">
        <f t="shared" si="53"/>
        <v>High Claim Ratio</v>
      </c>
      <c r="AT508" t="str">
        <f t="shared" si="54"/>
        <v>High Profit</v>
      </c>
    </row>
    <row r="509" spans="1:46" x14ac:dyDescent="0.2">
      <c r="A509">
        <v>86</v>
      </c>
      <c r="B509">
        <v>29</v>
      </c>
      <c r="C509">
        <v>925128</v>
      </c>
      <c r="D509" s="1">
        <v>41881</v>
      </c>
      <c r="E509" t="s">
        <v>83</v>
      </c>
      <c r="F509" t="s">
        <v>69</v>
      </c>
      <c r="G509">
        <v>2000</v>
      </c>
      <c r="H509">
        <v>1409.06</v>
      </c>
      <c r="I509">
        <v>0</v>
      </c>
      <c r="J509">
        <v>610302</v>
      </c>
      <c r="K509" t="s">
        <v>41</v>
      </c>
      <c r="L509" t="s">
        <v>131</v>
      </c>
      <c r="M509" t="s">
        <v>101</v>
      </c>
      <c r="N509" t="s">
        <v>155</v>
      </c>
      <c r="O509" t="s">
        <v>45</v>
      </c>
      <c r="P509">
        <v>74200</v>
      </c>
      <c r="Q509">
        <v>-68100</v>
      </c>
      <c r="R509" s="1">
        <v>42034</v>
      </c>
      <c r="S509" t="s">
        <v>46</v>
      </c>
      <c r="T509" t="s">
        <v>86</v>
      </c>
      <c r="U509" t="s">
        <v>63</v>
      </c>
      <c r="V509" t="s">
        <v>49</v>
      </c>
      <c r="W509" t="s">
        <v>77</v>
      </c>
      <c r="X509" t="s">
        <v>156</v>
      </c>
      <c r="Y509" t="s">
        <v>686</v>
      </c>
      <c r="Z509">
        <v>0</v>
      </c>
      <c r="AA509">
        <v>1</v>
      </c>
      <c r="AB509" t="s">
        <v>79</v>
      </c>
      <c r="AC509">
        <v>2</v>
      </c>
      <c r="AD509">
        <v>2</v>
      </c>
      <c r="AE509" t="s">
        <v>53</v>
      </c>
      <c r="AF509">
        <v>62920</v>
      </c>
      <c r="AG509">
        <v>9680</v>
      </c>
      <c r="AH509">
        <v>14520</v>
      </c>
      <c r="AI509">
        <v>38720</v>
      </c>
      <c r="AJ509" t="s">
        <v>95</v>
      </c>
      <c r="AK509" t="s">
        <v>148</v>
      </c>
      <c r="AL509">
        <v>2005</v>
      </c>
      <c r="AM509" t="s">
        <v>82</v>
      </c>
      <c r="AN509" s="2">
        <f t="shared" si="49"/>
        <v>44.622214657532304</v>
      </c>
      <c r="AO509">
        <f t="shared" si="50"/>
        <v>-61510.94</v>
      </c>
      <c r="AP509" s="2">
        <f t="shared" si="51"/>
        <v>2.2394113253126936E-2</v>
      </c>
      <c r="AQ509" s="2">
        <f t="shared" si="55"/>
        <v>10</v>
      </c>
      <c r="AR509">
        <f t="shared" si="52"/>
        <v>86</v>
      </c>
      <c r="AS509" t="str">
        <f t="shared" si="53"/>
        <v>High Claim Ratio</v>
      </c>
      <c r="AT509" t="str">
        <f t="shared" si="54"/>
        <v>High Profit</v>
      </c>
    </row>
    <row r="510" spans="1:46" x14ac:dyDescent="0.2">
      <c r="A510">
        <v>83</v>
      </c>
      <c r="B510">
        <v>24</v>
      </c>
      <c r="C510">
        <v>265093</v>
      </c>
      <c r="D510" s="1">
        <v>38718</v>
      </c>
      <c r="E510" t="s">
        <v>57</v>
      </c>
      <c r="F510" t="s">
        <v>91</v>
      </c>
      <c r="G510">
        <v>1000</v>
      </c>
      <c r="H510">
        <v>1070.6300000000001</v>
      </c>
      <c r="I510">
        <v>0</v>
      </c>
      <c r="J510">
        <v>462106</v>
      </c>
      <c r="K510" t="s">
        <v>70</v>
      </c>
      <c r="L510" t="s">
        <v>131</v>
      </c>
      <c r="M510" t="s">
        <v>58</v>
      </c>
      <c r="N510" t="s">
        <v>73</v>
      </c>
      <c r="O510" t="s">
        <v>85</v>
      </c>
      <c r="P510">
        <v>0</v>
      </c>
      <c r="Q510">
        <v>0</v>
      </c>
      <c r="R510" s="1">
        <v>42055</v>
      </c>
      <c r="S510" t="s">
        <v>75</v>
      </c>
      <c r="T510" t="s">
        <v>86</v>
      </c>
      <c r="U510" t="s">
        <v>107</v>
      </c>
      <c r="V510" t="s">
        <v>99</v>
      </c>
      <c r="W510" t="s">
        <v>77</v>
      </c>
      <c r="X510" t="s">
        <v>87</v>
      </c>
      <c r="Y510" t="s">
        <v>687</v>
      </c>
      <c r="Z510">
        <v>0</v>
      </c>
      <c r="AA510">
        <v>3</v>
      </c>
      <c r="AB510" t="s">
        <v>62</v>
      </c>
      <c r="AC510">
        <v>0</v>
      </c>
      <c r="AD510">
        <v>1</v>
      </c>
      <c r="AE510" t="s">
        <v>79</v>
      </c>
      <c r="AF510">
        <v>61600</v>
      </c>
      <c r="AG510">
        <v>6160</v>
      </c>
      <c r="AH510">
        <v>12320</v>
      </c>
      <c r="AI510">
        <v>43120</v>
      </c>
      <c r="AJ510" t="s">
        <v>209</v>
      </c>
      <c r="AK510" t="s">
        <v>225</v>
      </c>
      <c r="AL510">
        <v>2003</v>
      </c>
      <c r="AM510" t="s">
        <v>82</v>
      </c>
      <c r="AN510" s="2">
        <f t="shared" si="49"/>
        <v>57.482526618329082</v>
      </c>
      <c r="AO510">
        <f t="shared" si="50"/>
        <v>-60529.37</v>
      </c>
      <c r="AP510" s="2">
        <f t="shared" si="51"/>
        <v>1.738007499878249E-2</v>
      </c>
      <c r="AQ510" s="2">
        <f t="shared" si="55"/>
        <v>12</v>
      </c>
      <c r="AR510">
        <f t="shared" si="52"/>
        <v>83</v>
      </c>
      <c r="AS510" t="str">
        <f t="shared" si="53"/>
        <v>High Claim Ratio</v>
      </c>
      <c r="AT510" t="str">
        <f t="shared" si="54"/>
        <v>High Profit</v>
      </c>
    </row>
    <row r="511" spans="1:46" x14ac:dyDescent="0.2">
      <c r="A511">
        <v>126</v>
      </c>
      <c r="B511">
        <v>30</v>
      </c>
      <c r="C511">
        <v>267808</v>
      </c>
      <c r="D511" s="1">
        <v>36048</v>
      </c>
      <c r="E511" t="s">
        <v>83</v>
      </c>
      <c r="F511" t="s">
        <v>91</v>
      </c>
      <c r="G511">
        <v>2000</v>
      </c>
      <c r="H511">
        <v>916.13</v>
      </c>
      <c r="I511">
        <v>0</v>
      </c>
      <c r="J511">
        <v>431389</v>
      </c>
      <c r="K511" t="s">
        <v>41</v>
      </c>
      <c r="L511" t="s">
        <v>141</v>
      </c>
      <c r="M511" t="s">
        <v>72</v>
      </c>
      <c r="N511" t="s">
        <v>112</v>
      </c>
      <c r="O511" t="s">
        <v>85</v>
      </c>
      <c r="P511">
        <v>55300</v>
      </c>
      <c r="Q511">
        <v>-58400</v>
      </c>
      <c r="R511" s="1">
        <v>42011</v>
      </c>
      <c r="S511" t="s">
        <v>75</v>
      </c>
      <c r="T511" t="s">
        <v>76</v>
      </c>
      <c r="U511" t="s">
        <v>107</v>
      </c>
      <c r="V511" t="s">
        <v>49</v>
      </c>
      <c r="W511" t="s">
        <v>77</v>
      </c>
      <c r="X511" t="s">
        <v>127</v>
      </c>
      <c r="Y511" t="s">
        <v>688</v>
      </c>
      <c r="Z511">
        <v>16</v>
      </c>
      <c r="AA511">
        <v>3</v>
      </c>
      <c r="AB511" t="s">
        <v>53</v>
      </c>
      <c r="AC511">
        <v>2</v>
      </c>
      <c r="AD511">
        <v>0</v>
      </c>
      <c r="AE511" t="s">
        <v>79</v>
      </c>
      <c r="AF511">
        <v>74160</v>
      </c>
      <c r="AG511">
        <v>6180</v>
      </c>
      <c r="AH511">
        <v>12360</v>
      </c>
      <c r="AI511">
        <v>55620</v>
      </c>
      <c r="AJ511" t="s">
        <v>67</v>
      </c>
      <c r="AK511" t="s">
        <v>68</v>
      </c>
      <c r="AL511">
        <v>2002</v>
      </c>
      <c r="AM511" t="s">
        <v>82</v>
      </c>
      <c r="AN511" s="2">
        <f t="shared" si="49"/>
        <v>80.86094664878479</v>
      </c>
      <c r="AO511">
        <f t="shared" si="50"/>
        <v>-73243.87</v>
      </c>
      <c r="AP511" s="2">
        <f t="shared" si="51"/>
        <v>1.2353258451207508E-2</v>
      </c>
      <c r="AQ511" s="2">
        <f t="shared" si="55"/>
        <v>13</v>
      </c>
      <c r="AR511">
        <f t="shared" si="52"/>
        <v>126</v>
      </c>
      <c r="AS511" t="str">
        <f t="shared" si="53"/>
        <v>High Claim Ratio</v>
      </c>
      <c r="AT511" t="str">
        <f t="shared" si="54"/>
        <v>High Profit</v>
      </c>
    </row>
    <row r="512" spans="1:46" x14ac:dyDescent="0.2">
      <c r="A512">
        <v>209</v>
      </c>
      <c r="B512">
        <v>38</v>
      </c>
      <c r="C512">
        <v>116735</v>
      </c>
      <c r="D512" s="1">
        <v>40206</v>
      </c>
      <c r="E512" t="s">
        <v>39</v>
      </c>
      <c r="F512" t="s">
        <v>40</v>
      </c>
      <c r="G512">
        <v>500</v>
      </c>
      <c r="H512">
        <v>1191.5</v>
      </c>
      <c r="I512">
        <v>0</v>
      </c>
      <c r="J512">
        <v>442866</v>
      </c>
      <c r="K512" t="s">
        <v>41</v>
      </c>
      <c r="L512" t="s">
        <v>131</v>
      </c>
      <c r="M512" t="s">
        <v>117</v>
      </c>
      <c r="N512" t="s">
        <v>59</v>
      </c>
      <c r="O512" t="s">
        <v>45</v>
      </c>
      <c r="P512">
        <v>38600</v>
      </c>
      <c r="Q512">
        <v>-52900</v>
      </c>
      <c r="R512" s="1">
        <v>42035</v>
      </c>
      <c r="S512" t="s">
        <v>46</v>
      </c>
      <c r="T512" t="s">
        <v>76</v>
      </c>
      <c r="U512" t="s">
        <v>107</v>
      </c>
      <c r="V512" t="s">
        <v>49</v>
      </c>
      <c r="W512" t="s">
        <v>113</v>
      </c>
      <c r="X512" t="s">
        <v>87</v>
      </c>
      <c r="Y512" t="s">
        <v>689</v>
      </c>
      <c r="Z512">
        <v>8</v>
      </c>
      <c r="AA512">
        <v>1</v>
      </c>
      <c r="AB512" t="s">
        <v>79</v>
      </c>
      <c r="AC512">
        <v>2</v>
      </c>
      <c r="AD512">
        <v>0</v>
      </c>
      <c r="AE512" t="s">
        <v>62</v>
      </c>
      <c r="AF512">
        <v>80100</v>
      </c>
      <c r="AG512">
        <v>8900</v>
      </c>
      <c r="AH512">
        <v>8900</v>
      </c>
      <c r="AI512">
        <v>62300</v>
      </c>
      <c r="AJ512" t="s">
        <v>109</v>
      </c>
      <c r="AK512" t="s">
        <v>134</v>
      </c>
      <c r="AL512">
        <v>2015</v>
      </c>
      <c r="AM512" t="s">
        <v>82</v>
      </c>
      <c r="AN512" s="2">
        <f t="shared" si="49"/>
        <v>67.169811320754718</v>
      </c>
      <c r="AO512">
        <f t="shared" si="50"/>
        <v>-78908.5</v>
      </c>
      <c r="AP512" s="2">
        <f t="shared" si="51"/>
        <v>1.4874970349933209E-2</v>
      </c>
      <c r="AQ512" s="2">
        <f t="shared" si="55"/>
        <v>0</v>
      </c>
      <c r="AR512">
        <f t="shared" si="52"/>
        <v>209</v>
      </c>
      <c r="AS512" t="str">
        <f t="shared" si="53"/>
        <v>High Claim Ratio</v>
      </c>
      <c r="AT512" t="str">
        <f t="shared" si="54"/>
        <v>High Profit</v>
      </c>
    </row>
    <row r="513" spans="1:46" x14ac:dyDescent="0.2">
      <c r="A513">
        <v>283</v>
      </c>
      <c r="B513">
        <v>48</v>
      </c>
      <c r="C513">
        <v>963680</v>
      </c>
      <c r="D513" s="1">
        <v>37625</v>
      </c>
      <c r="E513" t="s">
        <v>39</v>
      </c>
      <c r="F513" t="s">
        <v>91</v>
      </c>
      <c r="G513">
        <v>1000</v>
      </c>
      <c r="H513">
        <v>1474.66</v>
      </c>
      <c r="I513">
        <v>0</v>
      </c>
      <c r="J513">
        <v>446755</v>
      </c>
      <c r="K513" t="s">
        <v>70</v>
      </c>
      <c r="L513" t="s">
        <v>161</v>
      </c>
      <c r="M513" t="s">
        <v>72</v>
      </c>
      <c r="N513" t="s">
        <v>165</v>
      </c>
      <c r="O513" t="s">
        <v>45</v>
      </c>
      <c r="P513">
        <v>0</v>
      </c>
      <c r="Q513">
        <v>-46200</v>
      </c>
      <c r="R513" s="1">
        <v>42052</v>
      </c>
      <c r="S513" t="s">
        <v>138</v>
      </c>
      <c r="T513" t="s">
        <v>62</v>
      </c>
      <c r="U513" t="s">
        <v>212</v>
      </c>
      <c r="V513" t="s">
        <v>49</v>
      </c>
      <c r="W513" t="s">
        <v>77</v>
      </c>
      <c r="X513" t="s">
        <v>122</v>
      </c>
      <c r="Y513" t="s">
        <v>690</v>
      </c>
      <c r="Z513">
        <v>9</v>
      </c>
      <c r="AA513">
        <v>1</v>
      </c>
      <c r="AB513" t="s">
        <v>62</v>
      </c>
      <c r="AC513">
        <v>2</v>
      </c>
      <c r="AD513">
        <v>3</v>
      </c>
      <c r="AE513" t="s">
        <v>79</v>
      </c>
      <c r="AF513">
        <v>6560</v>
      </c>
      <c r="AG513">
        <v>820</v>
      </c>
      <c r="AH513">
        <v>820</v>
      </c>
      <c r="AI513">
        <v>4920</v>
      </c>
      <c r="AJ513" t="s">
        <v>214</v>
      </c>
      <c r="AK513" t="s">
        <v>258</v>
      </c>
      <c r="AL513">
        <v>2003</v>
      </c>
      <c r="AM513" t="s">
        <v>82</v>
      </c>
      <c r="AN513" s="2">
        <f t="shared" si="49"/>
        <v>4.445468468346367</v>
      </c>
      <c r="AO513">
        <f t="shared" si="50"/>
        <v>-5085.34</v>
      </c>
      <c r="AP513" s="2">
        <f t="shared" si="51"/>
        <v>0.22476146928821827</v>
      </c>
      <c r="AQ513" s="2">
        <f t="shared" si="55"/>
        <v>12</v>
      </c>
      <c r="AR513">
        <f t="shared" si="52"/>
        <v>283</v>
      </c>
      <c r="AS513" t="str">
        <f t="shared" si="53"/>
        <v>Low Claim Ratio</v>
      </c>
      <c r="AT513" t="str">
        <f t="shared" si="54"/>
        <v>High Profit</v>
      </c>
    </row>
    <row r="514" spans="1:46" x14ac:dyDescent="0.2">
      <c r="A514">
        <v>194</v>
      </c>
      <c r="B514">
        <v>34</v>
      </c>
      <c r="C514">
        <v>445694</v>
      </c>
      <c r="D514" s="1">
        <v>38131</v>
      </c>
      <c r="E514" t="s">
        <v>83</v>
      </c>
      <c r="F514" t="s">
        <v>40</v>
      </c>
      <c r="G514">
        <v>1000</v>
      </c>
      <c r="H514">
        <v>1193.45</v>
      </c>
      <c r="I514">
        <v>0</v>
      </c>
      <c r="J514">
        <v>464743</v>
      </c>
      <c r="K514" t="s">
        <v>41</v>
      </c>
      <c r="L514" t="s">
        <v>161</v>
      </c>
      <c r="M514" t="s">
        <v>111</v>
      </c>
      <c r="N514" t="s">
        <v>149</v>
      </c>
      <c r="O514" t="s">
        <v>142</v>
      </c>
      <c r="P514">
        <v>0</v>
      </c>
      <c r="Q514">
        <v>0</v>
      </c>
      <c r="R514" s="1">
        <v>42028</v>
      </c>
      <c r="S514" t="s">
        <v>46</v>
      </c>
      <c r="T514" t="s">
        <v>76</v>
      </c>
      <c r="U514" t="s">
        <v>107</v>
      </c>
      <c r="V514" t="s">
        <v>136</v>
      </c>
      <c r="W514" t="s">
        <v>113</v>
      </c>
      <c r="X514" t="s">
        <v>127</v>
      </c>
      <c r="Y514" t="s">
        <v>691</v>
      </c>
      <c r="Z514">
        <v>11</v>
      </c>
      <c r="AA514">
        <v>1</v>
      </c>
      <c r="AB514" t="s">
        <v>62</v>
      </c>
      <c r="AC514">
        <v>2</v>
      </c>
      <c r="AD514">
        <v>1</v>
      </c>
      <c r="AE514" t="s">
        <v>53</v>
      </c>
      <c r="AF514">
        <v>58800</v>
      </c>
      <c r="AG514">
        <v>11760</v>
      </c>
      <c r="AH514">
        <v>5880</v>
      </c>
      <c r="AI514">
        <v>41160</v>
      </c>
      <c r="AJ514" t="s">
        <v>104</v>
      </c>
      <c r="AK514" t="s">
        <v>105</v>
      </c>
      <c r="AL514">
        <v>1997</v>
      </c>
      <c r="AM514" t="s">
        <v>82</v>
      </c>
      <c r="AN514" s="2">
        <f t="shared" si="49"/>
        <v>49.227678010799949</v>
      </c>
      <c r="AO514">
        <f t="shared" si="50"/>
        <v>-57606.55</v>
      </c>
      <c r="AP514" s="2">
        <f t="shared" si="51"/>
        <v>2.0296423530212073E-2</v>
      </c>
      <c r="AQ514" s="2">
        <f t="shared" si="55"/>
        <v>18</v>
      </c>
      <c r="AR514">
        <f t="shared" si="52"/>
        <v>194</v>
      </c>
      <c r="AS514" t="str">
        <f t="shared" si="53"/>
        <v>High Claim Ratio</v>
      </c>
      <c r="AT514" t="str">
        <f t="shared" si="54"/>
        <v>High Profit</v>
      </c>
    </row>
    <row r="515" spans="1:46" x14ac:dyDescent="0.2">
      <c r="A515">
        <v>184</v>
      </c>
      <c r="B515">
        <v>38</v>
      </c>
      <c r="C515">
        <v>215534</v>
      </c>
      <c r="D515" s="1">
        <v>34589</v>
      </c>
      <c r="E515" t="s">
        <v>83</v>
      </c>
      <c r="F515" t="s">
        <v>40</v>
      </c>
      <c r="G515">
        <v>1000</v>
      </c>
      <c r="H515">
        <v>1437.53</v>
      </c>
      <c r="I515">
        <v>0</v>
      </c>
      <c r="J515">
        <v>437889</v>
      </c>
      <c r="K515" t="s">
        <v>70</v>
      </c>
      <c r="L515" t="s">
        <v>141</v>
      </c>
      <c r="M515" t="s">
        <v>145</v>
      </c>
      <c r="N515" t="s">
        <v>168</v>
      </c>
      <c r="O515" t="s">
        <v>142</v>
      </c>
      <c r="P515">
        <v>0</v>
      </c>
      <c r="Q515">
        <v>0</v>
      </c>
      <c r="R515" s="1">
        <v>42037</v>
      </c>
      <c r="S515" t="s">
        <v>75</v>
      </c>
      <c r="T515" t="s">
        <v>47</v>
      </c>
      <c r="U515" t="s">
        <v>63</v>
      </c>
      <c r="V515" t="s">
        <v>136</v>
      </c>
      <c r="W515" t="s">
        <v>175</v>
      </c>
      <c r="X515" t="s">
        <v>156</v>
      </c>
      <c r="Y515" t="s">
        <v>692</v>
      </c>
      <c r="Z515">
        <v>6</v>
      </c>
      <c r="AA515">
        <v>3</v>
      </c>
      <c r="AB515" t="s">
        <v>62</v>
      </c>
      <c r="AC515">
        <v>0</v>
      </c>
      <c r="AD515">
        <v>2</v>
      </c>
      <c r="AE515" t="s">
        <v>79</v>
      </c>
      <c r="AF515">
        <v>53730</v>
      </c>
      <c r="AG515">
        <v>11940</v>
      </c>
      <c r="AH515">
        <v>5970</v>
      </c>
      <c r="AI515">
        <v>35820</v>
      </c>
      <c r="AJ515" t="s">
        <v>80</v>
      </c>
      <c r="AK515" t="s">
        <v>81</v>
      </c>
      <c r="AL515">
        <v>2013</v>
      </c>
      <c r="AM515" t="s">
        <v>56</v>
      </c>
      <c r="AN515" s="2">
        <f t="shared" ref="AN515:AN578" si="56">AF515/(H515+1)</f>
        <v>37.35062876686618</v>
      </c>
      <c r="AO515">
        <f t="shared" ref="AO515:AO578" si="57">H515-AF515</f>
        <v>-52292.47</v>
      </c>
      <c r="AP515" s="2">
        <f t="shared" ref="AP515:AP578" si="58">H515/(AF515+1)</f>
        <v>2.6754201485176154E-2</v>
      </c>
      <c r="AQ515" s="2">
        <f t="shared" si="55"/>
        <v>2</v>
      </c>
      <c r="AR515">
        <f t="shared" ref="AR515:AR578" si="59">A515</f>
        <v>184</v>
      </c>
      <c r="AS515" t="str">
        <f t="shared" ref="AS515:AS578" si="60">IF(AN515&lt;5,"Low Claim Ratio",
 IF(AN515&lt;20,"Medium Claim Ratio",
 "High Claim Ratio"))</f>
        <v>High Claim Ratio</v>
      </c>
      <c r="AT515" t="str">
        <f t="shared" ref="AT515:AT578" si="61">IF(-AO515&lt;0,"Loss Making",
 IF(-AO515&lt;5000,"Low Profit",
 "High Profit"))</f>
        <v>High Profit</v>
      </c>
    </row>
    <row r="516" spans="1:46" x14ac:dyDescent="0.2">
      <c r="A516">
        <v>479</v>
      </c>
      <c r="B516">
        <v>60</v>
      </c>
      <c r="C516">
        <v>232854</v>
      </c>
      <c r="D516" s="1">
        <v>35618</v>
      </c>
      <c r="E516" t="s">
        <v>83</v>
      </c>
      <c r="F516" t="s">
        <v>69</v>
      </c>
      <c r="G516">
        <v>2000</v>
      </c>
      <c r="H516">
        <v>1304.83</v>
      </c>
      <c r="I516">
        <v>0</v>
      </c>
      <c r="J516">
        <v>473638</v>
      </c>
      <c r="K516" t="s">
        <v>70</v>
      </c>
      <c r="L516" t="s">
        <v>141</v>
      </c>
      <c r="M516" t="s">
        <v>111</v>
      </c>
      <c r="N516" t="s">
        <v>242</v>
      </c>
      <c r="O516" t="s">
        <v>45</v>
      </c>
      <c r="P516">
        <v>0</v>
      </c>
      <c r="Q516">
        <v>0</v>
      </c>
      <c r="R516" s="1">
        <v>42013</v>
      </c>
      <c r="S516" t="s">
        <v>46</v>
      </c>
      <c r="T516" t="s">
        <v>76</v>
      </c>
      <c r="U516" t="s">
        <v>107</v>
      </c>
      <c r="V516" t="s">
        <v>136</v>
      </c>
      <c r="W516" t="s">
        <v>77</v>
      </c>
      <c r="X516" t="s">
        <v>87</v>
      </c>
      <c r="Y516" t="s">
        <v>693</v>
      </c>
      <c r="Z516">
        <v>18</v>
      </c>
      <c r="AA516">
        <v>1</v>
      </c>
      <c r="AB516" t="s">
        <v>79</v>
      </c>
      <c r="AC516">
        <v>0</v>
      </c>
      <c r="AD516">
        <v>0</v>
      </c>
      <c r="AE516" t="s">
        <v>79</v>
      </c>
      <c r="AF516">
        <v>60600</v>
      </c>
      <c r="AG516">
        <v>5050</v>
      </c>
      <c r="AH516">
        <v>10100</v>
      </c>
      <c r="AI516">
        <v>45450</v>
      </c>
      <c r="AJ516" t="s">
        <v>209</v>
      </c>
      <c r="AK516" t="s">
        <v>210</v>
      </c>
      <c r="AL516">
        <v>2001</v>
      </c>
      <c r="AM516" t="s">
        <v>82</v>
      </c>
      <c r="AN516" s="2">
        <f t="shared" si="56"/>
        <v>46.407265876875243</v>
      </c>
      <c r="AO516">
        <f t="shared" si="57"/>
        <v>-59295.17</v>
      </c>
      <c r="AP516" s="2">
        <f t="shared" si="58"/>
        <v>2.1531492879655448E-2</v>
      </c>
      <c r="AQ516" s="2">
        <f t="shared" ref="AQ516:AQ579" si="62">YEAR(R516)-(AL516)</f>
        <v>14</v>
      </c>
      <c r="AR516">
        <f t="shared" si="59"/>
        <v>479</v>
      </c>
      <c r="AS516" t="str">
        <f t="shared" si="60"/>
        <v>High Claim Ratio</v>
      </c>
      <c r="AT516" t="str">
        <f t="shared" si="61"/>
        <v>High Profit</v>
      </c>
    </row>
    <row r="517" spans="1:46" x14ac:dyDescent="0.2">
      <c r="A517">
        <v>284</v>
      </c>
      <c r="B517">
        <v>48</v>
      </c>
      <c r="C517">
        <v>168260</v>
      </c>
      <c r="D517" s="1">
        <v>33298</v>
      </c>
      <c r="E517" t="s">
        <v>39</v>
      </c>
      <c r="F517" t="s">
        <v>40</v>
      </c>
      <c r="G517">
        <v>1000</v>
      </c>
      <c r="H517">
        <v>1168.8</v>
      </c>
      <c r="I517">
        <v>0</v>
      </c>
      <c r="J517">
        <v>444232</v>
      </c>
      <c r="K517" t="s">
        <v>70</v>
      </c>
      <c r="L517" t="s">
        <v>161</v>
      </c>
      <c r="M517" t="s">
        <v>97</v>
      </c>
      <c r="N517" t="s">
        <v>146</v>
      </c>
      <c r="O517" t="s">
        <v>60</v>
      </c>
      <c r="P517">
        <v>0</v>
      </c>
      <c r="Q517">
        <v>-42400</v>
      </c>
      <c r="R517" s="1">
        <v>42063</v>
      </c>
      <c r="S517" t="s">
        <v>46</v>
      </c>
      <c r="T517" t="s">
        <v>47</v>
      </c>
      <c r="U517" t="s">
        <v>107</v>
      </c>
      <c r="V517" t="s">
        <v>120</v>
      </c>
      <c r="W517" t="s">
        <v>77</v>
      </c>
      <c r="X517" t="s">
        <v>156</v>
      </c>
      <c r="Y517" t="s">
        <v>694</v>
      </c>
      <c r="Z517">
        <v>11</v>
      </c>
      <c r="AA517">
        <v>1</v>
      </c>
      <c r="AB517" t="s">
        <v>62</v>
      </c>
      <c r="AC517">
        <v>0</v>
      </c>
      <c r="AD517">
        <v>3</v>
      </c>
      <c r="AE517" t="s">
        <v>53</v>
      </c>
      <c r="AF517">
        <v>35750</v>
      </c>
      <c r="AG517">
        <v>6500</v>
      </c>
      <c r="AH517">
        <v>3250</v>
      </c>
      <c r="AI517">
        <v>26000</v>
      </c>
      <c r="AJ517" t="s">
        <v>67</v>
      </c>
      <c r="AK517" t="s">
        <v>68</v>
      </c>
      <c r="AL517">
        <v>2001</v>
      </c>
      <c r="AM517" t="s">
        <v>82</v>
      </c>
      <c r="AN517" s="2">
        <f t="shared" si="56"/>
        <v>30.560779620447942</v>
      </c>
      <c r="AO517">
        <f t="shared" si="57"/>
        <v>-34581.199999999997</v>
      </c>
      <c r="AP517" s="2">
        <f t="shared" si="58"/>
        <v>3.26927918100193E-2</v>
      </c>
      <c r="AQ517" s="2">
        <f t="shared" si="62"/>
        <v>14</v>
      </c>
      <c r="AR517">
        <f t="shared" si="59"/>
        <v>284</v>
      </c>
      <c r="AS517" t="str">
        <f t="shared" si="60"/>
        <v>High Claim Ratio</v>
      </c>
      <c r="AT517" t="str">
        <f t="shared" si="61"/>
        <v>High Profit</v>
      </c>
    </row>
    <row r="518" spans="1:46" x14ac:dyDescent="0.2">
      <c r="A518">
        <v>65</v>
      </c>
      <c r="B518">
        <v>27</v>
      </c>
      <c r="C518">
        <v>538955</v>
      </c>
      <c r="D518" s="1">
        <v>37163</v>
      </c>
      <c r="E518" t="s">
        <v>57</v>
      </c>
      <c r="F518" t="s">
        <v>69</v>
      </c>
      <c r="G518">
        <v>1000</v>
      </c>
      <c r="H518">
        <v>1164.97</v>
      </c>
      <c r="I518">
        <v>0</v>
      </c>
      <c r="J518">
        <v>477695</v>
      </c>
      <c r="K518" t="s">
        <v>70</v>
      </c>
      <c r="L518" t="s">
        <v>141</v>
      </c>
      <c r="M518" t="s">
        <v>185</v>
      </c>
      <c r="N518" t="s">
        <v>264</v>
      </c>
      <c r="O518" t="s">
        <v>119</v>
      </c>
      <c r="P518">
        <v>43000</v>
      </c>
      <c r="Q518">
        <v>-42500</v>
      </c>
      <c r="R518" s="1">
        <v>42021</v>
      </c>
      <c r="S518" t="s">
        <v>46</v>
      </c>
      <c r="T518" t="s">
        <v>86</v>
      </c>
      <c r="U518" t="s">
        <v>107</v>
      </c>
      <c r="V518" t="s">
        <v>136</v>
      </c>
      <c r="W518" t="s">
        <v>113</v>
      </c>
      <c r="X518" t="s">
        <v>87</v>
      </c>
      <c r="Y518" t="s">
        <v>695</v>
      </c>
      <c r="Z518">
        <v>17</v>
      </c>
      <c r="AA518">
        <v>1</v>
      </c>
      <c r="AB518" t="s">
        <v>62</v>
      </c>
      <c r="AC518">
        <v>1</v>
      </c>
      <c r="AD518">
        <v>2</v>
      </c>
      <c r="AE518" t="s">
        <v>53</v>
      </c>
      <c r="AF518">
        <v>42840</v>
      </c>
      <c r="AG518">
        <v>3570</v>
      </c>
      <c r="AH518">
        <v>7140</v>
      </c>
      <c r="AI518">
        <v>32130</v>
      </c>
      <c r="AJ518" t="s">
        <v>89</v>
      </c>
      <c r="AK518" t="s">
        <v>223</v>
      </c>
      <c r="AL518">
        <v>2004</v>
      </c>
      <c r="AM518" t="s">
        <v>82</v>
      </c>
      <c r="AN518" s="2">
        <f t="shared" si="56"/>
        <v>36.741940187140322</v>
      </c>
      <c r="AO518">
        <f t="shared" si="57"/>
        <v>-41675.03</v>
      </c>
      <c r="AP518" s="2">
        <f t="shared" si="58"/>
        <v>2.719287598328704E-2</v>
      </c>
      <c r="AQ518" s="2">
        <f t="shared" si="62"/>
        <v>11</v>
      </c>
      <c r="AR518">
        <f t="shared" si="59"/>
        <v>65</v>
      </c>
      <c r="AS518" t="str">
        <f t="shared" si="60"/>
        <v>High Claim Ratio</v>
      </c>
      <c r="AT518" t="str">
        <f t="shared" si="61"/>
        <v>High Profit</v>
      </c>
    </row>
    <row r="519" spans="1:46" x14ac:dyDescent="0.2">
      <c r="A519">
        <v>222</v>
      </c>
      <c r="B519">
        <v>39</v>
      </c>
      <c r="C519">
        <v>243226</v>
      </c>
      <c r="D519" s="1">
        <v>40918</v>
      </c>
      <c r="E519" t="s">
        <v>83</v>
      </c>
      <c r="F519" t="s">
        <v>40</v>
      </c>
      <c r="G519">
        <v>1000</v>
      </c>
      <c r="H519">
        <v>1232.72</v>
      </c>
      <c r="I519">
        <v>0</v>
      </c>
      <c r="J519">
        <v>458237</v>
      </c>
      <c r="K519" t="s">
        <v>41</v>
      </c>
      <c r="L519" t="s">
        <v>131</v>
      </c>
      <c r="M519" t="s">
        <v>84</v>
      </c>
      <c r="N519" t="s">
        <v>149</v>
      </c>
      <c r="O519" t="s">
        <v>74</v>
      </c>
      <c r="P519">
        <v>87800</v>
      </c>
      <c r="Q519">
        <v>-51200</v>
      </c>
      <c r="R519" s="1">
        <v>42044</v>
      </c>
      <c r="S519" t="s">
        <v>75</v>
      </c>
      <c r="T519" t="s">
        <v>86</v>
      </c>
      <c r="U519" t="s">
        <v>48</v>
      </c>
      <c r="V519" t="s">
        <v>99</v>
      </c>
      <c r="W519" t="s">
        <v>50</v>
      </c>
      <c r="X519" t="s">
        <v>102</v>
      </c>
      <c r="Y519" t="s">
        <v>696</v>
      </c>
      <c r="Z519">
        <v>21</v>
      </c>
      <c r="AA519">
        <v>3</v>
      </c>
      <c r="AB519" t="s">
        <v>62</v>
      </c>
      <c r="AC519">
        <v>1</v>
      </c>
      <c r="AD519">
        <v>0</v>
      </c>
      <c r="AE519" t="s">
        <v>79</v>
      </c>
      <c r="AF519">
        <v>87960</v>
      </c>
      <c r="AG519">
        <v>14660</v>
      </c>
      <c r="AH519">
        <v>14660</v>
      </c>
      <c r="AI519">
        <v>58640</v>
      </c>
      <c r="AJ519" t="s">
        <v>197</v>
      </c>
      <c r="AK519" t="s">
        <v>198</v>
      </c>
      <c r="AL519">
        <v>1999</v>
      </c>
      <c r="AM519" t="s">
        <v>56</v>
      </c>
      <c r="AN519" s="2">
        <f t="shared" si="56"/>
        <v>71.296566481859742</v>
      </c>
      <c r="AO519">
        <f t="shared" si="57"/>
        <v>-86727.28</v>
      </c>
      <c r="AP519" s="2">
        <f t="shared" si="58"/>
        <v>1.4014392742238037E-2</v>
      </c>
      <c r="AQ519" s="2">
        <f t="shared" si="62"/>
        <v>16</v>
      </c>
      <c r="AR519">
        <f t="shared" si="59"/>
        <v>222</v>
      </c>
      <c r="AS519" t="str">
        <f t="shared" si="60"/>
        <v>High Claim Ratio</v>
      </c>
      <c r="AT519" t="str">
        <f t="shared" si="61"/>
        <v>High Profit</v>
      </c>
    </row>
    <row r="520" spans="1:46" x14ac:dyDescent="0.2">
      <c r="A520">
        <v>196</v>
      </c>
      <c r="B520">
        <v>41</v>
      </c>
      <c r="C520">
        <v>246435</v>
      </c>
      <c r="D520" s="1">
        <v>37077</v>
      </c>
      <c r="E520" t="s">
        <v>83</v>
      </c>
      <c r="F520" t="s">
        <v>40</v>
      </c>
      <c r="G520">
        <v>2000</v>
      </c>
      <c r="H520">
        <v>1800.76</v>
      </c>
      <c r="I520">
        <v>0</v>
      </c>
      <c r="J520">
        <v>441499</v>
      </c>
      <c r="K520" t="s">
        <v>41</v>
      </c>
      <c r="L520" t="s">
        <v>161</v>
      </c>
      <c r="M520" t="s">
        <v>135</v>
      </c>
      <c r="N520" t="s">
        <v>118</v>
      </c>
      <c r="O520" t="s">
        <v>60</v>
      </c>
      <c r="P520">
        <v>0</v>
      </c>
      <c r="Q520">
        <v>-78600</v>
      </c>
      <c r="R520" s="1">
        <v>42018</v>
      </c>
      <c r="S520" t="s">
        <v>75</v>
      </c>
      <c r="T520" t="s">
        <v>76</v>
      </c>
      <c r="U520" t="s">
        <v>63</v>
      </c>
      <c r="V520" t="s">
        <v>136</v>
      </c>
      <c r="W520" t="s">
        <v>50</v>
      </c>
      <c r="X520" t="s">
        <v>122</v>
      </c>
      <c r="Y520" t="s">
        <v>697</v>
      </c>
      <c r="Z520">
        <v>0</v>
      </c>
      <c r="AA520">
        <v>3</v>
      </c>
      <c r="AB520" t="s">
        <v>79</v>
      </c>
      <c r="AC520">
        <v>1</v>
      </c>
      <c r="AD520">
        <v>0</v>
      </c>
      <c r="AE520" t="s">
        <v>79</v>
      </c>
      <c r="AF520">
        <v>47800</v>
      </c>
      <c r="AG520">
        <v>4780</v>
      </c>
      <c r="AH520">
        <v>4780</v>
      </c>
      <c r="AI520">
        <v>38240</v>
      </c>
      <c r="AJ520" t="s">
        <v>197</v>
      </c>
      <c r="AK520" t="s">
        <v>375</v>
      </c>
      <c r="AL520">
        <v>2009</v>
      </c>
      <c r="AM520" t="s">
        <v>82</v>
      </c>
      <c r="AN520" s="2">
        <f t="shared" si="56"/>
        <v>26.529615487079301</v>
      </c>
      <c r="AO520">
        <f t="shared" si="57"/>
        <v>-45999.24</v>
      </c>
      <c r="AP520" s="2">
        <f t="shared" si="58"/>
        <v>3.7672015229806906E-2</v>
      </c>
      <c r="AQ520" s="2">
        <f t="shared" si="62"/>
        <v>6</v>
      </c>
      <c r="AR520">
        <f t="shared" si="59"/>
        <v>196</v>
      </c>
      <c r="AS520" t="str">
        <f t="shared" si="60"/>
        <v>High Claim Ratio</v>
      </c>
      <c r="AT520" t="str">
        <f t="shared" si="61"/>
        <v>High Profit</v>
      </c>
    </row>
    <row r="521" spans="1:46" x14ac:dyDescent="0.2">
      <c r="A521">
        <v>253</v>
      </c>
      <c r="B521">
        <v>43</v>
      </c>
      <c r="C521">
        <v>582480</v>
      </c>
      <c r="D521" s="1">
        <v>33457</v>
      </c>
      <c r="E521" t="s">
        <v>83</v>
      </c>
      <c r="F521" t="s">
        <v>91</v>
      </c>
      <c r="G521">
        <v>500</v>
      </c>
      <c r="H521">
        <v>1187.01</v>
      </c>
      <c r="I521">
        <v>7000000</v>
      </c>
      <c r="J521">
        <v>613436</v>
      </c>
      <c r="K521" t="s">
        <v>70</v>
      </c>
      <c r="L521" t="s">
        <v>92</v>
      </c>
      <c r="M521" t="s">
        <v>97</v>
      </c>
      <c r="N521" t="s">
        <v>264</v>
      </c>
      <c r="O521" t="s">
        <v>85</v>
      </c>
      <c r="P521">
        <v>46300</v>
      </c>
      <c r="Q521">
        <v>-33000</v>
      </c>
      <c r="R521" s="1">
        <v>42037</v>
      </c>
      <c r="S521" t="s">
        <v>61</v>
      </c>
      <c r="T521" t="s">
        <v>62</v>
      </c>
      <c r="U521" t="s">
        <v>212</v>
      </c>
      <c r="V521" t="s">
        <v>49</v>
      </c>
      <c r="W521" t="s">
        <v>77</v>
      </c>
      <c r="X521" t="s">
        <v>156</v>
      </c>
      <c r="Y521" t="s">
        <v>698</v>
      </c>
      <c r="Z521">
        <v>9</v>
      </c>
      <c r="AA521">
        <v>1</v>
      </c>
      <c r="AB521" t="s">
        <v>79</v>
      </c>
      <c r="AC521">
        <v>0</v>
      </c>
      <c r="AD521">
        <v>1</v>
      </c>
      <c r="AE521" t="s">
        <v>62</v>
      </c>
      <c r="AF521">
        <v>3840</v>
      </c>
      <c r="AG521">
        <v>640</v>
      </c>
      <c r="AH521">
        <v>640</v>
      </c>
      <c r="AI521">
        <v>2560</v>
      </c>
      <c r="AJ521" t="s">
        <v>89</v>
      </c>
      <c r="AK521" t="s">
        <v>90</v>
      </c>
      <c r="AL521">
        <v>2014</v>
      </c>
      <c r="AM521" t="s">
        <v>82</v>
      </c>
      <c r="AN521" s="2">
        <f t="shared" si="56"/>
        <v>3.2322960244442389</v>
      </c>
      <c r="AO521">
        <f t="shared" si="57"/>
        <v>-2652.99</v>
      </c>
      <c r="AP521" s="2">
        <f t="shared" si="58"/>
        <v>0.30903670919031501</v>
      </c>
      <c r="AQ521" s="2">
        <f t="shared" si="62"/>
        <v>1</v>
      </c>
      <c r="AR521">
        <f t="shared" si="59"/>
        <v>253</v>
      </c>
      <c r="AS521" t="str">
        <f t="shared" si="60"/>
        <v>Low Claim Ratio</v>
      </c>
      <c r="AT521" t="str">
        <f t="shared" si="61"/>
        <v>Low Profit</v>
      </c>
    </row>
    <row r="522" spans="1:46" x14ac:dyDescent="0.2">
      <c r="A522">
        <v>280</v>
      </c>
      <c r="B522">
        <v>43</v>
      </c>
      <c r="C522">
        <v>345539</v>
      </c>
      <c r="D522" s="1">
        <v>41114</v>
      </c>
      <c r="E522" t="s">
        <v>57</v>
      </c>
      <c r="F522" t="s">
        <v>69</v>
      </c>
      <c r="G522">
        <v>1000</v>
      </c>
      <c r="H522">
        <v>1559.34</v>
      </c>
      <c r="I522">
        <v>0</v>
      </c>
      <c r="J522">
        <v>448912</v>
      </c>
      <c r="K522" t="s">
        <v>41</v>
      </c>
      <c r="L522" t="s">
        <v>161</v>
      </c>
      <c r="M522" t="s">
        <v>145</v>
      </c>
      <c r="N522" t="s">
        <v>149</v>
      </c>
      <c r="O522" t="s">
        <v>74</v>
      </c>
      <c r="P522">
        <v>0</v>
      </c>
      <c r="Q522">
        <v>-51600</v>
      </c>
      <c r="R522" s="1">
        <v>42052</v>
      </c>
      <c r="S522" t="s">
        <v>46</v>
      </c>
      <c r="T522" t="s">
        <v>86</v>
      </c>
      <c r="U522" t="s">
        <v>107</v>
      </c>
      <c r="V522" t="s">
        <v>99</v>
      </c>
      <c r="W522" t="s">
        <v>77</v>
      </c>
      <c r="X522" t="s">
        <v>65</v>
      </c>
      <c r="Y522" t="s">
        <v>699</v>
      </c>
      <c r="Z522">
        <v>1</v>
      </c>
      <c r="AA522">
        <v>1</v>
      </c>
      <c r="AB522" t="s">
        <v>79</v>
      </c>
      <c r="AC522">
        <v>0</v>
      </c>
      <c r="AD522">
        <v>2</v>
      </c>
      <c r="AE522" t="s">
        <v>62</v>
      </c>
      <c r="AF522">
        <v>77000</v>
      </c>
      <c r="AG522">
        <v>14000</v>
      </c>
      <c r="AH522">
        <v>7000</v>
      </c>
      <c r="AI522">
        <v>56000</v>
      </c>
      <c r="AJ522" t="s">
        <v>95</v>
      </c>
      <c r="AK522" t="s">
        <v>96</v>
      </c>
      <c r="AL522">
        <v>2004</v>
      </c>
      <c r="AM522" t="s">
        <v>82</v>
      </c>
      <c r="AN522" s="2">
        <f t="shared" si="56"/>
        <v>49.348218977915074</v>
      </c>
      <c r="AO522">
        <f t="shared" si="57"/>
        <v>-75440.66</v>
      </c>
      <c r="AP522" s="2">
        <f t="shared" si="58"/>
        <v>2.0250905832391787E-2</v>
      </c>
      <c r="AQ522" s="2">
        <f t="shared" si="62"/>
        <v>11</v>
      </c>
      <c r="AR522">
        <f t="shared" si="59"/>
        <v>280</v>
      </c>
      <c r="AS522" t="str">
        <f t="shared" si="60"/>
        <v>High Claim Ratio</v>
      </c>
      <c r="AT522" t="str">
        <f t="shared" si="61"/>
        <v>High Profit</v>
      </c>
    </row>
    <row r="523" spans="1:46" x14ac:dyDescent="0.2">
      <c r="A523">
        <v>5</v>
      </c>
      <c r="B523">
        <v>26</v>
      </c>
      <c r="C523">
        <v>924318</v>
      </c>
      <c r="D523" s="1">
        <v>41847</v>
      </c>
      <c r="E523" t="s">
        <v>83</v>
      </c>
      <c r="F523" t="s">
        <v>40</v>
      </c>
      <c r="G523">
        <v>2000</v>
      </c>
      <c r="H523">
        <v>1137.02</v>
      </c>
      <c r="I523">
        <v>0</v>
      </c>
      <c r="J523">
        <v>468872</v>
      </c>
      <c r="K523" t="s">
        <v>70</v>
      </c>
      <c r="L523" t="s">
        <v>71</v>
      </c>
      <c r="M523" t="s">
        <v>189</v>
      </c>
      <c r="N523" t="s">
        <v>132</v>
      </c>
      <c r="O523" t="s">
        <v>142</v>
      </c>
      <c r="P523">
        <v>31500</v>
      </c>
      <c r="Q523">
        <v>0</v>
      </c>
      <c r="R523" s="1">
        <v>42029</v>
      </c>
      <c r="S523" t="s">
        <v>46</v>
      </c>
      <c r="T523" t="s">
        <v>76</v>
      </c>
      <c r="U523" t="s">
        <v>107</v>
      </c>
      <c r="V523" t="s">
        <v>136</v>
      </c>
      <c r="W523" t="s">
        <v>113</v>
      </c>
      <c r="X523" t="s">
        <v>102</v>
      </c>
      <c r="Y523" t="s">
        <v>700</v>
      </c>
      <c r="Z523">
        <v>22</v>
      </c>
      <c r="AA523">
        <v>1</v>
      </c>
      <c r="AB523" t="s">
        <v>53</v>
      </c>
      <c r="AC523">
        <v>1</v>
      </c>
      <c r="AD523">
        <v>3</v>
      </c>
      <c r="AE523" t="s">
        <v>62</v>
      </c>
      <c r="AF523">
        <v>88110</v>
      </c>
      <c r="AG523">
        <v>16020</v>
      </c>
      <c r="AH523">
        <v>16020</v>
      </c>
      <c r="AI523">
        <v>56070</v>
      </c>
      <c r="AJ523" t="s">
        <v>109</v>
      </c>
      <c r="AK523" t="s">
        <v>110</v>
      </c>
      <c r="AL523">
        <v>2003</v>
      </c>
      <c r="AM523" t="s">
        <v>82</v>
      </c>
      <c r="AN523" s="2">
        <f t="shared" si="56"/>
        <v>77.423946855064059</v>
      </c>
      <c r="AO523">
        <f t="shared" si="57"/>
        <v>-86972.98</v>
      </c>
      <c r="AP523" s="2">
        <f t="shared" si="58"/>
        <v>1.2904404671380418E-2</v>
      </c>
      <c r="AQ523" s="2">
        <f t="shared" si="62"/>
        <v>12</v>
      </c>
      <c r="AR523">
        <f t="shared" si="59"/>
        <v>5</v>
      </c>
      <c r="AS523" t="str">
        <f t="shared" si="60"/>
        <v>High Claim Ratio</v>
      </c>
      <c r="AT523" t="str">
        <f t="shared" si="61"/>
        <v>High Profit</v>
      </c>
    </row>
    <row r="524" spans="1:46" x14ac:dyDescent="0.2">
      <c r="A524">
        <v>220</v>
      </c>
      <c r="B524">
        <v>42</v>
      </c>
      <c r="C524">
        <v>726880</v>
      </c>
      <c r="D524" s="1">
        <v>34554</v>
      </c>
      <c r="E524" t="s">
        <v>57</v>
      </c>
      <c r="F524" t="s">
        <v>69</v>
      </c>
      <c r="G524">
        <v>1000</v>
      </c>
      <c r="H524">
        <v>1281.72</v>
      </c>
      <c r="I524">
        <v>0</v>
      </c>
      <c r="J524">
        <v>619811</v>
      </c>
      <c r="K524" t="s">
        <v>41</v>
      </c>
      <c r="L524" t="s">
        <v>141</v>
      </c>
      <c r="M524" t="s">
        <v>189</v>
      </c>
      <c r="N524" t="s">
        <v>149</v>
      </c>
      <c r="O524" t="s">
        <v>60</v>
      </c>
      <c r="P524">
        <v>33500</v>
      </c>
      <c r="Q524">
        <v>-49500</v>
      </c>
      <c r="R524" s="1">
        <v>42048</v>
      </c>
      <c r="S524" t="s">
        <v>75</v>
      </c>
      <c r="T524" t="s">
        <v>76</v>
      </c>
      <c r="U524" t="s">
        <v>63</v>
      </c>
      <c r="V524" t="s">
        <v>99</v>
      </c>
      <c r="W524" t="s">
        <v>50</v>
      </c>
      <c r="X524" t="s">
        <v>127</v>
      </c>
      <c r="Y524" t="s">
        <v>701</v>
      </c>
      <c r="Z524">
        <v>20</v>
      </c>
      <c r="AA524">
        <v>4</v>
      </c>
      <c r="AB524" t="s">
        <v>79</v>
      </c>
      <c r="AC524">
        <v>0</v>
      </c>
      <c r="AD524">
        <v>2</v>
      </c>
      <c r="AE524" t="s">
        <v>53</v>
      </c>
      <c r="AF524">
        <v>47740</v>
      </c>
      <c r="AG524">
        <v>4340</v>
      </c>
      <c r="AH524">
        <v>4340</v>
      </c>
      <c r="AI524">
        <v>39060</v>
      </c>
      <c r="AJ524" t="s">
        <v>209</v>
      </c>
      <c r="AK524" t="s">
        <v>210</v>
      </c>
      <c r="AL524">
        <v>2005</v>
      </c>
      <c r="AM524" t="s">
        <v>82</v>
      </c>
      <c r="AN524" s="2">
        <f t="shared" si="56"/>
        <v>37.217787202195332</v>
      </c>
      <c r="AO524">
        <f t="shared" si="57"/>
        <v>-46458.28</v>
      </c>
      <c r="AP524" s="2">
        <f t="shared" si="58"/>
        <v>2.6847363901049415E-2</v>
      </c>
      <c r="AQ524" s="2">
        <f t="shared" si="62"/>
        <v>10</v>
      </c>
      <c r="AR524">
        <f t="shared" si="59"/>
        <v>220</v>
      </c>
      <c r="AS524" t="str">
        <f t="shared" si="60"/>
        <v>High Claim Ratio</v>
      </c>
      <c r="AT524" t="str">
        <f t="shared" si="61"/>
        <v>High Profit</v>
      </c>
    </row>
    <row r="525" spans="1:46" x14ac:dyDescent="0.2">
      <c r="A525">
        <v>85</v>
      </c>
      <c r="B525">
        <v>30</v>
      </c>
      <c r="C525">
        <v>190588</v>
      </c>
      <c r="D525" s="1">
        <v>37234</v>
      </c>
      <c r="E525" t="s">
        <v>39</v>
      </c>
      <c r="F525" t="s">
        <v>69</v>
      </c>
      <c r="G525">
        <v>1000</v>
      </c>
      <c r="H525">
        <v>796.35</v>
      </c>
      <c r="I525">
        <v>0</v>
      </c>
      <c r="J525">
        <v>614166</v>
      </c>
      <c r="K525" t="s">
        <v>70</v>
      </c>
      <c r="L525" t="s">
        <v>42</v>
      </c>
      <c r="M525" t="s">
        <v>43</v>
      </c>
      <c r="N525" t="s">
        <v>181</v>
      </c>
      <c r="O525" t="s">
        <v>74</v>
      </c>
      <c r="P525">
        <v>72400</v>
      </c>
      <c r="Q525">
        <v>-77000</v>
      </c>
      <c r="R525" s="1">
        <v>42055</v>
      </c>
      <c r="S525" t="s">
        <v>75</v>
      </c>
      <c r="T525" t="s">
        <v>76</v>
      </c>
      <c r="U525" t="s">
        <v>107</v>
      </c>
      <c r="V525" t="s">
        <v>99</v>
      </c>
      <c r="W525" t="s">
        <v>50</v>
      </c>
      <c r="X525" t="s">
        <v>127</v>
      </c>
      <c r="Y525" t="s">
        <v>702</v>
      </c>
      <c r="Z525">
        <v>9</v>
      </c>
      <c r="AA525">
        <v>3</v>
      </c>
      <c r="AB525" t="s">
        <v>53</v>
      </c>
      <c r="AC525">
        <v>2</v>
      </c>
      <c r="AD525">
        <v>1</v>
      </c>
      <c r="AE525" t="s">
        <v>53</v>
      </c>
      <c r="AF525">
        <v>58960</v>
      </c>
      <c r="AG525">
        <v>5360</v>
      </c>
      <c r="AH525">
        <v>10720</v>
      </c>
      <c r="AI525">
        <v>42880</v>
      </c>
      <c r="AJ525" t="s">
        <v>129</v>
      </c>
      <c r="AK525" t="s">
        <v>130</v>
      </c>
      <c r="AL525">
        <v>2004</v>
      </c>
      <c r="AM525" t="s">
        <v>82</v>
      </c>
      <c r="AN525" s="2">
        <f t="shared" si="56"/>
        <v>73.944942622436827</v>
      </c>
      <c r="AO525">
        <f t="shared" si="57"/>
        <v>-58163.65</v>
      </c>
      <c r="AP525" s="2">
        <f t="shared" si="58"/>
        <v>1.350638557690677E-2</v>
      </c>
      <c r="AQ525" s="2">
        <f t="shared" si="62"/>
        <v>11</v>
      </c>
      <c r="AR525">
        <f t="shared" si="59"/>
        <v>85</v>
      </c>
      <c r="AS525" t="str">
        <f t="shared" si="60"/>
        <v>High Claim Ratio</v>
      </c>
      <c r="AT525" t="str">
        <f t="shared" si="61"/>
        <v>High Profit</v>
      </c>
    </row>
    <row r="526" spans="1:46" x14ac:dyDescent="0.2">
      <c r="A526">
        <v>266</v>
      </c>
      <c r="B526">
        <v>46</v>
      </c>
      <c r="C526">
        <v>246705</v>
      </c>
      <c r="D526" s="1">
        <v>32946</v>
      </c>
      <c r="E526" t="s">
        <v>39</v>
      </c>
      <c r="F526" t="s">
        <v>40</v>
      </c>
      <c r="G526">
        <v>500</v>
      </c>
      <c r="H526">
        <v>1270.02</v>
      </c>
      <c r="I526">
        <v>0</v>
      </c>
      <c r="J526">
        <v>456600</v>
      </c>
      <c r="K526" t="s">
        <v>70</v>
      </c>
      <c r="L526" t="s">
        <v>92</v>
      </c>
      <c r="M526" t="s">
        <v>97</v>
      </c>
      <c r="N526" t="s">
        <v>132</v>
      </c>
      <c r="O526" t="s">
        <v>74</v>
      </c>
      <c r="P526">
        <v>0</v>
      </c>
      <c r="Q526">
        <v>-45800</v>
      </c>
      <c r="R526" s="1">
        <v>42012</v>
      </c>
      <c r="S526" t="s">
        <v>138</v>
      </c>
      <c r="T526" t="s">
        <v>62</v>
      </c>
      <c r="U526" t="s">
        <v>63</v>
      </c>
      <c r="V526" t="s">
        <v>49</v>
      </c>
      <c r="W526" t="s">
        <v>121</v>
      </c>
      <c r="X526" t="s">
        <v>156</v>
      </c>
      <c r="Y526" t="s">
        <v>703</v>
      </c>
      <c r="Z526">
        <v>5</v>
      </c>
      <c r="AA526">
        <v>1</v>
      </c>
      <c r="AB526" t="s">
        <v>79</v>
      </c>
      <c r="AC526">
        <v>1</v>
      </c>
      <c r="AD526">
        <v>2</v>
      </c>
      <c r="AE526" t="s">
        <v>62</v>
      </c>
      <c r="AF526">
        <v>2160</v>
      </c>
      <c r="AG526">
        <v>480</v>
      </c>
      <c r="AH526">
        <v>240</v>
      </c>
      <c r="AI526">
        <v>1440</v>
      </c>
      <c r="AJ526" t="s">
        <v>115</v>
      </c>
      <c r="AK526" t="s">
        <v>183</v>
      </c>
      <c r="AL526">
        <v>2004</v>
      </c>
      <c r="AM526" t="s">
        <v>82</v>
      </c>
      <c r="AN526" s="2">
        <f t="shared" si="56"/>
        <v>1.6994225110541141</v>
      </c>
      <c r="AO526">
        <f t="shared" si="57"/>
        <v>-889.98</v>
      </c>
      <c r="AP526" s="2">
        <f t="shared" si="58"/>
        <v>0.58770013882461825</v>
      </c>
      <c r="AQ526" s="2">
        <f t="shared" si="62"/>
        <v>11</v>
      </c>
      <c r="AR526">
        <f t="shared" si="59"/>
        <v>266</v>
      </c>
      <c r="AS526" t="str">
        <f t="shared" si="60"/>
        <v>Low Claim Ratio</v>
      </c>
      <c r="AT526" t="str">
        <f t="shared" si="61"/>
        <v>Low Profit</v>
      </c>
    </row>
    <row r="527" spans="1:46" x14ac:dyDescent="0.2">
      <c r="A527">
        <v>41</v>
      </c>
      <c r="B527">
        <v>26</v>
      </c>
      <c r="C527">
        <v>619589</v>
      </c>
      <c r="D527" s="1">
        <v>38804</v>
      </c>
      <c r="E527" t="s">
        <v>83</v>
      </c>
      <c r="F527" t="s">
        <v>69</v>
      </c>
      <c r="G527">
        <v>1000</v>
      </c>
      <c r="H527">
        <v>1383.13</v>
      </c>
      <c r="I527">
        <v>0</v>
      </c>
      <c r="J527">
        <v>618405</v>
      </c>
      <c r="K527" t="s">
        <v>70</v>
      </c>
      <c r="L527" t="s">
        <v>161</v>
      </c>
      <c r="M527" t="s">
        <v>101</v>
      </c>
      <c r="N527" t="s">
        <v>264</v>
      </c>
      <c r="O527" t="s">
        <v>74</v>
      </c>
      <c r="P527">
        <v>46700</v>
      </c>
      <c r="Q527">
        <v>0</v>
      </c>
      <c r="R527" s="1">
        <v>42063</v>
      </c>
      <c r="S527" t="s">
        <v>61</v>
      </c>
      <c r="T527" t="s">
        <v>62</v>
      </c>
      <c r="U527" t="s">
        <v>212</v>
      </c>
      <c r="V527" t="s">
        <v>49</v>
      </c>
      <c r="W527" t="s">
        <v>50</v>
      </c>
      <c r="X527" t="s">
        <v>65</v>
      </c>
      <c r="Y527" t="s">
        <v>704</v>
      </c>
      <c r="Z527">
        <v>12</v>
      </c>
      <c r="AA527">
        <v>1</v>
      </c>
      <c r="AB527" t="s">
        <v>53</v>
      </c>
      <c r="AC527">
        <v>1</v>
      </c>
      <c r="AD527">
        <v>1</v>
      </c>
      <c r="AE527" t="s">
        <v>62</v>
      </c>
      <c r="AF527">
        <v>6890</v>
      </c>
      <c r="AG527">
        <v>530</v>
      </c>
      <c r="AH527">
        <v>1060</v>
      </c>
      <c r="AI527">
        <v>5300</v>
      </c>
      <c r="AJ527" t="s">
        <v>197</v>
      </c>
      <c r="AK527" t="s">
        <v>375</v>
      </c>
      <c r="AL527">
        <v>1997</v>
      </c>
      <c r="AM527" t="s">
        <v>82</v>
      </c>
      <c r="AN527" s="2">
        <f t="shared" si="56"/>
        <v>4.9778561262309173</v>
      </c>
      <c r="AO527">
        <f t="shared" si="57"/>
        <v>-5506.87</v>
      </c>
      <c r="AP527" s="2">
        <f t="shared" si="58"/>
        <v>0.2007154259178639</v>
      </c>
      <c r="AQ527" s="2">
        <f t="shared" si="62"/>
        <v>18</v>
      </c>
      <c r="AR527">
        <f t="shared" si="59"/>
        <v>41</v>
      </c>
      <c r="AS527" t="str">
        <f t="shared" si="60"/>
        <v>Low Claim Ratio</v>
      </c>
      <c r="AT527" t="str">
        <f t="shared" si="61"/>
        <v>High Profit</v>
      </c>
    </row>
    <row r="528" spans="1:46" x14ac:dyDescent="0.2">
      <c r="A528">
        <v>316</v>
      </c>
      <c r="B528">
        <v>45</v>
      </c>
      <c r="C528">
        <v>164988</v>
      </c>
      <c r="D528" s="1">
        <v>41631</v>
      </c>
      <c r="E528" t="s">
        <v>83</v>
      </c>
      <c r="F528" t="s">
        <v>69</v>
      </c>
      <c r="G528">
        <v>2000</v>
      </c>
      <c r="H528">
        <v>1290.74</v>
      </c>
      <c r="I528">
        <v>5000000</v>
      </c>
      <c r="J528">
        <v>430832</v>
      </c>
      <c r="K528" t="s">
        <v>70</v>
      </c>
      <c r="L528" t="s">
        <v>131</v>
      </c>
      <c r="M528" t="s">
        <v>101</v>
      </c>
      <c r="N528" t="s">
        <v>170</v>
      </c>
      <c r="O528" t="s">
        <v>45</v>
      </c>
      <c r="P528">
        <v>58300</v>
      </c>
      <c r="Q528">
        <v>0</v>
      </c>
      <c r="R528" s="1">
        <v>42047</v>
      </c>
      <c r="S528" t="s">
        <v>75</v>
      </c>
      <c r="T528" t="s">
        <v>47</v>
      </c>
      <c r="U528" t="s">
        <v>48</v>
      </c>
      <c r="V528" t="s">
        <v>136</v>
      </c>
      <c r="W528" t="s">
        <v>64</v>
      </c>
      <c r="X528" t="s">
        <v>102</v>
      </c>
      <c r="Y528" t="s">
        <v>705</v>
      </c>
      <c r="Z528">
        <v>6</v>
      </c>
      <c r="AA528">
        <v>3</v>
      </c>
      <c r="AB528" t="s">
        <v>79</v>
      </c>
      <c r="AC528">
        <v>2</v>
      </c>
      <c r="AD528">
        <v>0</v>
      </c>
      <c r="AE528" t="s">
        <v>53</v>
      </c>
      <c r="AF528">
        <v>78870</v>
      </c>
      <c r="AG528">
        <v>7170</v>
      </c>
      <c r="AH528">
        <v>14340</v>
      </c>
      <c r="AI528">
        <v>57360</v>
      </c>
      <c r="AJ528" t="s">
        <v>153</v>
      </c>
      <c r="AK528" t="s">
        <v>154</v>
      </c>
      <c r="AL528">
        <v>2013</v>
      </c>
      <c r="AM528" t="s">
        <v>82</v>
      </c>
      <c r="AN528" s="2">
        <f t="shared" si="56"/>
        <v>61.057178689209906</v>
      </c>
      <c r="AO528">
        <f t="shared" si="57"/>
        <v>-77579.259999999995</v>
      </c>
      <c r="AP528" s="2">
        <f t="shared" si="58"/>
        <v>1.6365203940611885E-2</v>
      </c>
      <c r="AQ528" s="2">
        <f t="shared" si="62"/>
        <v>2</v>
      </c>
      <c r="AR528">
        <f t="shared" si="59"/>
        <v>316</v>
      </c>
      <c r="AS528" t="str">
        <f t="shared" si="60"/>
        <v>High Claim Ratio</v>
      </c>
      <c r="AT528" t="str">
        <f t="shared" si="61"/>
        <v>High Profit</v>
      </c>
    </row>
    <row r="529" spans="1:46" x14ac:dyDescent="0.2">
      <c r="A529">
        <v>285</v>
      </c>
      <c r="B529">
        <v>47</v>
      </c>
      <c r="C529">
        <v>729534</v>
      </c>
      <c r="D529" s="1">
        <v>33511</v>
      </c>
      <c r="E529" t="s">
        <v>57</v>
      </c>
      <c r="F529" t="s">
        <v>69</v>
      </c>
      <c r="G529">
        <v>1000</v>
      </c>
      <c r="H529">
        <v>1216.68</v>
      </c>
      <c r="I529">
        <v>0</v>
      </c>
      <c r="J529">
        <v>610989</v>
      </c>
      <c r="K529" t="s">
        <v>70</v>
      </c>
      <c r="L529" t="s">
        <v>124</v>
      </c>
      <c r="M529" t="s">
        <v>72</v>
      </c>
      <c r="N529" t="s">
        <v>179</v>
      </c>
      <c r="O529" t="s">
        <v>60</v>
      </c>
      <c r="P529">
        <v>55100</v>
      </c>
      <c r="Q529">
        <v>0</v>
      </c>
      <c r="R529" s="1">
        <v>42010</v>
      </c>
      <c r="S529" t="s">
        <v>61</v>
      </c>
      <c r="T529" t="s">
        <v>62</v>
      </c>
      <c r="U529" t="s">
        <v>212</v>
      </c>
      <c r="V529" t="s">
        <v>49</v>
      </c>
      <c r="W529" t="s">
        <v>50</v>
      </c>
      <c r="X529" t="s">
        <v>51</v>
      </c>
      <c r="Y529" t="s">
        <v>706</v>
      </c>
      <c r="Z529">
        <v>8</v>
      </c>
      <c r="AA529">
        <v>1</v>
      </c>
      <c r="AB529" t="s">
        <v>79</v>
      </c>
      <c r="AC529">
        <v>1</v>
      </c>
      <c r="AD529">
        <v>1</v>
      </c>
      <c r="AE529" t="s">
        <v>79</v>
      </c>
      <c r="AF529">
        <v>2700</v>
      </c>
      <c r="AG529">
        <v>300</v>
      </c>
      <c r="AH529">
        <v>300</v>
      </c>
      <c r="AI529">
        <v>2100</v>
      </c>
      <c r="AJ529" t="s">
        <v>129</v>
      </c>
      <c r="AK529" t="s">
        <v>130</v>
      </c>
      <c r="AL529">
        <v>2013</v>
      </c>
      <c r="AM529" t="s">
        <v>82</v>
      </c>
      <c r="AN529" s="2">
        <f t="shared" si="56"/>
        <v>2.2173313185730241</v>
      </c>
      <c r="AO529">
        <f t="shared" si="57"/>
        <v>-1483.32</v>
      </c>
      <c r="AP529" s="2">
        <f t="shared" si="58"/>
        <v>0.45045538689374309</v>
      </c>
      <c r="AQ529" s="2">
        <f t="shared" si="62"/>
        <v>2</v>
      </c>
      <c r="AR529">
        <f t="shared" si="59"/>
        <v>285</v>
      </c>
      <c r="AS529" t="str">
        <f t="shared" si="60"/>
        <v>Low Claim Ratio</v>
      </c>
      <c r="AT529" t="str">
        <f t="shared" si="61"/>
        <v>Low Profit</v>
      </c>
    </row>
    <row r="530" spans="1:46" x14ac:dyDescent="0.2">
      <c r="A530">
        <v>379</v>
      </c>
      <c r="B530">
        <v>54</v>
      </c>
      <c r="C530">
        <v>505014</v>
      </c>
      <c r="D530" s="1">
        <v>37252</v>
      </c>
      <c r="E530" t="s">
        <v>83</v>
      </c>
      <c r="F530" t="s">
        <v>69</v>
      </c>
      <c r="G530">
        <v>500</v>
      </c>
      <c r="H530">
        <v>1251.1600000000001</v>
      </c>
      <c r="I530">
        <v>0</v>
      </c>
      <c r="J530">
        <v>447750</v>
      </c>
      <c r="K530" t="s">
        <v>70</v>
      </c>
      <c r="L530" t="s">
        <v>92</v>
      </c>
      <c r="M530" t="s">
        <v>58</v>
      </c>
      <c r="N530" t="s">
        <v>170</v>
      </c>
      <c r="O530" t="s">
        <v>142</v>
      </c>
      <c r="P530">
        <v>41400</v>
      </c>
      <c r="Q530">
        <v>0</v>
      </c>
      <c r="R530" s="1">
        <v>42050</v>
      </c>
      <c r="S530" t="s">
        <v>46</v>
      </c>
      <c r="T530" t="s">
        <v>86</v>
      </c>
      <c r="U530" t="s">
        <v>107</v>
      </c>
      <c r="V530" t="s">
        <v>136</v>
      </c>
      <c r="W530" t="s">
        <v>113</v>
      </c>
      <c r="X530" t="s">
        <v>65</v>
      </c>
      <c r="Y530" t="s">
        <v>707</v>
      </c>
      <c r="Z530">
        <v>14</v>
      </c>
      <c r="AA530">
        <v>1</v>
      </c>
      <c r="AB530" t="s">
        <v>62</v>
      </c>
      <c r="AC530">
        <v>0</v>
      </c>
      <c r="AD530">
        <v>1</v>
      </c>
      <c r="AE530" t="s">
        <v>79</v>
      </c>
      <c r="AF530">
        <v>75960</v>
      </c>
      <c r="AG530">
        <v>6330</v>
      </c>
      <c r="AH530">
        <v>6330</v>
      </c>
      <c r="AI530">
        <v>63300</v>
      </c>
      <c r="AJ530" t="s">
        <v>197</v>
      </c>
      <c r="AK530" t="s">
        <v>375</v>
      </c>
      <c r="AL530">
        <v>2010</v>
      </c>
      <c r="AM530" t="s">
        <v>82</v>
      </c>
      <c r="AN530" s="2">
        <f t="shared" si="56"/>
        <v>60.663174035267055</v>
      </c>
      <c r="AO530">
        <f t="shared" si="57"/>
        <v>-74708.84</v>
      </c>
      <c r="AP530" s="2">
        <f t="shared" si="58"/>
        <v>1.6471083845657642E-2</v>
      </c>
      <c r="AQ530" s="2">
        <f t="shared" si="62"/>
        <v>5</v>
      </c>
      <c r="AR530">
        <f t="shared" si="59"/>
        <v>379</v>
      </c>
      <c r="AS530" t="str">
        <f t="shared" si="60"/>
        <v>High Claim Ratio</v>
      </c>
      <c r="AT530" t="str">
        <f t="shared" si="61"/>
        <v>High Profit</v>
      </c>
    </row>
    <row r="531" spans="1:46" x14ac:dyDescent="0.2">
      <c r="A531">
        <v>15</v>
      </c>
      <c r="B531">
        <v>34</v>
      </c>
      <c r="C531">
        <v>920826</v>
      </c>
      <c r="D531" s="1">
        <v>38449</v>
      </c>
      <c r="E531" t="s">
        <v>57</v>
      </c>
      <c r="F531" t="s">
        <v>40</v>
      </c>
      <c r="G531">
        <v>2000</v>
      </c>
      <c r="H531">
        <v>1586.41</v>
      </c>
      <c r="I531">
        <v>0</v>
      </c>
      <c r="J531">
        <v>608708</v>
      </c>
      <c r="K531" t="s">
        <v>70</v>
      </c>
      <c r="L531" t="s">
        <v>131</v>
      </c>
      <c r="M531" t="s">
        <v>72</v>
      </c>
      <c r="N531" t="s">
        <v>181</v>
      </c>
      <c r="O531" t="s">
        <v>60</v>
      </c>
      <c r="P531">
        <v>33500</v>
      </c>
      <c r="Q531">
        <v>-58900</v>
      </c>
      <c r="R531" s="1">
        <v>42024</v>
      </c>
      <c r="S531" t="s">
        <v>46</v>
      </c>
      <c r="T531" t="s">
        <v>86</v>
      </c>
      <c r="U531" t="s">
        <v>48</v>
      </c>
      <c r="V531" t="s">
        <v>49</v>
      </c>
      <c r="W531" t="s">
        <v>113</v>
      </c>
      <c r="X531" t="s">
        <v>156</v>
      </c>
      <c r="Y531" t="s">
        <v>708</v>
      </c>
      <c r="Z531">
        <v>10</v>
      </c>
      <c r="AA531">
        <v>1</v>
      </c>
      <c r="AB531" t="s">
        <v>53</v>
      </c>
      <c r="AC531">
        <v>1</v>
      </c>
      <c r="AD531">
        <v>3</v>
      </c>
      <c r="AE531" t="s">
        <v>62</v>
      </c>
      <c r="AF531">
        <v>75570</v>
      </c>
      <c r="AG531">
        <v>6870</v>
      </c>
      <c r="AH531">
        <v>13740</v>
      </c>
      <c r="AI531">
        <v>54960</v>
      </c>
      <c r="AJ531" t="s">
        <v>187</v>
      </c>
      <c r="AK531" t="s">
        <v>203</v>
      </c>
      <c r="AL531">
        <v>2010</v>
      </c>
      <c r="AM531" t="s">
        <v>56</v>
      </c>
      <c r="AN531" s="2">
        <f t="shared" si="56"/>
        <v>47.605848520546047</v>
      </c>
      <c r="AO531">
        <f t="shared" si="57"/>
        <v>-73983.59</v>
      </c>
      <c r="AP531" s="2">
        <f t="shared" si="58"/>
        <v>2.0992311865662756E-2</v>
      </c>
      <c r="AQ531" s="2">
        <f t="shared" si="62"/>
        <v>5</v>
      </c>
      <c r="AR531">
        <f t="shared" si="59"/>
        <v>15</v>
      </c>
      <c r="AS531" t="str">
        <f t="shared" si="60"/>
        <v>High Claim Ratio</v>
      </c>
      <c r="AT531" t="str">
        <f t="shared" si="61"/>
        <v>High Profit</v>
      </c>
    </row>
    <row r="532" spans="1:46" x14ac:dyDescent="0.2">
      <c r="A532">
        <v>354</v>
      </c>
      <c r="B532">
        <v>48</v>
      </c>
      <c r="C532">
        <v>534982</v>
      </c>
      <c r="D532" s="1">
        <v>37719</v>
      </c>
      <c r="E532" t="s">
        <v>83</v>
      </c>
      <c r="F532" t="s">
        <v>91</v>
      </c>
      <c r="G532">
        <v>2000</v>
      </c>
      <c r="H532">
        <v>1526.11</v>
      </c>
      <c r="I532">
        <v>5000000</v>
      </c>
      <c r="J532">
        <v>469650</v>
      </c>
      <c r="K532" t="s">
        <v>70</v>
      </c>
      <c r="L532" t="s">
        <v>124</v>
      </c>
      <c r="M532" t="s">
        <v>72</v>
      </c>
      <c r="N532" t="s">
        <v>264</v>
      </c>
      <c r="O532" t="s">
        <v>85</v>
      </c>
      <c r="P532">
        <v>0</v>
      </c>
      <c r="Q532">
        <v>0</v>
      </c>
      <c r="R532" s="1">
        <v>42007</v>
      </c>
      <c r="S532" t="s">
        <v>46</v>
      </c>
      <c r="T532" t="s">
        <v>86</v>
      </c>
      <c r="U532" t="s">
        <v>63</v>
      </c>
      <c r="V532" t="s">
        <v>49</v>
      </c>
      <c r="W532" t="s">
        <v>50</v>
      </c>
      <c r="X532" t="s">
        <v>51</v>
      </c>
      <c r="Y532" t="s">
        <v>709</v>
      </c>
      <c r="Z532">
        <v>12</v>
      </c>
      <c r="AA532">
        <v>1</v>
      </c>
      <c r="AB532" t="s">
        <v>62</v>
      </c>
      <c r="AC532">
        <v>2</v>
      </c>
      <c r="AD532">
        <v>3</v>
      </c>
      <c r="AE532" t="s">
        <v>53</v>
      </c>
      <c r="AF532">
        <v>90240</v>
      </c>
      <c r="AG532">
        <v>15040</v>
      </c>
      <c r="AH532">
        <v>15040</v>
      </c>
      <c r="AI532">
        <v>60160</v>
      </c>
      <c r="AJ532" t="s">
        <v>89</v>
      </c>
      <c r="AK532" t="s">
        <v>245</v>
      </c>
      <c r="AL532">
        <v>1995</v>
      </c>
      <c r="AM532" t="s">
        <v>82</v>
      </c>
      <c r="AN532" s="2">
        <f t="shared" si="56"/>
        <v>59.092010398727012</v>
      </c>
      <c r="AO532">
        <f t="shared" si="57"/>
        <v>-88713.89</v>
      </c>
      <c r="AP532" s="2">
        <f t="shared" si="58"/>
        <v>1.6911492558814727E-2</v>
      </c>
      <c r="AQ532" s="2">
        <f t="shared" si="62"/>
        <v>20</v>
      </c>
      <c r="AR532">
        <f t="shared" si="59"/>
        <v>354</v>
      </c>
      <c r="AS532" t="str">
        <f t="shared" si="60"/>
        <v>High Claim Ratio</v>
      </c>
      <c r="AT532" t="str">
        <f t="shared" si="61"/>
        <v>High Profit</v>
      </c>
    </row>
    <row r="533" spans="1:46" x14ac:dyDescent="0.2">
      <c r="A533">
        <v>342</v>
      </c>
      <c r="B533">
        <v>53</v>
      </c>
      <c r="C533">
        <v>110408</v>
      </c>
      <c r="D533" s="1">
        <v>38670</v>
      </c>
      <c r="E533" t="s">
        <v>57</v>
      </c>
      <c r="F533" t="s">
        <v>69</v>
      </c>
      <c r="G533">
        <v>1000</v>
      </c>
      <c r="H533">
        <v>1028.44</v>
      </c>
      <c r="I533">
        <v>0</v>
      </c>
      <c r="J533">
        <v>602304</v>
      </c>
      <c r="K533" t="s">
        <v>70</v>
      </c>
      <c r="L533" t="s">
        <v>141</v>
      </c>
      <c r="M533" t="s">
        <v>101</v>
      </c>
      <c r="N533" t="s">
        <v>126</v>
      </c>
      <c r="O533" t="s">
        <v>142</v>
      </c>
      <c r="P533">
        <v>0</v>
      </c>
      <c r="Q533">
        <v>0</v>
      </c>
      <c r="R533" s="1">
        <v>42030</v>
      </c>
      <c r="S533" t="s">
        <v>46</v>
      </c>
      <c r="T533" t="s">
        <v>86</v>
      </c>
      <c r="U533" t="s">
        <v>48</v>
      </c>
      <c r="V533" t="s">
        <v>136</v>
      </c>
      <c r="W533" t="s">
        <v>50</v>
      </c>
      <c r="X533" t="s">
        <v>102</v>
      </c>
      <c r="Y533" t="s">
        <v>710</v>
      </c>
      <c r="Z533">
        <v>12</v>
      </c>
      <c r="AA533">
        <v>1</v>
      </c>
      <c r="AB533" t="s">
        <v>62</v>
      </c>
      <c r="AC533">
        <v>0</v>
      </c>
      <c r="AD533">
        <v>0</v>
      </c>
      <c r="AE533" t="s">
        <v>79</v>
      </c>
      <c r="AF533">
        <v>80960</v>
      </c>
      <c r="AG533">
        <v>14720</v>
      </c>
      <c r="AH533">
        <v>7360</v>
      </c>
      <c r="AI533">
        <v>58880</v>
      </c>
      <c r="AJ533" t="s">
        <v>95</v>
      </c>
      <c r="AK533" t="s">
        <v>148</v>
      </c>
      <c r="AL533">
        <v>2000</v>
      </c>
      <c r="AM533" t="s">
        <v>82</v>
      </c>
      <c r="AN533" s="2">
        <f t="shared" si="56"/>
        <v>78.644700031084852</v>
      </c>
      <c r="AO533">
        <f t="shared" si="57"/>
        <v>-79931.56</v>
      </c>
      <c r="AP533" s="2">
        <f t="shared" si="58"/>
        <v>1.2702906337619349E-2</v>
      </c>
      <c r="AQ533" s="2">
        <f t="shared" si="62"/>
        <v>15</v>
      </c>
      <c r="AR533">
        <f t="shared" si="59"/>
        <v>342</v>
      </c>
      <c r="AS533" t="str">
        <f t="shared" si="60"/>
        <v>High Claim Ratio</v>
      </c>
      <c r="AT533" t="str">
        <f t="shared" si="61"/>
        <v>High Profit</v>
      </c>
    </row>
    <row r="534" spans="1:46" x14ac:dyDescent="0.2">
      <c r="A534">
        <v>169</v>
      </c>
      <c r="B534">
        <v>38</v>
      </c>
      <c r="C534">
        <v>283052</v>
      </c>
      <c r="D534" s="1">
        <v>38359</v>
      </c>
      <c r="E534" t="s">
        <v>83</v>
      </c>
      <c r="F534" t="s">
        <v>69</v>
      </c>
      <c r="G534">
        <v>1000</v>
      </c>
      <c r="H534">
        <v>1555.94</v>
      </c>
      <c r="I534">
        <v>0</v>
      </c>
      <c r="J534">
        <v>459878</v>
      </c>
      <c r="K534" t="s">
        <v>41</v>
      </c>
      <c r="L534" t="s">
        <v>71</v>
      </c>
      <c r="M534" t="s">
        <v>43</v>
      </c>
      <c r="N534" t="s">
        <v>132</v>
      </c>
      <c r="O534" t="s">
        <v>74</v>
      </c>
      <c r="P534">
        <v>23300</v>
      </c>
      <c r="Q534">
        <v>0</v>
      </c>
      <c r="R534" s="1">
        <v>42029</v>
      </c>
      <c r="S534" t="s">
        <v>75</v>
      </c>
      <c r="T534" t="s">
        <v>86</v>
      </c>
      <c r="U534" t="s">
        <v>107</v>
      </c>
      <c r="V534" t="s">
        <v>120</v>
      </c>
      <c r="W534" t="s">
        <v>64</v>
      </c>
      <c r="X534" t="s">
        <v>65</v>
      </c>
      <c r="Y534" t="s">
        <v>711</v>
      </c>
      <c r="Z534">
        <v>12</v>
      </c>
      <c r="AA534">
        <v>3</v>
      </c>
      <c r="AB534" t="s">
        <v>79</v>
      </c>
      <c r="AC534">
        <v>1</v>
      </c>
      <c r="AD534">
        <v>3</v>
      </c>
      <c r="AE534" t="s">
        <v>53</v>
      </c>
      <c r="AF534">
        <v>79080</v>
      </c>
      <c r="AG534">
        <v>6590</v>
      </c>
      <c r="AH534">
        <v>13180</v>
      </c>
      <c r="AI534">
        <v>59310</v>
      </c>
      <c r="AJ534" t="s">
        <v>67</v>
      </c>
      <c r="AK534" t="s">
        <v>193</v>
      </c>
      <c r="AL534">
        <v>2012</v>
      </c>
      <c r="AM534" t="s">
        <v>82</v>
      </c>
      <c r="AN534" s="2">
        <f t="shared" si="56"/>
        <v>50.791938032294112</v>
      </c>
      <c r="AO534">
        <f t="shared" si="57"/>
        <v>-77524.06</v>
      </c>
      <c r="AP534" s="2">
        <f t="shared" si="58"/>
        <v>1.96752696602218E-2</v>
      </c>
      <c r="AQ534" s="2">
        <f t="shared" si="62"/>
        <v>3</v>
      </c>
      <c r="AR534">
        <f t="shared" si="59"/>
        <v>169</v>
      </c>
      <c r="AS534" t="str">
        <f t="shared" si="60"/>
        <v>High Claim Ratio</v>
      </c>
      <c r="AT534" t="str">
        <f t="shared" si="61"/>
        <v>High Profit</v>
      </c>
    </row>
    <row r="535" spans="1:46" x14ac:dyDescent="0.2">
      <c r="A535">
        <v>339</v>
      </c>
      <c r="B535">
        <v>49</v>
      </c>
      <c r="C535">
        <v>840806</v>
      </c>
      <c r="D535" s="1">
        <v>34379</v>
      </c>
      <c r="E535" t="s">
        <v>57</v>
      </c>
      <c r="F535" t="s">
        <v>91</v>
      </c>
      <c r="G535">
        <v>2000</v>
      </c>
      <c r="H535">
        <v>1570.77</v>
      </c>
      <c r="I535">
        <v>0</v>
      </c>
      <c r="J535">
        <v>441142</v>
      </c>
      <c r="K535" t="s">
        <v>41</v>
      </c>
      <c r="L535" t="s">
        <v>161</v>
      </c>
      <c r="M535" t="s">
        <v>185</v>
      </c>
      <c r="N535" t="s">
        <v>165</v>
      </c>
      <c r="O535" t="s">
        <v>142</v>
      </c>
      <c r="P535">
        <v>98800</v>
      </c>
      <c r="Q535">
        <v>-65300</v>
      </c>
      <c r="R535" s="1">
        <v>42022</v>
      </c>
      <c r="S535" t="s">
        <v>61</v>
      </c>
      <c r="T535" t="s">
        <v>62</v>
      </c>
      <c r="U535" t="s">
        <v>63</v>
      </c>
      <c r="V535" t="s">
        <v>93</v>
      </c>
      <c r="W535" t="s">
        <v>50</v>
      </c>
      <c r="X535" t="s">
        <v>51</v>
      </c>
      <c r="Y535" t="s">
        <v>712</v>
      </c>
      <c r="Z535">
        <v>13</v>
      </c>
      <c r="AA535">
        <v>1</v>
      </c>
      <c r="AB535" t="s">
        <v>79</v>
      </c>
      <c r="AC535">
        <v>0</v>
      </c>
      <c r="AD535">
        <v>3</v>
      </c>
      <c r="AE535" t="s">
        <v>79</v>
      </c>
      <c r="AF535">
        <v>6820</v>
      </c>
      <c r="AG535">
        <v>1240</v>
      </c>
      <c r="AH535">
        <v>620</v>
      </c>
      <c r="AI535">
        <v>4960</v>
      </c>
      <c r="AJ535" t="s">
        <v>67</v>
      </c>
      <c r="AK535" t="s">
        <v>271</v>
      </c>
      <c r="AL535">
        <v>2009</v>
      </c>
      <c r="AM535" t="s">
        <v>82</v>
      </c>
      <c r="AN535" s="2">
        <f t="shared" si="56"/>
        <v>4.3390572411994119</v>
      </c>
      <c r="AO535">
        <f t="shared" si="57"/>
        <v>-5249.23</v>
      </c>
      <c r="AP535" s="2">
        <f t="shared" si="58"/>
        <v>0.23028441577481307</v>
      </c>
      <c r="AQ535" s="2">
        <f t="shared" si="62"/>
        <v>6</v>
      </c>
      <c r="AR535">
        <f t="shared" si="59"/>
        <v>339</v>
      </c>
      <c r="AS535" t="str">
        <f t="shared" si="60"/>
        <v>Low Claim Ratio</v>
      </c>
      <c r="AT535" t="str">
        <f t="shared" si="61"/>
        <v>High Profit</v>
      </c>
    </row>
    <row r="536" spans="1:46" x14ac:dyDescent="0.2">
      <c r="A536">
        <v>259</v>
      </c>
      <c r="B536">
        <v>42</v>
      </c>
      <c r="C536">
        <v>382394</v>
      </c>
      <c r="D536" s="1">
        <v>35087</v>
      </c>
      <c r="E536" t="s">
        <v>39</v>
      </c>
      <c r="F536" t="s">
        <v>69</v>
      </c>
      <c r="G536">
        <v>2000</v>
      </c>
      <c r="H536">
        <v>1170.53</v>
      </c>
      <c r="I536">
        <v>0</v>
      </c>
      <c r="J536">
        <v>465667</v>
      </c>
      <c r="K536" t="s">
        <v>70</v>
      </c>
      <c r="L536" t="s">
        <v>71</v>
      </c>
      <c r="M536" t="s">
        <v>84</v>
      </c>
      <c r="N536" t="s">
        <v>44</v>
      </c>
      <c r="O536" t="s">
        <v>119</v>
      </c>
      <c r="P536">
        <v>65000</v>
      </c>
      <c r="Q536">
        <v>-49200</v>
      </c>
      <c r="R536" s="1">
        <v>42016</v>
      </c>
      <c r="S536" t="s">
        <v>75</v>
      </c>
      <c r="T536" t="s">
        <v>76</v>
      </c>
      <c r="U536" t="s">
        <v>107</v>
      </c>
      <c r="V536" t="s">
        <v>99</v>
      </c>
      <c r="W536" t="s">
        <v>113</v>
      </c>
      <c r="X536" t="s">
        <v>127</v>
      </c>
      <c r="Y536" t="s">
        <v>713</v>
      </c>
      <c r="Z536">
        <v>17</v>
      </c>
      <c r="AA536">
        <v>3</v>
      </c>
      <c r="AB536" t="s">
        <v>79</v>
      </c>
      <c r="AC536">
        <v>1</v>
      </c>
      <c r="AD536">
        <v>2</v>
      </c>
      <c r="AE536" t="s">
        <v>53</v>
      </c>
      <c r="AF536">
        <v>62590</v>
      </c>
      <c r="AG536">
        <v>5690</v>
      </c>
      <c r="AH536">
        <v>11380</v>
      </c>
      <c r="AI536">
        <v>45520</v>
      </c>
      <c r="AJ536" t="s">
        <v>104</v>
      </c>
      <c r="AK536" t="s">
        <v>105</v>
      </c>
      <c r="AL536">
        <v>2006</v>
      </c>
      <c r="AM536" t="s">
        <v>82</v>
      </c>
      <c r="AN536" s="2">
        <f t="shared" si="56"/>
        <v>53.425861907078776</v>
      </c>
      <c r="AO536">
        <f t="shared" si="57"/>
        <v>-61419.47</v>
      </c>
      <c r="AP536" s="2">
        <f t="shared" si="58"/>
        <v>1.8701250978575196E-2</v>
      </c>
      <c r="AQ536" s="2">
        <f t="shared" si="62"/>
        <v>9</v>
      </c>
      <c r="AR536">
        <f t="shared" si="59"/>
        <v>259</v>
      </c>
      <c r="AS536" t="str">
        <f t="shared" si="60"/>
        <v>High Claim Ratio</v>
      </c>
      <c r="AT536" t="str">
        <f t="shared" si="61"/>
        <v>High Profit</v>
      </c>
    </row>
    <row r="537" spans="1:46" x14ac:dyDescent="0.2">
      <c r="A537">
        <v>65</v>
      </c>
      <c r="B537">
        <v>23</v>
      </c>
      <c r="C537">
        <v>876699</v>
      </c>
      <c r="D537" s="1">
        <v>36506</v>
      </c>
      <c r="E537" t="s">
        <v>39</v>
      </c>
      <c r="F537" t="s">
        <v>40</v>
      </c>
      <c r="G537">
        <v>1000</v>
      </c>
      <c r="H537">
        <v>1099.95</v>
      </c>
      <c r="I537">
        <v>0</v>
      </c>
      <c r="J537">
        <v>473109</v>
      </c>
      <c r="K537" t="s">
        <v>70</v>
      </c>
      <c r="L537" t="s">
        <v>141</v>
      </c>
      <c r="M537" t="s">
        <v>72</v>
      </c>
      <c r="N537" t="s">
        <v>126</v>
      </c>
      <c r="O537" t="s">
        <v>119</v>
      </c>
      <c r="P537">
        <v>0</v>
      </c>
      <c r="Q537">
        <v>-71900</v>
      </c>
      <c r="R537" s="1">
        <v>42019</v>
      </c>
      <c r="S537" t="s">
        <v>46</v>
      </c>
      <c r="T537" t="s">
        <v>47</v>
      </c>
      <c r="U537" t="s">
        <v>48</v>
      </c>
      <c r="V537" t="s">
        <v>120</v>
      </c>
      <c r="W537" t="s">
        <v>77</v>
      </c>
      <c r="X537" t="s">
        <v>87</v>
      </c>
      <c r="Y537" t="s">
        <v>714</v>
      </c>
      <c r="Z537">
        <v>14</v>
      </c>
      <c r="AA537">
        <v>1</v>
      </c>
      <c r="AB537" t="s">
        <v>79</v>
      </c>
      <c r="AC537">
        <v>1</v>
      </c>
      <c r="AD537">
        <v>0</v>
      </c>
      <c r="AE537" t="s">
        <v>53</v>
      </c>
      <c r="AF537">
        <v>52400</v>
      </c>
      <c r="AG537">
        <v>6550</v>
      </c>
      <c r="AH537">
        <v>6550</v>
      </c>
      <c r="AI537">
        <v>39300</v>
      </c>
      <c r="AJ537" t="s">
        <v>95</v>
      </c>
      <c r="AK537" t="s">
        <v>148</v>
      </c>
      <c r="AL537">
        <v>2005</v>
      </c>
      <c r="AM537" t="s">
        <v>56</v>
      </c>
      <c r="AN537" s="2">
        <f t="shared" si="56"/>
        <v>47.595258640265222</v>
      </c>
      <c r="AO537">
        <f t="shared" si="57"/>
        <v>-51300.05</v>
      </c>
      <c r="AP537" s="2">
        <f t="shared" si="58"/>
        <v>2.0991011621915613E-2</v>
      </c>
      <c r="AQ537" s="2">
        <f t="shared" si="62"/>
        <v>10</v>
      </c>
      <c r="AR537">
        <f t="shared" si="59"/>
        <v>65</v>
      </c>
      <c r="AS537" t="str">
        <f t="shared" si="60"/>
        <v>High Claim Ratio</v>
      </c>
      <c r="AT537" t="str">
        <f t="shared" si="61"/>
        <v>High Profit</v>
      </c>
    </row>
    <row r="538" spans="1:46" x14ac:dyDescent="0.2">
      <c r="A538">
        <v>254</v>
      </c>
      <c r="B538">
        <v>46</v>
      </c>
      <c r="C538">
        <v>871432</v>
      </c>
      <c r="D538" s="1">
        <v>38183</v>
      </c>
      <c r="E538" t="s">
        <v>83</v>
      </c>
      <c r="F538" t="s">
        <v>40</v>
      </c>
      <c r="G538">
        <v>2000</v>
      </c>
      <c r="H538">
        <v>1472.43</v>
      </c>
      <c r="I538">
        <v>0</v>
      </c>
      <c r="J538">
        <v>619794</v>
      </c>
      <c r="K538" t="s">
        <v>41</v>
      </c>
      <c r="L538" t="s">
        <v>42</v>
      </c>
      <c r="M538" t="s">
        <v>97</v>
      </c>
      <c r="N538" t="s">
        <v>179</v>
      </c>
      <c r="O538" t="s">
        <v>45</v>
      </c>
      <c r="P538">
        <v>0</v>
      </c>
      <c r="Q538">
        <v>-90600</v>
      </c>
      <c r="R538" s="1">
        <v>42014</v>
      </c>
      <c r="S538" t="s">
        <v>75</v>
      </c>
      <c r="T538" t="s">
        <v>86</v>
      </c>
      <c r="U538" t="s">
        <v>48</v>
      </c>
      <c r="V538" t="s">
        <v>136</v>
      </c>
      <c r="W538" t="s">
        <v>113</v>
      </c>
      <c r="X538" t="s">
        <v>87</v>
      </c>
      <c r="Y538" t="s">
        <v>715</v>
      </c>
      <c r="Z538">
        <v>3</v>
      </c>
      <c r="AA538">
        <v>3</v>
      </c>
      <c r="AB538" t="s">
        <v>62</v>
      </c>
      <c r="AC538">
        <v>1</v>
      </c>
      <c r="AD538">
        <v>3</v>
      </c>
      <c r="AE538" t="s">
        <v>53</v>
      </c>
      <c r="AF538">
        <v>63580</v>
      </c>
      <c r="AG538">
        <v>5780</v>
      </c>
      <c r="AH538">
        <v>11560</v>
      </c>
      <c r="AI538">
        <v>46240</v>
      </c>
      <c r="AJ538" t="s">
        <v>214</v>
      </c>
      <c r="AK538" t="s">
        <v>258</v>
      </c>
      <c r="AL538">
        <v>2004</v>
      </c>
      <c r="AM538" t="s">
        <v>82</v>
      </c>
      <c r="AN538" s="2">
        <f t="shared" si="56"/>
        <v>43.151014978655247</v>
      </c>
      <c r="AO538">
        <f t="shared" si="57"/>
        <v>-62107.57</v>
      </c>
      <c r="AP538" s="2">
        <f t="shared" si="58"/>
        <v>2.3158333464399744E-2</v>
      </c>
      <c r="AQ538" s="2">
        <f t="shared" si="62"/>
        <v>11</v>
      </c>
      <c r="AR538">
        <f t="shared" si="59"/>
        <v>254</v>
      </c>
      <c r="AS538" t="str">
        <f t="shared" si="60"/>
        <v>High Claim Ratio</v>
      </c>
      <c r="AT538" t="str">
        <f t="shared" si="61"/>
        <v>High Profit</v>
      </c>
    </row>
    <row r="539" spans="1:46" x14ac:dyDescent="0.2">
      <c r="A539">
        <v>440</v>
      </c>
      <c r="B539">
        <v>55</v>
      </c>
      <c r="C539">
        <v>379882</v>
      </c>
      <c r="D539" s="1">
        <v>41220</v>
      </c>
      <c r="E539" t="s">
        <v>83</v>
      </c>
      <c r="F539" t="s">
        <v>40</v>
      </c>
      <c r="G539">
        <v>500</v>
      </c>
      <c r="H539">
        <v>1275.6199999999999</v>
      </c>
      <c r="I539">
        <v>0</v>
      </c>
      <c r="J539">
        <v>602258</v>
      </c>
      <c r="K539" t="s">
        <v>70</v>
      </c>
      <c r="L539" t="s">
        <v>92</v>
      </c>
      <c r="M539" t="s">
        <v>117</v>
      </c>
      <c r="N539" t="s">
        <v>59</v>
      </c>
      <c r="O539" t="s">
        <v>60</v>
      </c>
      <c r="P539">
        <v>0</v>
      </c>
      <c r="Q539">
        <v>-56200</v>
      </c>
      <c r="R539" s="1">
        <v>42027</v>
      </c>
      <c r="S539" t="s">
        <v>75</v>
      </c>
      <c r="T539" t="s">
        <v>47</v>
      </c>
      <c r="U539" t="s">
        <v>63</v>
      </c>
      <c r="V539" t="s">
        <v>49</v>
      </c>
      <c r="W539" t="s">
        <v>77</v>
      </c>
      <c r="X539" t="s">
        <v>65</v>
      </c>
      <c r="Y539" t="s">
        <v>716</v>
      </c>
      <c r="Z539">
        <v>18</v>
      </c>
      <c r="AA539">
        <v>3</v>
      </c>
      <c r="AB539" t="s">
        <v>53</v>
      </c>
      <c r="AC539">
        <v>2</v>
      </c>
      <c r="AD539">
        <v>1</v>
      </c>
      <c r="AE539" t="s">
        <v>79</v>
      </c>
      <c r="AF539">
        <v>61400</v>
      </c>
      <c r="AG539">
        <v>6140</v>
      </c>
      <c r="AH539">
        <v>6140</v>
      </c>
      <c r="AI539">
        <v>49120</v>
      </c>
      <c r="AJ539" t="s">
        <v>104</v>
      </c>
      <c r="AK539" t="s">
        <v>287</v>
      </c>
      <c r="AL539">
        <v>1995</v>
      </c>
      <c r="AM539" t="s">
        <v>82</v>
      </c>
      <c r="AN539" s="2">
        <f t="shared" si="56"/>
        <v>48.095752847362569</v>
      </c>
      <c r="AO539">
        <f t="shared" si="57"/>
        <v>-60124.38</v>
      </c>
      <c r="AP539" s="2">
        <f t="shared" si="58"/>
        <v>2.077523167375124E-2</v>
      </c>
      <c r="AQ539" s="2">
        <f t="shared" si="62"/>
        <v>20</v>
      </c>
      <c r="AR539">
        <f t="shared" si="59"/>
        <v>440</v>
      </c>
      <c r="AS539" t="str">
        <f t="shared" si="60"/>
        <v>High Claim Ratio</v>
      </c>
      <c r="AT539" t="str">
        <f t="shared" si="61"/>
        <v>High Profit</v>
      </c>
    </row>
    <row r="540" spans="1:46" x14ac:dyDescent="0.2">
      <c r="A540">
        <v>478</v>
      </c>
      <c r="B540">
        <v>63</v>
      </c>
      <c r="C540">
        <v>852002</v>
      </c>
      <c r="D540" s="1">
        <v>39993</v>
      </c>
      <c r="E540" t="s">
        <v>83</v>
      </c>
      <c r="F540" t="s">
        <v>40</v>
      </c>
      <c r="G540">
        <v>1000</v>
      </c>
      <c r="H540">
        <v>1292.3</v>
      </c>
      <c r="I540">
        <v>0</v>
      </c>
      <c r="J540">
        <v>479724</v>
      </c>
      <c r="K540" t="s">
        <v>41</v>
      </c>
      <c r="L540" t="s">
        <v>131</v>
      </c>
      <c r="M540" t="s">
        <v>185</v>
      </c>
      <c r="N540" t="s">
        <v>165</v>
      </c>
      <c r="O540" t="s">
        <v>74</v>
      </c>
      <c r="P540">
        <v>47600</v>
      </c>
      <c r="Q540">
        <v>0</v>
      </c>
      <c r="R540" s="1">
        <v>42056</v>
      </c>
      <c r="S540" t="s">
        <v>138</v>
      </c>
      <c r="T540" t="s">
        <v>62</v>
      </c>
      <c r="U540" t="s">
        <v>63</v>
      </c>
      <c r="V540" t="s">
        <v>93</v>
      </c>
      <c r="W540" t="s">
        <v>64</v>
      </c>
      <c r="X540" t="s">
        <v>127</v>
      </c>
      <c r="Y540" t="s">
        <v>717</v>
      </c>
      <c r="Z540">
        <v>5</v>
      </c>
      <c r="AA540">
        <v>1</v>
      </c>
      <c r="AB540" t="s">
        <v>53</v>
      </c>
      <c r="AC540">
        <v>1</v>
      </c>
      <c r="AD540">
        <v>3</v>
      </c>
      <c r="AE540" t="s">
        <v>79</v>
      </c>
      <c r="AF540">
        <v>4700</v>
      </c>
      <c r="AG540">
        <v>940</v>
      </c>
      <c r="AH540">
        <v>470</v>
      </c>
      <c r="AI540">
        <v>3290</v>
      </c>
      <c r="AJ540" t="s">
        <v>80</v>
      </c>
      <c r="AK540" t="s">
        <v>144</v>
      </c>
      <c r="AL540">
        <v>2007</v>
      </c>
      <c r="AM540" t="s">
        <v>56</v>
      </c>
      <c r="AN540" s="2">
        <f t="shared" si="56"/>
        <v>3.63411428129591</v>
      </c>
      <c r="AO540">
        <f t="shared" si="57"/>
        <v>-3407.7</v>
      </c>
      <c r="AP540" s="2">
        <f t="shared" si="58"/>
        <v>0.27489895766858113</v>
      </c>
      <c r="AQ540" s="2">
        <f t="shared" si="62"/>
        <v>8</v>
      </c>
      <c r="AR540">
        <f t="shared" si="59"/>
        <v>478</v>
      </c>
      <c r="AS540" t="str">
        <f t="shared" si="60"/>
        <v>Low Claim Ratio</v>
      </c>
      <c r="AT540" t="str">
        <f t="shared" si="61"/>
        <v>Low Profit</v>
      </c>
    </row>
    <row r="541" spans="1:46" x14ac:dyDescent="0.2">
      <c r="A541">
        <v>230</v>
      </c>
      <c r="B541">
        <v>44</v>
      </c>
      <c r="C541">
        <v>372891</v>
      </c>
      <c r="D541" s="1">
        <v>36703</v>
      </c>
      <c r="E541" t="s">
        <v>57</v>
      </c>
      <c r="F541" t="s">
        <v>40</v>
      </c>
      <c r="G541">
        <v>2000</v>
      </c>
      <c r="H541">
        <v>1009.37</v>
      </c>
      <c r="I541">
        <v>0</v>
      </c>
      <c r="J541">
        <v>442210</v>
      </c>
      <c r="K541" t="s">
        <v>70</v>
      </c>
      <c r="L541" t="s">
        <v>141</v>
      </c>
      <c r="M541" t="s">
        <v>101</v>
      </c>
      <c r="N541" t="s">
        <v>149</v>
      </c>
      <c r="O541" t="s">
        <v>60</v>
      </c>
      <c r="P541">
        <v>45400</v>
      </c>
      <c r="Q541">
        <v>-39400</v>
      </c>
      <c r="R541" s="1">
        <v>42052</v>
      </c>
      <c r="S541" t="s">
        <v>46</v>
      </c>
      <c r="T541" t="s">
        <v>86</v>
      </c>
      <c r="U541" t="s">
        <v>107</v>
      </c>
      <c r="V541" t="s">
        <v>99</v>
      </c>
      <c r="W541" t="s">
        <v>50</v>
      </c>
      <c r="X541" t="s">
        <v>65</v>
      </c>
      <c r="Y541" t="s">
        <v>718</v>
      </c>
      <c r="Z541">
        <v>19</v>
      </c>
      <c r="AA541">
        <v>1</v>
      </c>
      <c r="AB541" t="s">
        <v>79</v>
      </c>
      <c r="AC541">
        <v>0</v>
      </c>
      <c r="AD541">
        <v>2</v>
      </c>
      <c r="AE541" t="s">
        <v>53</v>
      </c>
      <c r="AF541">
        <v>74140</v>
      </c>
      <c r="AG541">
        <v>13480</v>
      </c>
      <c r="AH541">
        <v>13480</v>
      </c>
      <c r="AI541">
        <v>47180</v>
      </c>
      <c r="AJ541" t="s">
        <v>187</v>
      </c>
      <c r="AK541" t="s">
        <v>203</v>
      </c>
      <c r="AL541">
        <v>2015</v>
      </c>
      <c r="AM541" t="s">
        <v>82</v>
      </c>
      <c r="AN541" s="2">
        <f t="shared" si="56"/>
        <v>73.379059156546617</v>
      </c>
      <c r="AO541">
        <f t="shared" si="57"/>
        <v>-73130.63</v>
      </c>
      <c r="AP541" s="2">
        <f t="shared" si="58"/>
        <v>1.3614194575201306E-2</v>
      </c>
      <c r="AQ541" s="2">
        <f t="shared" si="62"/>
        <v>0</v>
      </c>
      <c r="AR541">
        <f t="shared" si="59"/>
        <v>230</v>
      </c>
      <c r="AS541" t="str">
        <f t="shared" si="60"/>
        <v>High Claim Ratio</v>
      </c>
      <c r="AT541" t="str">
        <f t="shared" si="61"/>
        <v>High Profit</v>
      </c>
    </row>
    <row r="542" spans="1:46" x14ac:dyDescent="0.2">
      <c r="A542">
        <v>138</v>
      </c>
      <c r="B542">
        <v>30</v>
      </c>
      <c r="C542">
        <v>689034</v>
      </c>
      <c r="D542" s="1">
        <v>37265</v>
      </c>
      <c r="E542" t="s">
        <v>39</v>
      </c>
      <c r="F542" t="s">
        <v>91</v>
      </c>
      <c r="G542">
        <v>500</v>
      </c>
      <c r="H542">
        <v>1093.07</v>
      </c>
      <c r="I542">
        <v>4000000</v>
      </c>
      <c r="J542">
        <v>463291</v>
      </c>
      <c r="K542" t="s">
        <v>70</v>
      </c>
      <c r="L542" t="s">
        <v>71</v>
      </c>
      <c r="M542" t="s">
        <v>111</v>
      </c>
      <c r="N542" t="s">
        <v>59</v>
      </c>
      <c r="O542" t="s">
        <v>119</v>
      </c>
      <c r="P542">
        <v>27700</v>
      </c>
      <c r="Q542">
        <v>-72400</v>
      </c>
      <c r="R542" s="1">
        <v>42010</v>
      </c>
      <c r="S542" t="s">
        <v>46</v>
      </c>
      <c r="T542" t="s">
        <v>86</v>
      </c>
      <c r="U542" t="s">
        <v>48</v>
      </c>
      <c r="V542" t="s">
        <v>120</v>
      </c>
      <c r="W542" t="s">
        <v>64</v>
      </c>
      <c r="X542" t="s">
        <v>122</v>
      </c>
      <c r="Y542" t="s">
        <v>719</v>
      </c>
      <c r="Z542">
        <v>0</v>
      </c>
      <c r="AA542">
        <v>1</v>
      </c>
      <c r="AB542" t="s">
        <v>62</v>
      </c>
      <c r="AC542">
        <v>2</v>
      </c>
      <c r="AD542">
        <v>2</v>
      </c>
      <c r="AE542" t="s">
        <v>79</v>
      </c>
      <c r="AF542">
        <v>83160</v>
      </c>
      <c r="AG542">
        <v>6930</v>
      </c>
      <c r="AH542">
        <v>13860</v>
      </c>
      <c r="AI542">
        <v>62370</v>
      </c>
      <c r="AJ542" t="s">
        <v>214</v>
      </c>
      <c r="AK542" t="s">
        <v>258</v>
      </c>
      <c r="AL542">
        <v>2011</v>
      </c>
      <c r="AM542" t="s">
        <v>82</v>
      </c>
      <c r="AN542" s="2">
        <f t="shared" si="56"/>
        <v>76.009761715429548</v>
      </c>
      <c r="AO542">
        <f t="shared" si="57"/>
        <v>-82066.929999999993</v>
      </c>
      <c r="AP542" s="2">
        <f t="shared" si="58"/>
        <v>1.3144021837159245E-2</v>
      </c>
      <c r="AQ542" s="2">
        <f t="shared" si="62"/>
        <v>4</v>
      </c>
      <c r="AR542">
        <f t="shared" si="59"/>
        <v>138</v>
      </c>
      <c r="AS542" t="str">
        <f t="shared" si="60"/>
        <v>High Claim Ratio</v>
      </c>
      <c r="AT542" t="str">
        <f t="shared" si="61"/>
        <v>High Profit</v>
      </c>
    </row>
    <row r="543" spans="1:46" x14ac:dyDescent="0.2">
      <c r="A543">
        <v>239</v>
      </c>
      <c r="B543">
        <v>41</v>
      </c>
      <c r="C543">
        <v>743092</v>
      </c>
      <c r="D543" s="1">
        <v>41589</v>
      </c>
      <c r="E543" t="s">
        <v>39</v>
      </c>
      <c r="F543" t="s">
        <v>40</v>
      </c>
      <c r="G543">
        <v>1000</v>
      </c>
      <c r="H543">
        <v>1325.44</v>
      </c>
      <c r="I543">
        <v>7000000</v>
      </c>
      <c r="J543">
        <v>474898</v>
      </c>
      <c r="K543" t="s">
        <v>70</v>
      </c>
      <c r="L543" t="s">
        <v>161</v>
      </c>
      <c r="M543" t="s">
        <v>189</v>
      </c>
      <c r="N543" t="s">
        <v>165</v>
      </c>
      <c r="O543" t="s">
        <v>60</v>
      </c>
      <c r="P543">
        <v>51400</v>
      </c>
      <c r="Q543">
        <v>-6300</v>
      </c>
      <c r="R543" s="1">
        <v>42053</v>
      </c>
      <c r="S543" t="s">
        <v>138</v>
      </c>
      <c r="T543" t="s">
        <v>62</v>
      </c>
      <c r="U543" t="s">
        <v>212</v>
      </c>
      <c r="V543" t="s">
        <v>49</v>
      </c>
      <c r="W543" t="s">
        <v>121</v>
      </c>
      <c r="X543" t="s">
        <v>87</v>
      </c>
      <c r="Y543" t="s">
        <v>720</v>
      </c>
      <c r="Z543">
        <v>22</v>
      </c>
      <c r="AA543">
        <v>1</v>
      </c>
      <c r="AB543" t="s">
        <v>62</v>
      </c>
      <c r="AC543">
        <v>0</v>
      </c>
      <c r="AD543">
        <v>2</v>
      </c>
      <c r="AE543" t="s">
        <v>53</v>
      </c>
      <c r="AF543">
        <v>10790</v>
      </c>
      <c r="AG543">
        <v>1660</v>
      </c>
      <c r="AH543">
        <v>830</v>
      </c>
      <c r="AI543">
        <v>8300</v>
      </c>
      <c r="AJ543" t="s">
        <v>67</v>
      </c>
      <c r="AK543" t="s">
        <v>68</v>
      </c>
      <c r="AL543">
        <v>2013</v>
      </c>
      <c r="AM543" t="s">
        <v>82</v>
      </c>
      <c r="AN543" s="2">
        <f t="shared" si="56"/>
        <v>8.1345556527245861</v>
      </c>
      <c r="AO543">
        <f t="shared" si="57"/>
        <v>-9464.56</v>
      </c>
      <c r="AP543" s="2">
        <f t="shared" si="58"/>
        <v>0.12282828282828283</v>
      </c>
      <c r="AQ543" s="2">
        <f t="shared" si="62"/>
        <v>2</v>
      </c>
      <c r="AR543">
        <f t="shared" si="59"/>
        <v>239</v>
      </c>
      <c r="AS543" t="str">
        <f t="shared" si="60"/>
        <v>Medium Claim Ratio</v>
      </c>
      <c r="AT543" t="str">
        <f t="shared" si="61"/>
        <v>High Profit</v>
      </c>
    </row>
    <row r="544" spans="1:46" x14ac:dyDescent="0.2">
      <c r="A544">
        <v>93</v>
      </c>
      <c r="B544">
        <v>31</v>
      </c>
      <c r="C544">
        <v>599174</v>
      </c>
      <c r="D544" s="1">
        <v>39461</v>
      </c>
      <c r="E544" t="s">
        <v>83</v>
      </c>
      <c r="F544" t="s">
        <v>69</v>
      </c>
      <c r="G544">
        <v>2000</v>
      </c>
      <c r="H544">
        <v>1017.18</v>
      </c>
      <c r="I544">
        <v>0</v>
      </c>
      <c r="J544">
        <v>431354</v>
      </c>
      <c r="K544" t="s">
        <v>70</v>
      </c>
      <c r="L544" t="s">
        <v>42</v>
      </c>
      <c r="M544" t="s">
        <v>101</v>
      </c>
      <c r="N544" t="s">
        <v>165</v>
      </c>
      <c r="O544" t="s">
        <v>45</v>
      </c>
      <c r="P544">
        <v>0</v>
      </c>
      <c r="Q544">
        <v>0</v>
      </c>
      <c r="R544" s="1">
        <v>42052</v>
      </c>
      <c r="S544" t="s">
        <v>75</v>
      </c>
      <c r="T544" t="s">
        <v>76</v>
      </c>
      <c r="U544" t="s">
        <v>48</v>
      </c>
      <c r="V544" t="s">
        <v>49</v>
      </c>
      <c r="W544" t="s">
        <v>121</v>
      </c>
      <c r="X544" t="s">
        <v>87</v>
      </c>
      <c r="Y544" t="s">
        <v>721</v>
      </c>
      <c r="Z544">
        <v>21</v>
      </c>
      <c r="AA544">
        <v>3</v>
      </c>
      <c r="AB544" t="s">
        <v>53</v>
      </c>
      <c r="AC544">
        <v>1</v>
      </c>
      <c r="AD544">
        <v>3</v>
      </c>
      <c r="AE544" t="s">
        <v>79</v>
      </c>
      <c r="AF544">
        <v>48070</v>
      </c>
      <c r="AG544">
        <v>8740</v>
      </c>
      <c r="AH544">
        <v>8740</v>
      </c>
      <c r="AI544">
        <v>30590</v>
      </c>
      <c r="AJ544" t="s">
        <v>54</v>
      </c>
      <c r="AK544" t="s">
        <v>55</v>
      </c>
      <c r="AL544">
        <v>2014</v>
      </c>
      <c r="AM544" t="s">
        <v>82</v>
      </c>
      <c r="AN544" s="2">
        <f t="shared" si="56"/>
        <v>47.21169144944902</v>
      </c>
      <c r="AO544">
        <f t="shared" si="57"/>
        <v>-47052.82</v>
      </c>
      <c r="AP544" s="2">
        <f t="shared" si="58"/>
        <v>2.1159950905951613E-2</v>
      </c>
      <c r="AQ544" s="2">
        <f t="shared" si="62"/>
        <v>1</v>
      </c>
      <c r="AR544">
        <f t="shared" si="59"/>
        <v>93</v>
      </c>
      <c r="AS544" t="str">
        <f t="shared" si="60"/>
        <v>High Claim Ratio</v>
      </c>
      <c r="AT544" t="str">
        <f t="shared" si="61"/>
        <v>High Profit</v>
      </c>
    </row>
    <row r="545" spans="1:46" x14ac:dyDescent="0.2">
      <c r="A545">
        <v>37</v>
      </c>
      <c r="B545">
        <v>25</v>
      </c>
      <c r="C545">
        <v>421092</v>
      </c>
      <c r="D545" s="1">
        <v>37684</v>
      </c>
      <c r="E545" t="s">
        <v>39</v>
      </c>
      <c r="F545" t="s">
        <v>69</v>
      </c>
      <c r="G545">
        <v>1000</v>
      </c>
      <c r="H545">
        <v>1221.17</v>
      </c>
      <c r="I545">
        <v>0</v>
      </c>
      <c r="J545">
        <v>617460</v>
      </c>
      <c r="K545" t="s">
        <v>70</v>
      </c>
      <c r="L545" t="s">
        <v>124</v>
      </c>
      <c r="M545" t="s">
        <v>135</v>
      </c>
      <c r="N545" t="s">
        <v>112</v>
      </c>
      <c r="O545" t="s">
        <v>142</v>
      </c>
      <c r="P545">
        <v>49300</v>
      </c>
      <c r="Q545">
        <v>0</v>
      </c>
      <c r="R545" s="1">
        <v>42028</v>
      </c>
      <c r="S545" t="s">
        <v>75</v>
      </c>
      <c r="T545" t="s">
        <v>76</v>
      </c>
      <c r="U545" t="s">
        <v>63</v>
      </c>
      <c r="V545" t="s">
        <v>136</v>
      </c>
      <c r="W545" t="s">
        <v>50</v>
      </c>
      <c r="X545" t="s">
        <v>156</v>
      </c>
      <c r="Y545" t="s">
        <v>722</v>
      </c>
      <c r="Z545">
        <v>4</v>
      </c>
      <c r="AA545">
        <v>3</v>
      </c>
      <c r="AB545" t="s">
        <v>53</v>
      </c>
      <c r="AC545">
        <v>0</v>
      </c>
      <c r="AD545">
        <v>0</v>
      </c>
      <c r="AE545" t="s">
        <v>53</v>
      </c>
      <c r="AF545">
        <v>51030</v>
      </c>
      <c r="AG545">
        <v>5670</v>
      </c>
      <c r="AH545">
        <v>11340</v>
      </c>
      <c r="AI545">
        <v>34020</v>
      </c>
      <c r="AJ545" t="s">
        <v>153</v>
      </c>
      <c r="AK545" t="s">
        <v>163</v>
      </c>
      <c r="AL545">
        <v>1996</v>
      </c>
      <c r="AM545" t="s">
        <v>82</v>
      </c>
      <c r="AN545" s="2">
        <f t="shared" si="56"/>
        <v>41.753602199366696</v>
      </c>
      <c r="AO545">
        <f t="shared" si="57"/>
        <v>-49808.83</v>
      </c>
      <c r="AP545" s="2">
        <f t="shared" si="58"/>
        <v>2.3929964139444652E-2</v>
      </c>
      <c r="AQ545" s="2">
        <f t="shared" si="62"/>
        <v>19</v>
      </c>
      <c r="AR545">
        <f t="shared" si="59"/>
        <v>37</v>
      </c>
      <c r="AS545" t="str">
        <f t="shared" si="60"/>
        <v>High Claim Ratio</v>
      </c>
      <c r="AT545" t="str">
        <f t="shared" si="61"/>
        <v>High Profit</v>
      </c>
    </row>
    <row r="546" spans="1:46" x14ac:dyDescent="0.2">
      <c r="A546">
        <v>254</v>
      </c>
      <c r="B546">
        <v>40</v>
      </c>
      <c r="C546">
        <v>349658</v>
      </c>
      <c r="D546" s="1">
        <v>34492</v>
      </c>
      <c r="E546" t="s">
        <v>57</v>
      </c>
      <c r="F546" t="s">
        <v>69</v>
      </c>
      <c r="G546">
        <v>500</v>
      </c>
      <c r="H546">
        <v>1927.87</v>
      </c>
      <c r="I546">
        <v>0</v>
      </c>
      <c r="J546">
        <v>609317</v>
      </c>
      <c r="K546" t="s">
        <v>41</v>
      </c>
      <c r="L546" t="s">
        <v>42</v>
      </c>
      <c r="M546" t="s">
        <v>101</v>
      </c>
      <c r="N546" t="s">
        <v>155</v>
      </c>
      <c r="O546" t="s">
        <v>45</v>
      </c>
      <c r="P546">
        <v>0</v>
      </c>
      <c r="Q546">
        <v>0</v>
      </c>
      <c r="R546" s="1">
        <v>42025</v>
      </c>
      <c r="S546" t="s">
        <v>46</v>
      </c>
      <c r="T546" t="s">
        <v>86</v>
      </c>
      <c r="U546" t="s">
        <v>63</v>
      </c>
      <c r="V546" t="s">
        <v>99</v>
      </c>
      <c r="W546" t="s">
        <v>64</v>
      </c>
      <c r="X546" t="s">
        <v>87</v>
      </c>
      <c r="Y546" t="s">
        <v>723</v>
      </c>
      <c r="Z546">
        <v>10</v>
      </c>
      <c r="AA546">
        <v>1</v>
      </c>
      <c r="AB546" t="s">
        <v>53</v>
      </c>
      <c r="AC546">
        <v>0</v>
      </c>
      <c r="AD546">
        <v>1</v>
      </c>
      <c r="AE546" t="s">
        <v>62</v>
      </c>
      <c r="AF546">
        <v>43280</v>
      </c>
      <c r="AG546">
        <v>0</v>
      </c>
      <c r="AH546">
        <v>5410</v>
      </c>
      <c r="AI546">
        <v>37870</v>
      </c>
      <c r="AJ546" t="s">
        <v>209</v>
      </c>
      <c r="AK546" t="s">
        <v>210</v>
      </c>
      <c r="AL546">
        <v>1996</v>
      </c>
      <c r="AM546" t="s">
        <v>56</v>
      </c>
      <c r="AN546" s="2">
        <f t="shared" si="56"/>
        <v>22.438007745467555</v>
      </c>
      <c r="AO546">
        <f t="shared" si="57"/>
        <v>-41352.129999999997</v>
      </c>
      <c r="AP546" s="2">
        <f t="shared" si="58"/>
        <v>4.4543102054019082E-2</v>
      </c>
      <c r="AQ546" s="2">
        <f t="shared" si="62"/>
        <v>19</v>
      </c>
      <c r="AR546">
        <f t="shared" si="59"/>
        <v>254</v>
      </c>
      <c r="AS546" t="str">
        <f t="shared" si="60"/>
        <v>High Claim Ratio</v>
      </c>
      <c r="AT546" t="str">
        <f t="shared" si="61"/>
        <v>High Profit</v>
      </c>
    </row>
    <row r="547" spans="1:46" x14ac:dyDescent="0.2">
      <c r="A547">
        <v>131</v>
      </c>
      <c r="B547">
        <v>29</v>
      </c>
      <c r="C547">
        <v>811042</v>
      </c>
      <c r="D547" s="1">
        <v>41459</v>
      </c>
      <c r="E547" t="s">
        <v>57</v>
      </c>
      <c r="F547" t="s">
        <v>40</v>
      </c>
      <c r="G547">
        <v>1000</v>
      </c>
      <c r="H547">
        <v>978.27</v>
      </c>
      <c r="I547">
        <v>0</v>
      </c>
      <c r="J547">
        <v>479821</v>
      </c>
      <c r="K547" t="s">
        <v>70</v>
      </c>
      <c r="L547" t="s">
        <v>92</v>
      </c>
      <c r="M547" t="s">
        <v>72</v>
      </c>
      <c r="N547" t="s">
        <v>165</v>
      </c>
      <c r="O547" t="s">
        <v>74</v>
      </c>
      <c r="P547">
        <v>65700</v>
      </c>
      <c r="Q547">
        <v>0</v>
      </c>
      <c r="R547" s="1">
        <v>42038</v>
      </c>
      <c r="S547" t="s">
        <v>46</v>
      </c>
      <c r="T547" t="s">
        <v>86</v>
      </c>
      <c r="U547" t="s">
        <v>48</v>
      </c>
      <c r="V547" t="s">
        <v>99</v>
      </c>
      <c r="W547" t="s">
        <v>50</v>
      </c>
      <c r="X547" t="s">
        <v>122</v>
      </c>
      <c r="Y547" t="s">
        <v>724</v>
      </c>
      <c r="Z547">
        <v>5</v>
      </c>
      <c r="AA547">
        <v>1</v>
      </c>
      <c r="AB547" t="s">
        <v>62</v>
      </c>
      <c r="AC547">
        <v>1</v>
      </c>
      <c r="AD547">
        <v>3</v>
      </c>
      <c r="AE547" t="s">
        <v>79</v>
      </c>
      <c r="AF547">
        <v>76400</v>
      </c>
      <c r="AG547">
        <v>15280</v>
      </c>
      <c r="AH547">
        <v>7640</v>
      </c>
      <c r="AI547">
        <v>53480</v>
      </c>
      <c r="AJ547" t="s">
        <v>153</v>
      </c>
      <c r="AK547" t="s">
        <v>167</v>
      </c>
      <c r="AL547">
        <v>2003</v>
      </c>
      <c r="AM547" t="s">
        <v>82</v>
      </c>
      <c r="AN547" s="2">
        <f t="shared" si="56"/>
        <v>78.017298599977536</v>
      </c>
      <c r="AO547">
        <f t="shared" si="57"/>
        <v>-75421.73</v>
      </c>
      <c r="AP547" s="2">
        <f t="shared" si="58"/>
        <v>1.2804413554796402E-2</v>
      </c>
      <c r="AQ547" s="2">
        <f t="shared" si="62"/>
        <v>12</v>
      </c>
      <c r="AR547">
        <f t="shared" si="59"/>
        <v>131</v>
      </c>
      <c r="AS547" t="str">
        <f t="shared" si="60"/>
        <v>High Claim Ratio</v>
      </c>
      <c r="AT547" t="str">
        <f t="shared" si="61"/>
        <v>High Profit</v>
      </c>
    </row>
    <row r="548" spans="1:46" x14ac:dyDescent="0.2">
      <c r="A548">
        <v>230</v>
      </c>
      <c r="B548">
        <v>43</v>
      </c>
      <c r="C548">
        <v>505316</v>
      </c>
      <c r="D548" s="1">
        <v>37437</v>
      </c>
      <c r="E548" t="s">
        <v>57</v>
      </c>
      <c r="F548" t="s">
        <v>69</v>
      </c>
      <c r="G548">
        <v>2000</v>
      </c>
      <c r="H548">
        <v>1221.1400000000001</v>
      </c>
      <c r="I548">
        <v>0</v>
      </c>
      <c r="J548">
        <v>473394</v>
      </c>
      <c r="K548" t="s">
        <v>41</v>
      </c>
      <c r="L548" t="s">
        <v>42</v>
      </c>
      <c r="M548" t="s">
        <v>101</v>
      </c>
      <c r="N548" t="s">
        <v>73</v>
      </c>
      <c r="O548" t="s">
        <v>119</v>
      </c>
      <c r="P548">
        <v>48100</v>
      </c>
      <c r="Q548">
        <v>0</v>
      </c>
      <c r="R548" s="1">
        <v>42011</v>
      </c>
      <c r="S548" t="s">
        <v>46</v>
      </c>
      <c r="T548" t="s">
        <v>47</v>
      </c>
      <c r="U548" t="s">
        <v>107</v>
      </c>
      <c r="V548" t="s">
        <v>136</v>
      </c>
      <c r="W548" t="s">
        <v>64</v>
      </c>
      <c r="X548" t="s">
        <v>122</v>
      </c>
      <c r="Y548" t="s">
        <v>725</v>
      </c>
      <c r="Z548">
        <v>13</v>
      </c>
      <c r="AA548">
        <v>1</v>
      </c>
      <c r="AB548" t="s">
        <v>62</v>
      </c>
      <c r="AC548">
        <v>0</v>
      </c>
      <c r="AD548">
        <v>2</v>
      </c>
      <c r="AE548" t="s">
        <v>62</v>
      </c>
      <c r="AF548">
        <v>75460</v>
      </c>
      <c r="AG548">
        <v>13720</v>
      </c>
      <c r="AH548">
        <v>13720</v>
      </c>
      <c r="AI548">
        <v>48020</v>
      </c>
      <c r="AJ548" t="s">
        <v>109</v>
      </c>
      <c r="AK548" t="s">
        <v>110</v>
      </c>
      <c r="AL548">
        <v>2002</v>
      </c>
      <c r="AM548" t="s">
        <v>82</v>
      </c>
      <c r="AN548" s="2">
        <f t="shared" si="56"/>
        <v>61.744153697612383</v>
      </c>
      <c r="AO548">
        <f t="shared" si="57"/>
        <v>-74238.86</v>
      </c>
      <c r="AP548" s="2">
        <f t="shared" si="58"/>
        <v>1.6182398855037704E-2</v>
      </c>
      <c r="AQ548" s="2">
        <f t="shared" si="62"/>
        <v>13</v>
      </c>
      <c r="AR548">
        <f t="shared" si="59"/>
        <v>230</v>
      </c>
      <c r="AS548" t="str">
        <f t="shared" si="60"/>
        <v>High Claim Ratio</v>
      </c>
      <c r="AT548" t="str">
        <f t="shared" si="61"/>
        <v>High Profit</v>
      </c>
    </row>
    <row r="549" spans="1:46" x14ac:dyDescent="0.2">
      <c r="A549">
        <v>313</v>
      </c>
      <c r="B549">
        <v>50</v>
      </c>
      <c r="C549">
        <v>116645</v>
      </c>
      <c r="D549" s="1">
        <v>38168</v>
      </c>
      <c r="E549" t="s">
        <v>39</v>
      </c>
      <c r="F549" t="s">
        <v>69</v>
      </c>
      <c r="G549">
        <v>2000</v>
      </c>
      <c r="H549">
        <v>1255.6199999999999</v>
      </c>
      <c r="I549">
        <v>0</v>
      </c>
      <c r="J549">
        <v>603882</v>
      </c>
      <c r="K549" t="s">
        <v>41</v>
      </c>
      <c r="L549" t="s">
        <v>42</v>
      </c>
      <c r="M549" t="s">
        <v>84</v>
      </c>
      <c r="N549" t="s">
        <v>173</v>
      </c>
      <c r="O549" t="s">
        <v>85</v>
      </c>
      <c r="P549">
        <v>0</v>
      </c>
      <c r="Q549">
        <v>0</v>
      </c>
      <c r="R549" s="1">
        <v>42037</v>
      </c>
      <c r="S549" t="s">
        <v>75</v>
      </c>
      <c r="T549" t="s">
        <v>47</v>
      </c>
      <c r="U549" t="s">
        <v>48</v>
      </c>
      <c r="V549" t="s">
        <v>120</v>
      </c>
      <c r="W549" t="s">
        <v>39</v>
      </c>
      <c r="X549" t="s">
        <v>156</v>
      </c>
      <c r="Y549" t="s">
        <v>726</v>
      </c>
      <c r="Z549">
        <v>18</v>
      </c>
      <c r="AA549">
        <v>3</v>
      </c>
      <c r="AB549" t="s">
        <v>53</v>
      </c>
      <c r="AC549">
        <v>2</v>
      </c>
      <c r="AD549">
        <v>1</v>
      </c>
      <c r="AE549" t="s">
        <v>53</v>
      </c>
      <c r="AF549">
        <v>69000</v>
      </c>
      <c r="AG549">
        <v>13800</v>
      </c>
      <c r="AH549">
        <v>6900</v>
      </c>
      <c r="AI549">
        <v>48300</v>
      </c>
      <c r="AJ549" t="s">
        <v>129</v>
      </c>
      <c r="AK549" t="s">
        <v>130</v>
      </c>
      <c r="AL549">
        <v>1995</v>
      </c>
      <c r="AM549" t="s">
        <v>56</v>
      </c>
      <c r="AN549" s="2">
        <f t="shared" si="56"/>
        <v>54.909200872180932</v>
      </c>
      <c r="AO549">
        <f t="shared" si="57"/>
        <v>-67744.38</v>
      </c>
      <c r="AP549" s="2">
        <f t="shared" si="58"/>
        <v>1.819712757786119E-2</v>
      </c>
      <c r="AQ549" s="2">
        <f t="shared" si="62"/>
        <v>20</v>
      </c>
      <c r="AR549">
        <f t="shared" si="59"/>
        <v>313</v>
      </c>
      <c r="AS549" t="str">
        <f t="shared" si="60"/>
        <v>High Claim Ratio</v>
      </c>
      <c r="AT549" t="str">
        <f t="shared" si="61"/>
        <v>High Profit</v>
      </c>
    </row>
    <row r="550" spans="1:46" x14ac:dyDescent="0.2">
      <c r="A550">
        <v>210</v>
      </c>
      <c r="B550">
        <v>38</v>
      </c>
      <c r="C550">
        <v>950880</v>
      </c>
      <c r="D550" s="1">
        <v>36148</v>
      </c>
      <c r="E550" t="s">
        <v>57</v>
      </c>
      <c r="F550" t="s">
        <v>40</v>
      </c>
      <c r="G550">
        <v>500</v>
      </c>
      <c r="H550">
        <v>999.52</v>
      </c>
      <c r="I550">
        <v>0</v>
      </c>
      <c r="J550">
        <v>615229</v>
      </c>
      <c r="K550" t="s">
        <v>41</v>
      </c>
      <c r="L550" t="s">
        <v>161</v>
      </c>
      <c r="M550" t="s">
        <v>97</v>
      </c>
      <c r="N550" t="s">
        <v>112</v>
      </c>
      <c r="O550" t="s">
        <v>60</v>
      </c>
      <c r="P550">
        <v>0</v>
      </c>
      <c r="Q550">
        <v>0</v>
      </c>
      <c r="R550" s="1">
        <v>42017</v>
      </c>
      <c r="S550" t="s">
        <v>61</v>
      </c>
      <c r="T550" t="s">
        <v>62</v>
      </c>
      <c r="U550" t="s">
        <v>63</v>
      </c>
      <c r="V550" t="s">
        <v>49</v>
      </c>
      <c r="W550" t="s">
        <v>64</v>
      </c>
      <c r="X550" t="s">
        <v>102</v>
      </c>
      <c r="Y550" t="s">
        <v>727</v>
      </c>
      <c r="Z550">
        <v>6</v>
      </c>
      <c r="AA550">
        <v>1</v>
      </c>
      <c r="AB550" t="s">
        <v>62</v>
      </c>
      <c r="AC550">
        <v>1</v>
      </c>
      <c r="AD550">
        <v>2</v>
      </c>
      <c r="AE550" t="s">
        <v>79</v>
      </c>
      <c r="AF550">
        <v>8640</v>
      </c>
      <c r="AG550">
        <v>1440</v>
      </c>
      <c r="AH550">
        <v>720</v>
      </c>
      <c r="AI550">
        <v>6480</v>
      </c>
      <c r="AJ550" t="s">
        <v>95</v>
      </c>
      <c r="AK550" t="s">
        <v>158</v>
      </c>
      <c r="AL550">
        <v>2008</v>
      </c>
      <c r="AM550" t="s">
        <v>82</v>
      </c>
      <c r="AN550" s="2">
        <f t="shared" si="56"/>
        <v>8.6355095350417788</v>
      </c>
      <c r="AO550">
        <f t="shared" si="57"/>
        <v>-7640.48</v>
      </c>
      <c r="AP550" s="2">
        <f t="shared" si="58"/>
        <v>0.11567179724568916</v>
      </c>
      <c r="AQ550" s="2">
        <f t="shared" si="62"/>
        <v>7</v>
      </c>
      <c r="AR550">
        <f t="shared" si="59"/>
        <v>210</v>
      </c>
      <c r="AS550" t="str">
        <f t="shared" si="60"/>
        <v>Medium Claim Ratio</v>
      </c>
      <c r="AT550" t="str">
        <f t="shared" si="61"/>
        <v>High Profit</v>
      </c>
    </row>
    <row r="551" spans="1:46" x14ac:dyDescent="0.2">
      <c r="A551">
        <v>101</v>
      </c>
      <c r="B551">
        <v>29</v>
      </c>
      <c r="C551">
        <v>788502</v>
      </c>
      <c r="D551" s="1">
        <v>41882</v>
      </c>
      <c r="E551" t="s">
        <v>39</v>
      </c>
      <c r="F551" t="s">
        <v>40</v>
      </c>
      <c r="G551">
        <v>500</v>
      </c>
      <c r="H551">
        <v>1380.89</v>
      </c>
      <c r="I551">
        <v>0</v>
      </c>
      <c r="J551">
        <v>620197</v>
      </c>
      <c r="K551" t="s">
        <v>41</v>
      </c>
      <c r="L551" t="s">
        <v>71</v>
      </c>
      <c r="M551" t="s">
        <v>84</v>
      </c>
      <c r="N551" t="s">
        <v>126</v>
      </c>
      <c r="O551" t="s">
        <v>74</v>
      </c>
      <c r="P551">
        <v>30000</v>
      </c>
      <c r="Q551">
        <v>-53000</v>
      </c>
      <c r="R551" s="1">
        <v>42063</v>
      </c>
      <c r="S551" t="s">
        <v>75</v>
      </c>
      <c r="T551" t="s">
        <v>76</v>
      </c>
      <c r="U551" t="s">
        <v>63</v>
      </c>
      <c r="V551" t="s">
        <v>136</v>
      </c>
      <c r="W551" t="s">
        <v>50</v>
      </c>
      <c r="X551" t="s">
        <v>87</v>
      </c>
      <c r="Y551" t="s">
        <v>728</v>
      </c>
      <c r="Z551">
        <v>0</v>
      </c>
      <c r="AA551">
        <v>3</v>
      </c>
      <c r="AB551" t="s">
        <v>62</v>
      </c>
      <c r="AC551">
        <v>2</v>
      </c>
      <c r="AD551">
        <v>1</v>
      </c>
      <c r="AE551" t="s">
        <v>62</v>
      </c>
      <c r="AF551">
        <v>67210</v>
      </c>
      <c r="AG551">
        <v>12220</v>
      </c>
      <c r="AH551">
        <v>12220</v>
      </c>
      <c r="AI551">
        <v>42770</v>
      </c>
      <c r="AJ551" t="s">
        <v>187</v>
      </c>
      <c r="AK551" t="s">
        <v>238</v>
      </c>
      <c r="AL551">
        <v>1996</v>
      </c>
      <c r="AM551" t="s">
        <v>82</v>
      </c>
      <c r="AN551" s="2">
        <f t="shared" si="56"/>
        <v>48.636287982400908</v>
      </c>
      <c r="AO551">
        <f t="shared" si="57"/>
        <v>-65829.11</v>
      </c>
      <c r="AP551" s="2">
        <f t="shared" si="58"/>
        <v>2.0545595215068962E-2</v>
      </c>
      <c r="AQ551" s="2">
        <f t="shared" si="62"/>
        <v>19</v>
      </c>
      <c r="AR551">
        <f t="shared" si="59"/>
        <v>101</v>
      </c>
      <c r="AS551" t="str">
        <f t="shared" si="60"/>
        <v>High Claim Ratio</v>
      </c>
      <c r="AT551" t="str">
        <f t="shared" si="61"/>
        <v>High Profit</v>
      </c>
    </row>
    <row r="552" spans="1:46" x14ac:dyDescent="0.2">
      <c r="A552">
        <v>153</v>
      </c>
      <c r="B552">
        <v>37</v>
      </c>
      <c r="C552">
        <v>627486</v>
      </c>
      <c r="D552" s="1">
        <v>38666</v>
      </c>
      <c r="E552" t="s">
        <v>57</v>
      </c>
      <c r="F552" t="s">
        <v>91</v>
      </c>
      <c r="G552">
        <v>500</v>
      </c>
      <c r="H552">
        <v>1010.77</v>
      </c>
      <c r="I552">
        <v>0</v>
      </c>
      <c r="J552">
        <v>438215</v>
      </c>
      <c r="K552" t="s">
        <v>41</v>
      </c>
      <c r="L552" t="s">
        <v>131</v>
      </c>
      <c r="M552" t="s">
        <v>145</v>
      </c>
      <c r="N552" t="s">
        <v>179</v>
      </c>
      <c r="O552" t="s">
        <v>85</v>
      </c>
      <c r="P552">
        <v>52300</v>
      </c>
      <c r="Q552">
        <v>-55600</v>
      </c>
      <c r="R552" s="1">
        <v>42020</v>
      </c>
      <c r="S552" t="s">
        <v>75</v>
      </c>
      <c r="T552" t="s">
        <v>47</v>
      </c>
      <c r="U552" t="s">
        <v>107</v>
      </c>
      <c r="V552" t="s">
        <v>136</v>
      </c>
      <c r="W552" t="s">
        <v>121</v>
      </c>
      <c r="X552" t="s">
        <v>87</v>
      </c>
      <c r="Y552" t="s">
        <v>729</v>
      </c>
      <c r="Z552">
        <v>5</v>
      </c>
      <c r="AA552">
        <v>3</v>
      </c>
      <c r="AB552" t="s">
        <v>62</v>
      </c>
      <c r="AC552">
        <v>0</v>
      </c>
      <c r="AD552">
        <v>3</v>
      </c>
      <c r="AE552" t="s">
        <v>79</v>
      </c>
      <c r="AF552">
        <v>42500</v>
      </c>
      <c r="AG552">
        <v>4250</v>
      </c>
      <c r="AH552">
        <v>4250</v>
      </c>
      <c r="AI552">
        <v>34000</v>
      </c>
      <c r="AJ552" t="s">
        <v>214</v>
      </c>
      <c r="AK552" t="s">
        <v>258</v>
      </c>
      <c r="AL552">
        <v>1999</v>
      </c>
      <c r="AM552" t="s">
        <v>82</v>
      </c>
      <c r="AN552" s="2">
        <f t="shared" si="56"/>
        <v>42.005594156774762</v>
      </c>
      <c r="AO552">
        <f t="shared" si="57"/>
        <v>-41489.230000000003</v>
      </c>
      <c r="AP552" s="2">
        <f t="shared" si="58"/>
        <v>2.3782263946730664E-2</v>
      </c>
      <c r="AQ552" s="2">
        <f t="shared" si="62"/>
        <v>16</v>
      </c>
      <c r="AR552">
        <f t="shared" si="59"/>
        <v>153</v>
      </c>
      <c r="AS552" t="str">
        <f t="shared" si="60"/>
        <v>High Claim Ratio</v>
      </c>
      <c r="AT552" t="str">
        <f t="shared" si="61"/>
        <v>High Profit</v>
      </c>
    </row>
    <row r="553" spans="1:46" x14ac:dyDescent="0.2">
      <c r="A553">
        <v>337</v>
      </c>
      <c r="B553">
        <v>53</v>
      </c>
      <c r="C553">
        <v>498842</v>
      </c>
      <c r="D553" s="1">
        <v>36650</v>
      </c>
      <c r="E553" t="s">
        <v>39</v>
      </c>
      <c r="F553" t="s">
        <v>69</v>
      </c>
      <c r="G553">
        <v>500</v>
      </c>
      <c r="H553">
        <v>1205.8599999999999</v>
      </c>
      <c r="I553">
        <v>0</v>
      </c>
      <c r="J553">
        <v>444583</v>
      </c>
      <c r="K553" t="s">
        <v>41</v>
      </c>
      <c r="L553" t="s">
        <v>92</v>
      </c>
      <c r="M553" t="s">
        <v>84</v>
      </c>
      <c r="N553" t="s">
        <v>179</v>
      </c>
      <c r="O553" t="s">
        <v>119</v>
      </c>
      <c r="P553">
        <v>0</v>
      </c>
      <c r="Q553">
        <v>-34600</v>
      </c>
      <c r="R553" s="1">
        <v>42036</v>
      </c>
      <c r="S553" t="s">
        <v>46</v>
      </c>
      <c r="T553" t="s">
        <v>76</v>
      </c>
      <c r="U553" t="s">
        <v>63</v>
      </c>
      <c r="V553" t="s">
        <v>99</v>
      </c>
      <c r="W553" t="s">
        <v>50</v>
      </c>
      <c r="X553" t="s">
        <v>87</v>
      </c>
      <c r="Y553" t="s">
        <v>730</v>
      </c>
      <c r="Z553">
        <v>8</v>
      </c>
      <c r="AA553">
        <v>1</v>
      </c>
      <c r="AB553" t="s">
        <v>53</v>
      </c>
      <c r="AC553">
        <v>0</v>
      </c>
      <c r="AD553">
        <v>1</v>
      </c>
      <c r="AE553" t="s">
        <v>79</v>
      </c>
      <c r="AF553">
        <v>86400</v>
      </c>
      <c r="AG553">
        <v>14400</v>
      </c>
      <c r="AH553">
        <v>7200</v>
      </c>
      <c r="AI553">
        <v>64800</v>
      </c>
      <c r="AJ553" t="s">
        <v>95</v>
      </c>
      <c r="AK553" t="s">
        <v>96</v>
      </c>
      <c r="AL553">
        <v>2001</v>
      </c>
      <c r="AM553" t="s">
        <v>82</v>
      </c>
      <c r="AN553" s="2">
        <f t="shared" si="56"/>
        <v>71.590739605256616</v>
      </c>
      <c r="AO553">
        <f t="shared" si="57"/>
        <v>-85194.14</v>
      </c>
      <c r="AP553" s="2">
        <f t="shared" si="58"/>
        <v>1.3956551428802906E-2</v>
      </c>
      <c r="AQ553" s="2">
        <f t="shared" si="62"/>
        <v>14</v>
      </c>
      <c r="AR553">
        <f t="shared" si="59"/>
        <v>337</v>
      </c>
      <c r="AS553" t="str">
        <f t="shared" si="60"/>
        <v>High Claim Ratio</v>
      </c>
      <c r="AT553" t="str">
        <f t="shared" si="61"/>
        <v>High Profit</v>
      </c>
    </row>
    <row r="554" spans="1:46" x14ac:dyDescent="0.2">
      <c r="A554">
        <v>360</v>
      </c>
      <c r="B554">
        <v>51</v>
      </c>
      <c r="C554">
        <v>550294</v>
      </c>
      <c r="D554" s="1">
        <v>37221</v>
      </c>
      <c r="E554" t="s">
        <v>83</v>
      </c>
      <c r="F554" t="s">
        <v>91</v>
      </c>
      <c r="G554">
        <v>1000</v>
      </c>
      <c r="H554">
        <v>1526.61</v>
      </c>
      <c r="I554">
        <v>0</v>
      </c>
      <c r="J554">
        <v>471866</v>
      </c>
      <c r="K554" t="s">
        <v>41</v>
      </c>
      <c r="L554" t="s">
        <v>124</v>
      </c>
      <c r="M554" t="s">
        <v>159</v>
      </c>
      <c r="N554" t="s">
        <v>168</v>
      </c>
      <c r="O554" t="s">
        <v>142</v>
      </c>
      <c r="P554">
        <v>0</v>
      </c>
      <c r="Q554">
        <v>-32900</v>
      </c>
      <c r="R554" s="1">
        <v>42034</v>
      </c>
      <c r="S554" t="s">
        <v>61</v>
      </c>
      <c r="T554" t="s">
        <v>62</v>
      </c>
      <c r="U554" t="s">
        <v>63</v>
      </c>
      <c r="V554" t="s">
        <v>49</v>
      </c>
      <c r="W554" t="s">
        <v>50</v>
      </c>
      <c r="X554" t="s">
        <v>122</v>
      </c>
      <c r="Y554" t="s">
        <v>731</v>
      </c>
      <c r="Z554">
        <v>5</v>
      </c>
      <c r="AA554">
        <v>1</v>
      </c>
      <c r="AB554" t="s">
        <v>53</v>
      </c>
      <c r="AC554">
        <v>2</v>
      </c>
      <c r="AD554">
        <v>2</v>
      </c>
      <c r="AE554" t="s">
        <v>62</v>
      </c>
      <c r="AF554">
        <v>4620</v>
      </c>
      <c r="AG554">
        <v>840</v>
      </c>
      <c r="AH554">
        <v>840</v>
      </c>
      <c r="AI554">
        <v>2940</v>
      </c>
      <c r="AJ554" t="s">
        <v>80</v>
      </c>
      <c r="AK554" t="s">
        <v>81</v>
      </c>
      <c r="AL554">
        <v>2009</v>
      </c>
      <c r="AM554" t="s">
        <v>56</v>
      </c>
      <c r="AN554" s="2">
        <f t="shared" si="56"/>
        <v>3.0243321266553638</v>
      </c>
      <c r="AO554">
        <f t="shared" si="57"/>
        <v>-3093.3900000000003</v>
      </c>
      <c r="AP554" s="2">
        <f t="shared" si="58"/>
        <v>0.33036355767149966</v>
      </c>
      <c r="AQ554" s="2">
        <f t="shared" si="62"/>
        <v>6</v>
      </c>
      <c r="AR554">
        <f t="shared" si="59"/>
        <v>360</v>
      </c>
      <c r="AS554" t="str">
        <f t="shared" si="60"/>
        <v>Low Claim Ratio</v>
      </c>
      <c r="AT554" t="str">
        <f t="shared" si="61"/>
        <v>Low Profit</v>
      </c>
    </row>
    <row r="555" spans="1:46" x14ac:dyDescent="0.2">
      <c r="A555">
        <v>428</v>
      </c>
      <c r="B555">
        <v>53</v>
      </c>
      <c r="C555">
        <v>328387</v>
      </c>
      <c r="D555" s="1">
        <v>41765</v>
      </c>
      <c r="E555" t="s">
        <v>83</v>
      </c>
      <c r="F555" t="s">
        <v>69</v>
      </c>
      <c r="G555">
        <v>1000</v>
      </c>
      <c r="H555">
        <v>1496.44</v>
      </c>
      <c r="I555">
        <v>0</v>
      </c>
      <c r="J555">
        <v>616884</v>
      </c>
      <c r="K555" t="s">
        <v>70</v>
      </c>
      <c r="L555" t="s">
        <v>131</v>
      </c>
      <c r="M555" t="s">
        <v>97</v>
      </c>
      <c r="N555" t="s">
        <v>118</v>
      </c>
      <c r="O555" t="s">
        <v>85</v>
      </c>
      <c r="P555">
        <v>0</v>
      </c>
      <c r="Q555">
        <v>0</v>
      </c>
      <c r="R555" s="1">
        <v>42051</v>
      </c>
      <c r="S555" t="s">
        <v>138</v>
      </c>
      <c r="T555" t="s">
        <v>62</v>
      </c>
      <c r="U555" t="s">
        <v>212</v>
      </c>
      <c r="V555" t="s">
        <v>49</v>
      </c>
      <c r="W555" t="s">
        <v>121</v>
      </c>
      <c r="X555" t="s">
        <v>102</v>
      </c>
      <c r="Y555" t="s">
        <v>732</v>
      </c>
      <c r="Z555">
        <v>9</v>
      </c>
      <c r="AA555">
        <v>1</v>
      </c>
      <c r="AB555" t="s">
        <v>53</v>
      </c>
      <c r="AC555">
        <v>2</v>
      </c>
      <c r="AD555">
        <v>2</v>
      </c>
      <c r="AE555" t="s">
        <v>79</v>
      </c>
      <c r="AF555">
        <v>6930</v>
      </c>
      <c r="AG555">
        <v>630</v>
      </c>
      <c r="AH555">
        <v>1260</v>
      </c>
      <c r="AI555">
        <v>5040</v>
      </c>
      <c r="AJ555" t="s">
        <v>209</v>
      </c>
      <c r="AK555" t="s">
        <v>225</v>
      </c>
      <c r="AL555">
        <v>2013</v>
      </c>
      <c r="AM555" t="s">
        <v>82</v>
      </c>
      <c r="AN555" s="2">
        <f t="shared" si="56"/>
        <v>4.62789827973074</v>
      </c>
      <c r="AO555">
        <f t="shared" si="57"/>
        <v>-5433.5599999999995</v>
      </c>
      <c r="AP555" s="2">
        <f t="shared" si="58"/>
        <v>0.21590535276294909</v>
      </c>
      <c r="AQ555" s="2">
        <f t="shared" si="62"/>
        <v>2</v>
      </c>
      <c r="AR555">
        <f t="shared" si="59"/>
        <v>428</v>
      </c>
      <c r="AS555" t="str">
        <f t="shared" si="60"/>
        <v>Low Claim Ratio</v>
      </c>
      <c r="AT555" t="str">
        <f t="shared" si="61"/>
        <v>High Profit</v>
      </c>
    </row>
    <row r="556" spans="1:46" x14ac:dyDescent="0.2">
      <c r="A556">
        <v>204</v>
      </c>
      <c r="B556">
        <v>40</v>
      </c>
      <c r="C556">
        <v>540152</v>
      </c>
      <c r="D556" s="1">
        <v>33265</v>
      </c>
      <c r="E556" t="s">
        <v>83</v>
      </c>
      <c r="F556" t="s">
        <v>69</v>
      </c>
      <c r="G556">
        <v>500</v>
      </c>
      <c r="H556">
        <v>1256.2</v>
      </c>
      <c r="I556">
        <v>0</v>
      </c>
      <c r="J556">
        <v>448310</v>
      </c>
      <c r="K556" t="s">
        <v>70</v>
      </c>
      <c r="L556" t="s">
        <v>161</v>
      </c>
      <c r="M556" t="s">
        <v>72</v>
      </c>
      <c r="N556" t="s">
        <v>149</v>
      </c>
      <c r="O556" t="s">
        <v>142</v>
      </c>
      <c r="P556">
        <v>0</v>
      </c>
      <c r="Q556">
        <v>0</v>
      </c>
      <c r="R556" s="1">
        <v>42011</v>
      </c>
      <c r="S556" t="s">
        <v>75</v>
      </c>
      <c r="T556" t="s">
        <v>47</v>
      </c>
      <c r="U556" t="s">
        <v>63</v>
      </c>
      <c r="V556" t="s">
        <v>120</v>
      </c>
      <c r="W556" t="s">
        <v>50</v>
      </c>
      <c r="X556" t="s">
        <v>127</v>
      </c>
      <c r="Y556" t="s">
        <v>733</v>
      </c>
      <c r="Z556">
        <v>10</v>
      </c>
      <c r="AA556">
        <v>3</v>
      </c>
      <c r="AB556" t="s">
        <v>53</v>
      </c>
      <c r="AC556">
        <v>1</v>
      </c>
      <c r="AD556">
        <v>2</v>
      </c>
      <c r="AE556" t="s">
        <v>53</v>
      </c>
      <c r="AF556">
        <v>41700</v>
      </c>
      <c r="AG556">
        <v>8340</v>
      </c>
      <c r="AH556">
        <v>8340</v>
      </c>
      <c r="AI556">
        <v>25020</v>
      </c>
      <c r="AJ556" t="s">
        <v>54</v>
      </c>
      <c r="AK556">
        <v>95</v>
      </c>
      <c r="AL556">
        <v>2013</v>
      </c>
      <c r="AM556" t="s">
        <v>82</v>
      </c>
      <c r="AN556" s="2">
        <f t="shared" si="56"/>
        <v>33.168946866051542</v>
      </c>
      <c r="AO556">
        <f t="shared" si="57"/>
        <v>-40443.800000000003</v>
      </c>
      <c r="AP556" s="2">
        <f t="shared" si="58"/>
        <v>3.0123977842257982E-2</v>
      </c>
      <c r="AQ556" s="2">
        <f t="shared" si="62"/>
        <v>2</v>
      </c>
      <c r="AR556">
        <f t="shared" si="59"/>
        <v>204</v>
      </c>
      <c r="AS556" t="str">
        <f t="shared" si="60"/>
        <v>High Claim Ratio</v>
      </c>
      <c r="AT556" t="str">
        <f t="shared" si="61"/>
        <v>High Profit</v>
      </c>
    </row>
    <row r="557" spans="1:46" x14ac:dyDescent="0.2">
      <c r="A557">
        <v>364</v>
      </c>
      <c r="B557">
        <v>51</v>
      </c>
      <c r="C557">
        <v>385932</v>
      </c>
      <c r="D557" s="1">
        <v>33722</v>
      </c>
      <c r="E557" t="s">
        <v>83</v>
      </c>
      <c r="F557" t="s">
        <v>69</v>
      </c>
      <c r="G557">
        <v>500</v>
      </c>
      <c r="H557">
        <v>1268.3499999999999</v>
      </c>
      <c r="I557">
        <v>0</v>
      </c>
      <c r="J557">
        <v>478902</v>
      </c>
      <c r="K557" t="s">
        <v>41</v>
      </c>
      <c r="L557" t="s">
        <v>124</v>
      </c>
      <c r="M557" t="s">
        <v>145</v>
      </c>
      <c r="N557" t="s">
        <v>73</v>
      </c>
      <c r="O557" t="s">
        <v>119</v>
      </c>
      <c r="P557">
        <v>0</v>
      </c>
      <c r="Q557">
        <v>0</v>
      </c>
      <c r="R557" s="1">
        <v>42014</v>
      </c>
      <c r="S557" t="s">
        <v>46</v>
      </c>
      <c r="T557" t="s">
        <v>76</v>
      </c>
      <c r="U557" t="s">
        <v>48</v>
      </c>
      <c r="V557" t="s">
        <v>120</v>
      </c>
      <c r="W557" t="s">
        <v>77</v>
      </c>
      <c r="X557" t="s">
        <v>156</v>
      </c>
      <c r="Y557" t="s">
        <v>734</v>
      </c>
      <c r="Z557">
        <v>16</v>
      </c>
      <c r="AA557">
        <v>1</v>
      </c>
      <c r="AB557" t="s">
        <v>53</v>
      </c>
      <c r="AC557">
        <v>2</v>
      </c>
      <c r="AD557">
        <v>1</v>
      </c>
      <c r="AE557" t="s">
        <v>79</v>
      </c>
      <c r="AF557">
        <v>77330</v>
      </c>
      <c r="AG557">
        <v>14060</v>
      </c>
      <c r="AH557">
        <v>14060</v>
      </c>
      <c r="AI557">
        <v>49210</v>
      </c>
      <c r="AJ557" t="s">
        <v>214</v>
      </c>
      <c r="AK557" t="s">
        <v>258</v>
      </c>
      <c r="AL557">
        <v>2014</v>
      </c>
      <c r="AM557" t="s">
        <v>56</v>
      </c>
      <c r="AN557" s="2">
        <f t="shared" si="56"/>
        <v>60.92094379012881</v>
      </c>
      <c r="AO557">
        <f t="shared" si="57"/>
        <v>-76061.649999999994</v>
      </c>
      <c r="AP557" s="2">
        <f t="shared" si="58"/>
        <v>1.6401572461238054E-2</v>
      </c>
      <c r="AQ557" s="2">
        <f t="shared" si="62"/>
        <v>1</v>
      </c>
      <c r="AR557">
        <f t="shared" si="59"/>
        <v>364</v>
      </c>
      <c r="AS557" t="str">
        <f t="shared" si="60"/>
        <v>High Claim Ratio</v>
      </c>
      <c r="AT557" t="str">
        <f t="shared" si="61"/>
        <v>High Profit</v>
      </c>
    </row>
    <row r="558" spans="1:46" x14ac:dyDescent="0.2">
      <c r="A558">
        <v>185</v>
      </c>
      <c r="B558">
        <v>35</v>
      </c>
      <c r="C558">
        <v>618682</v>
      </c>
      <c r="D558" s="1">
        <v>36589</v>
      </c>
      <c r="E558" t="s">
        <v>57</v>
      </c>
      <c r="F558" t="s">
        <v>91</v>
      </c>
      <c r="G558">
        <v>2000</v>
      </c>
      <c r="H558">
        <v>1421.59</v>
      </c>
      <c r="I558">
        <v>0</v>
      </c>
      <c r="J558">
        <v>442695</v>
      </c>
      <c r="K558" t="s">
        <v>41</v>
      </c>
      <c r="L558" t="s">
        <v>141</v>
      </c>
      <c r="M558" t="s">
        <v>111</v>
      </c>
      <c r="N558" t="s">
        <v>44</v>
      </c>
      <c r="O558" t="s">
        <v>74</v>
      </c>
      <c r="P558">
        <v>0</v>
      </c>
      <c r="Q558">
        <v>0</v>
      </c>
      <c r="R558" s="1">
        <v>42035</v>
      </c>
      <c r="S558" t="s">
        <v>61</v>
      </c>
      <c r="T558" t="s">
        <v>62</v>
      </c>
      <c r="U558" t="s">
        <v>212</v>
      </c>
      <c r="V558" t="s">
        <v>49</v>
      </c>
      <c r="W558" t="s">
        <v>113</v>
      </c>
      <c r="X558" t="s">
        <v>87</v>
      </c>
      <c r="Y558" t="s">
        <v>735</v>
      </c>
      <c r="Z558">
        <v>8</v>
      </c>
      <c r="AA558">
        <v>1</v>
      </c>
      <c r="AB558" t="s">
        <v>62</v>
      </c>
      <c r="AC558">
        <v>2</v>
      </c>
      <c r="AD558">
        <v>3</v>
      </c>
      <c r="AE558" t="s">
        <v>53</v>
      </c>
      <c r="AF558">
        <v>4950</v>
      </c>
      <c r="AG558">
        <v>900</v>
      </c>
      <c r="AH558">
        <v>450</v>
      </c>
      <c r="AI558">
        <v>3600</v>
      </c>
      <c r="AJ558" t="s">
        <v>129</v>
      </c>
      <c r="AK558" t="s">
        <v>130</v>
      </c>
      <c r="AL558">
        <v>2011</v>
      </c>
      <c r="AM558" t="s">
        <v>82</v>
      </c>
      <c r="AN558" s="2">
        <f t="shared" si="56"/>
        <v>3.4795689552154876</v>
      </c>
      <c r="AO558">
        <f t="shared" si="57"/>
        <v>-3528.41</v>
      </c>
      <c r="AP558" s="2">
        <f t="shared" si="58"/>
        <v>0.2871318925469602</v>
      </c>
      <c r="AQ558" s="2">
        <f t="shared" si="62"/>
        <v>4</v>
      </c>
      <c r="AR558">
        <f t="shared" si="59"/>
        <v>185</v>
      </c>
      <c r="AS558" t="str">
        <f t="shared" si="60"/>
        <v>Low Claim Ratio</v>
      </c>
      <c r="AT558" t="str">
        <f t="shared" si="61"/>
        <v>Low Profit</v>
      </c>
    </row>
    <row r="559" spans="1:46" x14ac:dyDescent="0.2">
      <c r="A559">
        <v>63</v>
      </c>
      <c r="B559">
        <v>26</v>
      </c>
      <c r="C559">
        <v>550930</v>
      </c>
      <c r="D559" s="1">
        <v>34984</v>
      </c>
      <c r="E559" t="s">
        <v>83</v>
      </c>
      <c r="F559" t="s">
        <v>91</v>
      </c>
      <c r="G559">
        <v>500</v>
      </c>
      <c r="H559">
        <v>1500.04</v>
      </c>
      <c r="I559">
        <v>6000000</v>
      </c>
      <c r="J559">
        <v>613826</v>
      </c>
      <c r="K559" t="s">
        <v>41</v>
      </c>
      <c r="L559" t="s">
        <v>71</v>
      </c>
      <c r="M559" t="s">
        <v>43</v>
      </c>
      <c r="N559" t="s">
        <v>173</v>
      </c>
      <c r="O559" t="s">
        <v>74</v>
      </c>
      <c r="P559">
        <v>0</v>
      </c>
      <c r="Q559">
        <v>-36500</v>
      </c>
      <c r="R559" s="1">
        <v>42048</v>
      </c>
      <c r="S559" t="s">
        <v>61</v>
      </c>
      <c r="T559" t="s">
        <v>62</v>
      </c>
      <c r="U559" t="s">
        <v>63</v>
      </c>
      <c r="V559" t="s">
        <v>49</v>
      </c>
      <c r="W559" t="s">
        <v>121</v>
      </c>
      <c r="X559" t="s">
        <v>156</v>
      </c>
      <c r="Y559" t="s">
        <v>736</v>
      </c>
      <c r="Z559">
        <v>5</v>
      </c>
      <c r="AA559">
        <v>1</v>
      </c>
      <c r="AB559" t="s">
        <v>79</v>
      </c>
      <c r="AC559">
        <v>0</v>
      </c>
      <c r="AD559">
        <v>2</v>
      </c>
      <c r="AE559" t="s">
        <v>53</v>
      </c>
      <c r="AF559">
        <v>5160</v>
      </c>
      <c r="AG559">
        <v>860</v>
      </c>
      <c r="AH559">
        <v>860</v>
      </c>
      <c r="AI559">
        <v>3440</v>
      </c>
      <c r="AJ559" t="s">
        <v>95</v>
      </c>
      <c r="AK559" t="s">
        <v>158</v>
      </c>
      <c r="AL559">
        <v>2004</v>
      </c>
      <c r="AM559" t="s">
        <v>82</v>
      </c>
      <c r="AN559" s="2">
        <f t="shared" si="56"/>
        <v>3.4376165858338221</v>
      </c>
      <c r="AO559">
        <f t="shared" si="57"/>
        <v>-3659.96</v>
      </c>
      <c r="AP559" s="2">
        <f t="shared" si="58"/>
        <v>0.2906490990118194</v>
      </c>
      <c r="AQ559" s="2">
        <f t="shared" si="62"/>
        <v>11</v>
      </c>
      <c r="AR559">
        <f t="shared" si="59"/>
        <v>63</v>
      </c>
      <c r="AS559" t="str">
        <f t="shared" si="60"/>
        <v>Low Claim Ratio</v>
      </c>
      <c r="AT559" t="str">
        <f t="shared" si="61"/>
        <v>Low Profit</v>
      </c>
    </row>
    <row r="560" spans="1:46" x14ac:dyDescent="0.2">
      <c r="A560">
        <v>210</v>
      </c>
      <c r="B560">
        <v>35</v>
      </c>
      <c r="C560">
        <v>998192</v>
      </c>
      <c r="D560" s="1">
        <v>41754</v>
      </c>
      <c r="E560" t="s">
        <v>83</v>
      </c>
      <c r="F560" t="s">
        <v>69</v>
      </c>
      <c r="G560">
        <v>500</v>
      </c>
      <c r="H560">
        <v>1433.24</v>
      </c>
      <c r="I560">
        <v>0</v>
      </c>
      <c r="J560">
        <v>476203</v>
      </c>
      <c r="K560" t="s">
        <v>70</v>
      </c>
      <c r="L560" t="s">
        <v>141</v>
      </c>
      <c r="M560" t="s">
        <v>125</v>
      </c>
      <c r="N560" t="s">
        <v>155</v>
      </c>
      <c r="O560" t="s">
        <v>142</v>
      </c>
      <c r="P560">
        <v>0</v>
      </c>
      <c r="Q560">
        <v>-19500</v>
      </c>
      <c r="R560" s="1">
        <v>42057</v>
      </c>
      <c r="S560" t="s">
        <v>75</v>
      </c>
      <c r="T560" t="s">
        <v>47</v>
      </c>
      <c r="U560" t="s">
        <v>107</v>
      </c>
      <c r="V560" t="s">
        <v>99</v>
      </c>
      <c r="W560" t="s">
        <v>113</v>
      </c>
      <c r="X560" t="s">
        <v>65</v>
      </c>
      <c r="Y560" t="s">
        <v>737</v>
      </c>
      <c r="Z560">
        <v>11</v>
      </c>
      <c r="AA560">
        <v>3</v>
      </c>
      <c r="AB560" t="s">
        <v>79</v>
      </c>
      <c r="AC560">
        <v>2</v>
      </c>
      <c r="AD560">
        <v>1</v>
      </c>
      <c r="AE560" t="s">
        <v>62</v>
      </c>
      <c r="AF560">
        <v>24570</v>
      </c>
      <c r="AG560">
        <v>2730</v>
      </c>
      <c r="AH560">
        <v>2730</v>
      </c>
      <c r="AI560">
        <v>19110</v>
      </c>
      <c r="AJ560" t="s">
        <v>54</v>
      </c>
      <c r="AK560">
        <v>95</v>
      </c>
      <c r="AL560">
        <v>2006</v>
      </c>
      <c r="AM560" t="s">
        <v>56</v>
      </c>
      <c r="AN560" s="2">
        <f t="shared" si="56"/>
        <v>17.131024096385541</v>
      </c>
      <c r="AO560">
        <f t="shared" si="57"/>
        <v>-23136.76</v>
      </c>
      <c r="AP560" s="2">
        <f t="shared" si="58"/>
        <v>5.83305522770746E-2</v>
      </c>
      <c r="AQ560" s="2">
        <f t="shared" si="62"/>
        <v>9</v>
      </c>
      <c r="AR560">
        <f t="shared" si="59"/>
        <v>210</v>
      </c>
      <c r="AS560" t="str">
        <f t="shared" si="60"/>
        <v>Medium Claim Ratio</v>
      </c>
      <c r="AT560" t="str">
        <f t="shared" si="61"/>
        <v>High Profit</v>
      </c>
    </row>
    <row r="561" spans="1:46" x14ac:dyDescent="0.2">
      <c r="A561">
        <v>194</v>
      </c>
      <c r="B561">
        <v>38</v>
      </c>
      <c r="C561">
        <v>663938</v>
      </c>
      <c r="D561" s="1">
        <v>40569</v>
      </c>
      <c r="E561" t="s">
        <v>57</v>
      </c>
      <c r="F561" t="s">
        <v>69</v>
      </c>
      <c r="G561">
        <v>2000</v>
      </c>
      <c r="H561">
        <v>1231.25</v>
      </c>
      <c r="I561">
        <v>0</v>
      </c>
      <c r="J561">
        <v>604333</v>
      </c>
      <c r="K561" t="s">
        <v>70</v>
      </c>
      <c r="L561" t="s">
        <v>71</v>
      </c>
      <c r="M561" t="s">
        <v>43</v>
      </c>
      <c r="N561" t="s">
        <v>146</v>
      </c>
      <c r="O561" t="s">
        <v>142</v>
      </c>
      <c r="P561">
        <v>46500</v>
      </c>
      <c r="Q561">
        <v>0</v>
      </c>
      <c r="R561" s="1">
        <v>42012</v>
      </c>
      <c r="S561" t="s">
        <v>75</v>
      </c>
      <c r="T561" t="s">
        <v>76</v>
      </c>
      <c r="U561" t="s">
        <v>63</v>
      </c>
      <c r="V561" t="s">
        <v>136</v>
      </c>
      <c r="W561" t="s">
        <v>113</v>
      </c>
      <c r="X561" t="s">
        <v>87</v>
      </c>
      <c r="Y561" t="s">
        <v>738</v>
      </c>
      <c r="Z561">
        <v>15</v>
      </c>
      <c r="AA561">
        <v>3</v>
      </c>
      <c r="AB561" t="s">
        <v>62</v>
      </c>
      <c r="AC561">
        <v>1</v>
      </c>
      <c r="AD561">
        <v>0</v>
      </c>
      <c r="AE561" t="s">
        <v>62</v>
      </c>
      <c r="AF561">
        <v>53680</v>
      </c>
      <c r="AG561">
        <v>4880</v>
      </c>
      <c r="AH561">
        <v>9760</v>
      </c>
      <c r="AI561">
        <v>39040</v>
      </c>
      <c r="AJ561" t="s">
        <v>115</v>
      </c>
      <c r="AK561" t="s">
        <v>116</v>
      </c>
      <c r="AL561">
        <v>2011</v>
      </c>
      <c r="AM561" t="s">
        <v>82</v>
      </c>
      <c r="AN561" s="2">
        <f t="shared" si="56"/>
        <v>43.562588760397645</v>
      </c>
      <c r="AO561">
        <f t="shared" si="57"/>
        <v>-52448.75</v>
      </c>
      <c r="AP561" s="2">
        <f t="shared" si="58"/>
        <v>2.2936420707512901E-2</v>
      </c>
      <c r="AQ561" s="2">
        <f t="shared" si="62"/>
        <v>4</v>
      </c>
      <c r="AR561">
        <f t="shared" si="59"/>
        <v>194</v>
      </c>
      <c r="AS561" t="str">
        <f t="shared" si="60"/>
        <v>High Claim Ratio</v>
      </c>
      <c r="AT561" t="str">
        <f t="shared" si="61"/>
        <v>High Profit</v>
      </c>
    </row>
    <row r="562" spans="1:46" x14ac:dyDescent="0.2">
      <c r="A562">
        <v>294</v>
      </c>
      <c r="B562">
        <v>49</v>
      </c>
      <c r="C562">
        <v>756870</v>
      </c>
      <c r="D562" s="1">
        <v>35090</v>
      </c>
      <c r="E562" t="s">
        <v>57</v>
      </c>
      <c r="F562" t="s">
        <v>91</v>
      </c>
      <c r="G562">
        <v>500</v>
      </c>
      <c r="H562">
        <v>1135.43</v>
      </c>
      <c r="I562">
        <v>0</v>
      </c>
      <c r="J562">
        <v>442604</v>
      </c>
      <c r="K562" t="s">
        <v>41</v>
      </c>
      <c r="L562" t="s">
        <v>124</v>
      </c>
      <c r="M562" t="s">
        <v>189</v>
      </c>
      <c r="N562" t="s">
        <v>98</v>
      </c>
      <c r="O562" t="s">
        <v>74</v>
      </c>
      <c r="P562">
        <v>22700</v>
      </c>
      <c r="Q562">
        <v>0</v>
      </c>
      <c r="R562" s="1">
        <v>42039</v>
      </c>
      <c r="S562" t="s">
        <v>75</v>
      </c>
      <c r="T562" t="s">
        <v>47</v>
      </c>
      <c r="U562" t="s">
        <v>107</v>
      </c>
      <c r="V562" t="s">
        <v>49</v>
      </c>
      <c r="W562" t="s">
        <v>113</v>
      </c>
      <c r="X562" t="s">
        <v>51</v>
      </c>
      <c r="Y562" t="s">
        <v>739</v>
      </c>
      <c r="Z562">
        <v>23</v>
      </c>
      <c r="AA562">
        <v>3</v>
      </c>
      <c r="AB562" t="s">
        <v>53</v>
      </c>
      <c r="AC562">
        <v>1</v>
      </c>
      <c r="AD562">
        <v>1</v>
      </c>
      <c r="AE562" t="s">
        <v>53</v>
      </c>
      <c r="AF562">
        <v>42900</v>
      </c>
      <c r="AG562">
        <v>3900</v>
      </c>
      <c r="AH562">
        <v>3900</v>
      </c>
      <c r="AI562">
        <v>35100</v>
      </c>
      <c r="AJ562" t="s">
        <v>89</v>
      </c>
      <c r="AK562" t="s">
        <v>245</v>
      </c>
      <c r="AL562">
        <v>2010</v>
      </c>
      <c r="AM562" t="s">
        <v>82</v>
      </c>
      <c r="AN562" s="2">
        <f t="shared" si="56"/>
        <v>37.749795411947943</v>
      </c>
      <c r="AO562">
        <f t="shared" si="57"/>
        <v>-41764.57</v>
      </c>
      <c r="AP562" s="2">
        <f t="shared" si="58"/>
        <v>2.6466282837229904E-2</v>
      </c>
      <c r="AQ562" s="2">
        <f t="shared" si="62"/>
        <v>5</v>
      </c>
      <c r="AR562">
        <f t="shared" si="59"/>
        <v>294</v>
      </c>
      <c r="AS562" t="str">
        <f t="shared" si="60"/>
        <v>High Claim Ratio</v>
      </c>
      <c r="AT562" t="str">
        <f t="shared" si="61"/>
        <v>High Profit</v>
      </c>
    </row>
    <row r="563" spans="1:46" x14ac:dyDescent="0.2">
      <c r="A563">
        <v>272</v>
      </c>
      <c r="B563">
        <v>41</v>
      </c>
      <c r="C563">
        <v>337158</v>
      </c>
      <c r="D563" s="1">
        <v>33336</v>
      </c>
      <c r="E563" t="s">
        <v>39</v>
      </c>
      <c r="F563" t="s">
        <v>40</v>
      </c>
      <c r="G563">
        <v>2000</v>
      </c>
      <c r="H563">
        <v>945.73</v>
      </c>
      <c r="I563">
        <v>5000000</v>
      </c>
      <c r="J563">
        <v>435663</v>
      </c>
      <c r="K563" t="s">
        <v>41</v>
      </c>
      <c r="L563" t="s">
        <v>42</v>
      </c>
      <c r="M563" t="s">
        <v>135</v>
      </c>
      <c r="N563" t="s">
        <v>168</v>
      </c>
      <c r="O563" t="s">
        <v>119</v>
      </c>
      <c r="P563">
        <v>38600</v>
      </c>
      <c r="Q563">
        <v>-42800</v>
      </c>
      <c r="R563" s="1">
        <v>42039</v>
      </c>
      <c r="S563" t="s">
        <v>46</v>
      </c>
      <c r="T563" t="s">
        <v>86</v>
      </c>
      <c r="U563" t="s">
        <v>63</v>
      </c>
      <c r="V563" t="s">
        <v>99</v>
      </c>
      <c r="W563" t="s">
        <v>77</v>
      </c>
      <c r="X563" t="s">
        <v>87</v>
      </c>
      <c r="Y563" t="s">
        <v>740</v>
      </c>
      <c r="Z563">
        <v>23</v>
      </c>
      <c r="AA563">
        <v>1</v>
      </c>
      <c r="AB563" t="s">
        <v>79</v>
      </c>
      <c r="AC563">
        <v>0</v>
      </c>
      <c r="AD563">
        <v>0</v>
      </c>
      <c r="AE563" t="s">
        <v>79</v>
      </c>
      <c r="AF563">
        <v>84100</v>
      </c>
      <c r="AG563">
        <v>16820</v>
      </c>
      <c r="AH563">
        <v>8410</v>
      </c>
      <c r="AI563">
        <v>58870</v>
      </c>
      <c r="AJ563" t="s">
        <v>129</v>
      </c>
      <c r="AK563" t="s">
        <v>172</v>
      </c>
      <c r="AL563">
        <v>2009</v>
      </c>
      <c r="AM563" t="s">
        <v>56</v>
      </c>
      <c r="AN563" s="2">
        <f t="shared" si="56"/>
        <v>88.832085177400103</v>
      </c>
      <c r="AO563">
        <f t="shared" si="57"/>
        <v>-83154.27</v>
      </c>
      <c r="AP563" s="2">
        <f t="shared" si="58"/>
        <v>1.1245169498579091E-2</v>
      </c>
      <c r="AQ563" s="2">
        <f t="shared" si="62"/>
        <v>6</v>
      </c>
      <c r="AR563">
        <f t="shared" si="59"/>
        <v>272</v>
      </c>
      <c r="AS563" t="str">
        <f t="shared" si="60"/>
        <v>High Claim Ratio</v>
      </c>
      <c r="AT563" t="str">
        <f t="shared" si="61"/>
        <v>High Profit</v>
      </c>
    </row>
    <row r="564" spans="1:46" x14ac:dyDescent="0.2">
      <c r="A564">
        <v>27</v>
      </c>
      <c r="B564">
        <v>27</v>
      </c>
      <c r="C564">
        <v>919875</v>
      </c>
      <c r="D564" s="1">
        <v>37436</v>
      </c>
      <c r="E564" t="s">
        <v>57</v>
      </c>
      <c r="F564" t="s">
        <v>69</v>
      </c>
      <c r="G564">
        <v>2000</v>
      </c>
      <c r="H564">
        <v>1118.76</v>
      </c>
      <c r="I564">
        <v>0</v>
      </c>
      <c r="J564">
        <v>470866</v>
      </c>
      <c r="K564" t="s">
        <v>70</v>
      </c>
      <c r="L564" t="s">
        <v>141</v>
      </c>
      <c r="M564" t="s">
        <v>185</v>
      </c>
      <c r="N564" t="s">
        <v>126</v>
      </c>
      <c r="O564" t="s">
        <v>74</v>
      </c>
      <c r="P564">
        <v>0</v>
      </c>
      <c r="Q564">
        <v>-55800</v>
      </c>
      <c r="R564" s="1">
        <v>42061</v>
      </c>
      <c r="S564" t="s">
        <v>46</v>
      </c>
      <c r="T564" t="s">
        <v>86</v>
      </c>
      <c r="U564" t="s">
        <v>107</v>
      </c>
      <c r="V564" t="s">
        <v>99</v>
      </c>
      <c r="W564" t="s">
        <v>77</v>
      </c>
      <c r="X564" t="s">
        <v>156</v>
      </c>
      <c r="Y564" t="s">
        <v>741</v>
      </c>
      <c r="Z564">
        <v>23</v>
      </c>
      <c r="AA564">
        <v>1</v>
      </c>
      <c r="AB564" t="s">
        <v>62</v>
      </c>
      <c r="AC564">
        <v>1</v>
      </c>
      <c r="AD564">
        <v>3</v>
      </c>
      <c r="AE564" t="s">
        <v>62</v>
      </c>
      <c r="AF564">
        <v>61560</v>
      </c>
      <c r="AG564">
        <v>6840</v>
      </c>
      <c r="AH564">
        <v>6840</v>
      </c>
      <c r="AI564">
        <v>47880</v>
      </c>
      <c r="AJ564" t="s">
        <v>129</v>
      </c>
      <c r="AK564" t="s">
        <v>249</v>
      </c>
      <c r="AL564">
        <v>2008</v>
      </c>
      <c r="AM564" t="s">
        <v>82</v>
      </c>
      <c r="AN564" s="2">
        <f t="shared" si="56"/>
        <v>54.976066299921413</v>
      </c>
      <c r="AO564">
        <f t="shared" si="57"/>
        <v>-60441.24</v>
      </c>
      <c r="AP564" s="2">
        <f t="shared" si="58"/>
        <v>1.8173194067672715E-2</v>
      </c>
      <c r="AQ564" s="2">
        <f t="shared" si="62"/>
        <v>7</v>
      </c>
      <c r="AR564">
        <f t="shared" si="59"/>
        <v>27</v>
      </c>
      <c r="AS564" t="str">
        <f t="shared" si="60"/>
        <v>High Claim Ratio</v>
      </c>
      <c r="AT564" t="str">
        <f t="shared" si="61"/>
        <v>High Profit</v>
      </c>
    </row>
    <row r="565" spans="1:46" x14ac:dyDescent="0.2">
      <c r="A565">
        <v>251</v>
      </c>
      <c r="B565">
        <v>39</v>
      </c>
      <c r="C565">
        <v>315631</v>
      </c>
      <c r="D565" s="1">
        <v>36259</v>
      </c>
      <c r="E565" t="s">
        <v>57</v>
      </c>
      <c r="F565" t="s">
        <v>91</v>
      </c>
      <c r="G565">
        <v>2000</v>
      </c>
      <c r="H565">
        <v>1231.98</v>
      </c>
      <c r="I565">
        <v>0</v>
      </c>
      <c r="J565">
        <v>612908</v>
      </c>
      <c r="K565" t="s">
        <v>70</v>
      </c>
      <c r="L565" t="s">
        <v>92</v>
      </c>
      <c r="M565" t="s">
        <v>111</v>
      </c>
      <c r="N565" t="s">
        <v>149</v>
      </c>
      <c r="O565" t="s">
        <v>142</v>
      </c>
      <c r="P565">
        <v>0</v>
      </c>
      <c r="Q565">
        <v>-31700</v>
      </c>
      <c r="R565" s="1">
        <v>42012</v>
      </c>
      <c r="S565" t="s">
        <v>46</v>
      </c>
      <c r="T565" t="s">
        <v>76</v>
      </c>
      <c r="U565" t="s">
        <v>63</v>
      </c>
      <c r="V565" t="s">
        <v>49</v>
      </c>
      <c r="W565" t="s">
        <v>77</v>
      </c>
      <c r="X565" t="s">
        <v>122</v>
      </c>
      <c r="Y565" t="s">
        <v>742</v>
      </c>
      <c r="Z565">
        <v>10</v>
      </c>
      <c r="AA565">
        <v>1</v>
      </c>
      <c r="AB565" t="s">
        <v>53</v>
      </c>
      <c r="AC565">
        <v>0</v>
      </c>
      <c r="AD565">
        <v>0</v>
      </c>
      <c r="AE565" t="s">
        <v>62</v>
      </c>
      <c r="AF565">
        <v>44240</v>
      </c>
      <c r="AG565">
        <v>5530</v>
      </c>
      <c r="AH565">
        <v>5530</v>
      </c>
      <c r="AI565">
        <v>33180</v>
      </c>
      <c r="AJ565" t="s">
        <v>80</v>
      </c>
      <c r="AK565" t="s">
        <v>81</v>
      </c>
      <c r="AL565">
        <v>1997</v>
      </c>
      <c r="AM565" t="s">
        <v>82</v>
      </c>
      <c r="AN565" s="2">
        <f t="shared" si="56"/>
        <v>35.880549562847733</v>
      </c>
      <c r="AO565">
        <f t="shared" si="57"/>
        <v>-43008.02</v>
      </c>
      <c r="AP565" s="2">
        <f t="shared" si="58"/>
        <v>2.7847019732827015E-2</v>
      </c>
      <c r="AQ565" s="2">
        <f t="shared" si="62"/>
        <v>18</v>
      </c>
      <c r="AR565">
        <f t="shared" si="59"/>
        <v>251</v>
      </c>
      <c r="AS565" t="str">
        <f t="shared" si="60"/>
        <v>High Claim Ratio</v>
      </c>
      <c r="AT565" t="str">
        <f t="shared" si="61"/>
        <v>High Profit</v>
      </c>
    </row>
    <row r="566" spans="1:46" x14ac:dyDescent="0.2">
      <c r="A566">
        <v>180</v>
      </c>
      <c r="B566">
        <v>33</v>
      </c>
      <c r="C566">
        <v>113464</v>
      </c>
      <c r="D566" s="1">
        <v>39922</v>
      </c>
      <c r="E566" t="s">
        <v>57</v>
      </c>
      <c r="F566" t="s">
        <v>91</v>
      </c>
      <c r="G566">
        <v>2000</v>
      </c>
      <c r="H566">
        <v>1005.47</v>
      </c>
      <c r="I566">
        <v>0</v>
      </c>
      <c r="J566">
        <v>441871</v>
      </c>
      <c r="K566" t="s">
        <v>70</v>
      </c>
      <c r="L566" t="s">
        <v>161</v>
      </c>
      <c r="M566" t="s">
        <v>135</v>
      </c>
      <c r="N566" t="s">
        <v>149</v>
      </c>
      <c r="O566" t="s">
        <v>74</v>
      </c>
      <c r="P566">
        <v>58100</v>
      </c>
      <c r="Q566">
        <v>-49000</v>
      </c>
      <c r="R566" s="1">
        <v>42050</v>
      </c>
      <c r="S566" t="s">
        <v>75</v>
      </c>
      <c r="T566" t="s">
        <v>76</v>
      </c>
      <c r="U566" t="s">
        <v>63</v>
      </c>
      <c r="V566" t="s">
        <v>136</v>
      </c>
      <c r="W566" t="s">
        <v>64</v>
      </c>
      <c r="X566" t="s">
        <v>51</v>
      </c>
      <c r="Y566" t="s">
        <v>743</v>
      </c>
      <c r="Z566">
        <v>12</v>
      </c>
      <c r="AA566">
        <v>4</v>
      </c>
      <c r="AB566" t="s">
        <v>62</v>
      </c>
      <c r="AC566">
        <v>2</v>
      </c>
      <c r="AD566">
        <v>3</v>
      </c>
      <c r="AE566" t="s">
        <v>53</v>
      </c>
      <c r="AF566">
        <v>57700</v>
      </c>
      <c r="AG566">
        <v>11540</v>
      </c>
      <c r="AH566">
        <v>5770</v>
      </c>
      <c r="AI566">
        <v>40390</v>
      </c>
      <c r="AJ566" t="s">
        <v>197</v>
      </c>
      <c r="AK566" t="s">
        <v>375</v>
      </c>
      <c r="AL566">
        <v>2002</v>
      </c>
      <c r="AM566" t="s">
        <v>82</v>
      </c>
      <c r="AN566" s="2">
        <f t="shared" si="56"/>
        <v>57.329080846920426</v>
      </c>
      <c r="AO566">
        <f t="shared" si="57"/>
        <v>-56694.53</v>
      </c>
      <c r="AP566" s="2">
        <f t="shared" si="58"/>
        <v>1.7425521221469301E-2</v>
      </c>
      <c r="AQ566" s="2">
        <f t="shared" si="62"/>
        <v>13</v>
      </c>
      <c r="AR566">
        <f t="shared" si="59"/>
        <v>180</v>
      </c>
      <c r="AS566" t="str">
        <f t="shared" si="60"/>
        <v>High Claim Ratio</v>
      </c>
      <c r="AT566" t="str">
        <f t="shared" si="61"/>
        <v>High Profit</v>
      </c>
    </row>
    <row r="567" spans="1:46" x14ac:dyDescent="0.2">
      <c r="A567">
        <v>392</v>
      </c>
      <c r="B567">
        <v>50</v>
      </c>
      <c r="C567">
        <v>556415</v>
      </c>
      <c r="D567" s="1">
        <v>33472</v>
      </c>
      <c r="E567" t="s">
        <v>39</v>
      </c>
      <c r="F567" t="s">
        <v>69</v>
      </c>
      <c r="G567">
        <v>2000</v>
      </c>
      <c r="H567">
        <v>1108.97</v>
      </c>
      <c r="I567">
        <v>0</v>
      </c>
      <c r="J567">
        <v>431496</v>
      </c>
      <c r="K567" t="s">
        <v>70</v>
      </c>
      <c r="L567" t="s">
        <v>71</v>
      </c>
      <c r="M567" t="s">
        <v>125</v>
      </c>
      <c r="N567" t="s">
        <v>264</v>
      </c>
      <c r="O567" t="s">
        <v>142</v>
      </c>
      <c r="P567">
        <v>68400</v>
      </c>
      <c r="Q567">
        <v>-66800</v>
      </c>
      <c r="R567" s="1">
        <v>42018</v>
      </c>
      <c r="S567" t="s">
        <v>46</v>
      </c>
      <c r="T567" t="s">
        <v>47</v>
      </c>
      <c r="U567" t="s">
        <v>63</v>
      </c>
      <c r="V567" t="s">
        <v>120</v>
      </c>
      <c r="W567" t="s">
        <v>113</v>
      </c>
      <c r="X567" t="s">
        <v>102</v>
      </c>
      <c r="Y567" t="s">
        <v>744</v>
      </c>
      <c r="Z567">
        <v>4</v>
      </c>
      <c r="AA567">
        <v>1</v>
      </c>
      <c r="AB567" t="s">
        <v>79</v>
      </c>
      <c r="AC567">
        <v>2</v>
      </c>
      <c r="AD567">
        <v>2</v>
      </c>
      <c r="AE567" t="s">
        <v>53</v>
      </c>
      <c r="AF567">
        <v>108030</v>
      </c>
      <c r="AG567">
        <v>16620</v>
      </c>
      <c r="AH567">
        <v>16620</v>
      </c>
      <c r="AI567">
        <v>74790</v>
      </c>
      <c r="AJ567" t="s">
        <v>54</v>
      </c>
      <c r="AK567" t="s">
        <v>55</v>
      </c>
      <c r="AL567">
        <v>2002</v>
      </c>
      <c r="AM567" t="s">
        <v>82</v>
      </c>
      <c r="AN567" s="2">
        <f t="shared" si="56"/>
        <v>97.326954782561685</v>
      </c>
      <c r="AO567">
        <f t="shared" si="57"/>
        <v>-106921.03</v>
      </c>
      <c r="AP567" s="2">
        <f t="shared" si="58"/>
        <v>1.0265294221103203E-2</v>
      </c>
      <c r="AQ567" s="2">
        <f t="shared" si="62"/>
        <v>13</v>
      </c>
      <c r="AR567">
        <f t="shared" si="59"/>
        <v>392</v>
      </c>
      <c r="AS567" t="str">
        <f t="shared" si="60"/>
        <v>High Claim Ratio</v>
      </c>
      <c r="AT567" t="str">
        <f t="shared" si="61"/>
        <v>High Profit</v>
      </c>
    </row>
    <row r="568" spans="1:46" x14ac:dyDescent="0.2">
      <c r="A568">
        <v>143</v>
      </c>
      <c r="B568">
        <v>30</v>
      </c>
      <c r="C568">
        <v>250249</v>
      </c>
      <c r="D568" s="1">
        <v>33570</v>
      </c>
      <c r="E568" t="s">
        <v>57</v>
      </c>
      <c r="F568" t="s">
        <v>69</v>
      </c>
      <c r="G568">
        <v>500</v>
      </c>
      <c r="H568">
        <v>1392.39</v>
      </c>
      <c r="I568">
        <v>5000000</v>
      </c>
      <c r="J568">
        <v>436499</v>
      </c>
      <c r="K568" t="s">
        <v>70</v>
      </c>
      <c r="L568" t="s">
        <v>131</v>
      </c>
      <c r="M568" t="s">
        <v>125</v>
      </c>
      <c r="N568" t="s">
        <v>126</v>
      </c>
      <c r="O568" t="s">
        <v>85</v>
      </c>
      <c r="P568">
        <v>0</v>
      </c>
      <c r="Q568">
        <v>-65700</v>
      </c>
      <c r="R568" s="1">
        <v>42016</v>
      </c>
      <c r="S568" t="s">
        <v>46</v>
      </c>
      <c r="T568" t="s">
        <v>76</v>
      </c>
      <c r="U568" t="s">
        <v>63</v>
      </c>
      <c r="V568" t="s">
        <v>99</v>
      </c>
      <c r="W568" t="s">
        <v>50</v>
      </c>
      <c r="X568" t="s">
        <v>65</v>
      </c>
      <c r="Y568" t="s">
        <v>745</v>
      </c>
      <c r="Z568">
        <v>16</v>
      </c>
      <c r="AA568">
        <v>1</v>
      </c>
      <c r="AB568" t="s">
        <v>79</v>
      </c>
      <c r="AC568">
        <v>2</v>
      </c>
      <c r="AD568">
        <v>0</v>
      </c>
      <c r="AE568" t="s">
        <v>53</v>
      </c>
      <c r="AF568">
        <v>54300</v>
      </c>
      <c r="AG568">
        <v>10860</v>
      </c>
      <c r="AH568">
        <v>5430</v>
      </c>
      <c r="AI568">
        <v>38010</v>
      </c>
      <c r="AJ568" t="s">
        <v>115</v>
      </c>
      <c r="AK568" t="s">
        <v>140</v>
      </c>
      <c r="AL568">
        <v>2010</v>
      </c>
      <c r="AM568" t="s">
        <v>82</v>
      </c>
      <c r="AN568" s="2">
        <f t="shared" si="56"/>
        <v>38.969706973639823</v>
      </c>
      <c r="AO568">
        <f t="shared" si="57"/>
        <v>-52907.61</v>
      </c>
      <c r="AP568" s="2">
        <f t="shared" si="58"/>
        <v>2.5642069206828606E-2</v>
      </c>
      <c r="AQ568" s="2">
        <f t="shared" si="62"/>
        <v>5</v>
      </c>
      <c r="AR568">
        <f t="shared" si="59"/>
        <v>143</v>
      </c>
      <c r="AS568" t="str">
        <f t="shared" si="60"/>
        <v>High Claim Ratio</v>
      </c>
      <c r="AT568" t="str">
        <f t="shared" si="61"/>
        <v>High Profit</v>
      </c>
    </row>
    <row r="569" spans="1:46" x14ac:dyDescent="0.2">
      <c r="A569">
        <v>371</v>
      </c>
      <c r="B569">
        <v>54</v>
      </c>
      <c r="C569">
        <v>403776</v>
      </c>
      <c r="D569" s="1">
        <v>41026</v>
      </c>
      <c r="E569" t="s">
        <v>57</v>
      </c>
      <c r="F569" t="s">
        <v>69</v>
      </c>
      <c r="G569">
        <v>2000</v>
      </c>
      <c r="H569">
        <v>1317.97</v>
      </c>
      <c r="I569">
        <v>0</v>
      </c>
      <c r="J569">
        <v>469853</v>
      </c>
      <c r="K569" t="s">
        <v>41</v>
      </c>
      <c r="L569" t="s">
        <v>131</v>
      </c>
      <c r="M569" t="s">
        <v>43</v>
      </c>
      <c r="N569" t="s">
        <v>146</v>
      </c>
      <c r="O569" t="s">
        <v>119</v>
      </c>
      <c r="P569">
        <v>34700</v>
      </c>
      <c r="Q569">
        <v>-81000</v>
      </c>
      <c r="R569" s="1">
        <v>42022</v>
      </c>
      <c r="S569" t="s">
        <v>75</v>
      </c>
      <c r="T569" t="s">
        <v>86</v>
      </c>
      <c r="U569" t="s">
        <v>48</v>
      </c>
      <c r="V569" t="s">
        <v>136</v>
      </c>
      <c r="W569" t="s">
        <v>50</v>
      </c>
      <c r="X569" t="s">
        <v>51</v>
      </c>
      <c r="Y569" t="s">
        <v>746</v>
      </c>
      <c r="Z569">
        <v>18</v>
      </c>
      <c r="AA569">
        <v>3</v>
      </c>
      <c r="AB569" t="s">
        <v>62</v>
      </c>
      <c r="AC569">
        <v>1</v>
      </c>
      <c r="AD569">
        <v>2</v>
      </c>
      <c r="AE569" t="s">
        <v>62</v>
      </c>
      <c r="AF569">
        <v>32280</v>
      </c>
      <c r="AG569">
        <v>5380</v>
      </c>
      <c r="AH569">
        <v>5380</v>
      </c>
      <c r="AI569">
        <v>21520</v>
      </c>
      <c r="AJ569" t="s">
        <v>129</v>
      </c>
      <c r="AK569" t="s">
        <v>249</v>
      </c>
      <c r="AL569">
        <v>2010</v>
      </c>
      <c r="AM569" t="s">
        <v>56</v>
      </c>
      <c r="AN569" s="2">
        <f t="shared" si="56"/>
        <v>24.473642311803907</v>
      </c>
      <c r="AO569">
        <f t="shared" si="57"/>
        <v>-30962.03</v>
      </c>
      <c r="AP569" s="2">
        <f t="shared" si="58"/>
        <v>4.0828041262662249E-2</v>
      </c>
      <c r="AQ569" s="2">
        <f t="shared" si="62"/>
        <v>5</v>
      </c>
      <c r="AR569">
        <f t="shared" si="59"/>
        <v>371</v>
      </c>
      <c r="AS569" t="str">
        <f t="shared" si="60"/>
        <v>High Claim Ratio</v>
      </c>
      <c r="AT569" t="str">
        <f t="shared" si="61"/>
        <v>High Profit</v>
      </c>
    </row>
    <row r="570" spans="1:46" x14ac:dyDescent="0.2">
      <c r="A570">
        <v>292</v>
      </c>
      <c r="B570">
        <v>42</v>
      </c>
      <c r="C570">
        <v>396002</v>
      </c>
      <c r="D570" s="1">
        <v>39145</v>
      </c>
      <c r="E570" t="s">
        <v>57</v>
      </c>
      <c r="F570" t="s">
        <v>40</v>
      </c>
      <c r="G570">
        <v>1000</v>
      </c>
      <c r="H570">
        <v>1588.22</v>
      </c>
      <c r="I570">
        <v>0</v>
      </c>
      <c r="J570">
        <v>605369</v>
      </c>
      <c r="K570" t="s">
        <v>41</v>
      </c>
      <c r="L570" t="s">
        <v>161</v>
      </c>
      <c r="M570" t="s">
        <v>58</v>
      </c>
      <c r="N570" t="s">
        <v>118</v>
      </c>
      <c r="O570" t="s">
        <v>60</v>
      </c>
      <c r="P570">
        <v>0</v>
      </c>
      <c r="Q570">
        <v>-53800</v>
      </c>
      <c r="R570" s="1">
        <v>42019</v>
      </c>
      <c r="S570" t="s">
        <v>75</v>
      </c>
      <c r="T570" t="s">
        <v>76</v>
      </c>
      <c r="U570" t="s">
        <v>107</v>
      </c>
      <c r="V570" t="s">
        <v>120</v>
      </c>
      <c r="W570" t="s">
        <v>113</v>
      </c>
      <c r="X570" t="s">
        <v>65</v>
      </c>
      <c r="Y570" t="s">
        <v>747</v>
      </c>
      <c r="Z570">
        <v>15</v>
      </c>
      <c r="AA570">
        <v>3</v>
      </c>
      <c r="AB570" t="s">
        <v>53</v>
      </c>
      <c r="AC570">
        <v>1</v>
      </c>
      <c r="AD570">
        <v>1</v>
      </c>
      <c r="AE570" t="s">
        <v>79</v>
      </c>
      <c r="AF570">
        <v>84600</v>
      </c>
      <c r="AG570">
        <v>16920</v>
      </c>
      <c r="AH570">
        <v>8460</v>
      </c>
      <c r="AI570">
        <v>59220</v>
      </c>
      <c r="AJ570" t="s">
        <v>89</v>
      </c>
      <c r="AK570" t="s">
        <v>245</v>
      </c>
      <c r="AL570">
        <v>2007</v>
      </c>
      <c r="AM570" t="s">
        <v>82</v>
      </c>
      <c r="AN570" s="2">
        <f t="shared" si="56"/>
        <v>53.233661796352926</v>
      </c>
      <c r="AO570">
        <f t="shared" si="57"/>
        <v>-83011.78</v>
      </c>
      <c r="AP570" s="2">
        <f t="shared" si="58"/>
        <v>1.8773064148177917E-2</v>
      </c>
      <c r="AQ570" s="2">
        <f t="shared" si="62"/>
        <v>8</v>
      </c>
      <c r="AR570">
        <f t="shared" si="59"/>
        <v>292</v>
      </c>
      <c r="AS570" t="str">
        <f t="shared" si="60"/>
        <v>High Claim Ratio</v>
      </c>
      <c r="AT570" t="str">
        <f t="shared" si="61"/>
        <v>High Profit</v>
      </c>
    </row>
    <row r="571" spans="1:46" x14ac:dyDescent="0.2">
      <c r="A571">
        <v>165</v>
      </c>
      <c r="B571">
        <v>35</v>
      </c>
      <c r="C571">
        <v>976908</v>
      </c>
      <c r="D571" s="1">
        <v>41274</v>
      </c>
      <c r="E571" t="s">
        <v>83</v>
      </c>
      <c r="F571" t="s">
        <v>40</v>
      </c>
      <c r="G571">
        <v>500</v>
      </c>
      <c r="H571">
        <v>900.02</v>
      </c>
      <c r="I571">
        <v>6000000</v>
      </c>
      <c r="J571">
        <v>448466</v>
      </c>
      <c r="K571" t="s">
        <v>41</v>
      </c>
      <c r="L571" t="s">
        <v>141</v>
      </c>
      <c r="M571" t="s">
        <v>43</v>
      </c>
      <c r="N571" t="s">
        <v>118</v>
      </c>
      <c r="O571" t="s">
        <v>74</v>
      </c>
      <c r="P571">
        <v>0</v>
      </c>
      <c r="Q571">
        <v>-49900</v>
      </c>
      <c r="R571" s="1">
        <v>42059</v>
      </c>
      <c r="S571" t="s">
        <v>46</v>
      </c>
      <c r="T571" t="s">
        <v>86</v>
      </c>
      <c r="U571" t="s">
        <v>107</v>
      </c>
      <c r="V571" t="s">
        <v>120</v>
      </c>
      <c r="W571" t="s">
        <v>50</v>
      </c>
      <c r="X571" t="s">
        <v>102</v>
      </c>
      <c r="Y571" t="s">
        <v>748</v>
      </c>
      <c r="Z571">
        <v>8</v>
      </c>
      <c r="AA571">
        <v>1</v>
      </c>
      <c r="AB571" t="s">
        <v>79</v>
      </c>
      <c r="AC571">
        <v>1</v>
      </c>
      <c r="AD571">
        <v>3</v>
      </c>
      <c r="AE571" t="s">
        <v>53</v>
      </c>
      <c r="AF571">
        <v>69700</v>
      </c>
      <c r="AG571">
        <v>6970</v>
      </c>
      <c r="AH571">
        <v>6970</v>
      </c>
      <c r="AI571">
        <v>55760</v>
      </c>
      <c r="AJ571" t="s">
        <v>187</v>
      </c>
      <c r="AK571" t="s">
        <v>188</v>
      </c>
      <c r="AL571">
        <v>2008</v>
      </c>
      <c r="AM571" t="s">
        <v>82</v>
      </c>
      <c r="AN571" s="2">
        <f t="shared" si="56"/>
        <v>77.356773434551954</v>
      </c>
      <c r="AO571">
        <f t="shared" si="57"/>
        <v>-68799.98</v>
      </c>
      <c r="AP571" s="2">
        <f t="shared" si="58"/>
        <v>1.2912583750591813E-2</v>
      </c>
      <c r="AQ571" s="2">
        <f t="shared" si="62"/>
        <v>7</v>
      </c>
      <c r="AR571">
        <f t="shared" si="59"/>
        <v>165</v>
      </c>
      <c r="AS571" t="str">
        <f t="shared" si="60"/>
        <v>High Claim Ratio</v>
      </c>
      <c r="AT571" t="str">
        <f t="shared" si="61"/>
        <v>High Profit</v>
      </c>
    </row>
    <row r="572" spans="1:46" x14ac:dyDescent="0.2">
      <c r="A572">
        <v>158</v>
      </c>
      <c r="B572">
        <v>33</v>
      </c>
      <c r="C572">
        <v>509489</v>
      </c>
      <c r="D572" s="1">
        <v>41629</v>
      </c>
      <c r="E572" t="s">
        <v>39</v>
      </c>
      <c r="F572" t="s">
        <v>69</v>
      </c>
      <c r="G572">
        <v>1000</v>
      </c>
      <c r="H572">
        <v>1744.64</v>
      </c>
      <c r="I572">
        <v>3000000</v>
      </c>
      <c r="J572">
        <v>432786</v>
      </c>
      <c r="K572" t="s">
        <v>41</v>
      </c>
      <c r="L572" t="s">
        <v>161</v>
      </c>
      <c r="M572" t="s">
        <v>101</v>
      </c>
      <c r="N572" t="s">
        <v>146</v>
      </c>
      <c r="O572" t="s">
        <v>85</v>
      </c>
      <c r="P572">
        <v>0</v>
      </c>
      <c r="Q572">
        <v>0</v>
      </c>
      <c r="R572" s="1">
        <v>42042</v>
      </c>
      <c r="S572" t="s">
        <v>75</v>
      </c>
      <c r="T572" t="s">
        <v>76</v>
      </c>
      <c r="U572" t="s">
        <v>107</v>
      </c>
      <c r="V572" t="s">
        <v>136</v>
      </c>
      <c r="W572" t="s">
        <v>113</v>
      </c>
      <c r="X572" t="s">
        <v>102</v>
      </c>
      <c r="Y572" t="s">
        <v>749</v>
      </c>
      <c r="Z572">
        <v>4</v>
      </c>
      <c r="AA572">
        <v>3</v>
      </c>
      <c r="AB572" t="s">
        <v>79</v>
      </c>
      <c r="AC572">
        <v>0</v>
      </c>
      <c r="AD572">
        <v>1</v>
      </c>
      <c r="AE572" t="s">
        <v>79</v>
      </c>
      <c r="AF572">
        <v>36400</v>
      </c>
      <c r="AG572">
        <v>3640</v>
      </c>
      <c r="AH572">
        <v>7280</v>
      </c>
      <c r="AI572">
        <v>25480</v>
      </c>
      <c r="AJ572" t="s">
        <v>214</v>
      </c>
      <c r="AK572" t="s">
        <v>258</v>
      </c>
      <c r="AL572">
        <v>1998</v>
      </c>
      <c r="AM572" t="s">
        <v>82</v>
      </c>
      <c r="AN572" s="2">
        <f t="shared" si="56"/>
        <v>20.851951146857314</v>
      </c>
      <c r="AO572">
        <f t="shared" si="57"/>
        <v>-34655.360000000001</v>
      </c>
      <c r="AP572" s="2">
        <f t="shared" si="58"/>
        <v>4.7928353616658884E-2</v>
      </c>
      <c r="AQ572" s="2">
        <f t="shared" si="62"/>
        <v>17</v>
      </c>
      <c r="AR572">
        <f t="shared" si="59"/>
        <v>158</v>
      </c>
      <c r="AS572" t="str">
        <f t="shared" si="60"/>
        <v>High Claim Ratio</v>
      </c>
      <c r="AT572" t="str">
        <f t="shared" si="61"/>
        <v>High Profit</v>
      </c>
    </row>
    <row r="573" spans="1:46" x14ac:dyDescent="0.2">
      <c r="A573">
        <v>241</v>
      </c>
      <c r="B573">
        <v>39</v>
      </c>
      <c r="C573">
        <v>485295</v>
      </c>
      <c r="D573" s="1">
        <v>38470</v>
      </c>
      <c r="E573" t="s">
        <v>39</v>
      </c>
      <c r="F573" t="s">
        <v>40</v>
      </c>
      <c r="G573">
        <v>1000</v>
      </c>
      <c r="H573">
        <v>1260.56</v>
      </c>
      <c r="I573">
        <v>0</v>
      </c>
      <c r="J573">
        <v>473591</v>
      </c>
      <c r="K573" t="s">
        <v>70</v>
      </c>
      <c r="L573" t="s">
        <v>161</v>
      </c>
      <c r="M573" t="s">
        <v>185</v>
      </c>
      <c r="N573" t="s">
        <v>165</v>
      </c>
      <c r="O573" t="s">
        <v>74</v>
      </c>
      <c r="P573">
        <v>0</v>
      </c>
      <c r="Q573">
        <v>-54900</v>
      </c>
      <c r="R573" s="1">
        <v>42057</v>
      </c>
      <c r="S573" t="s">
        <v>75</v>
      </c>
      <c r="T573" t="s">
        <v>47</v>
      </c>
      <c r="U573" t="s">
        <v>63</v>
      </c>
      <c r="V573" t="s">
        <v>49</v>
      </c>
      <c r="W573" t="s">
        <v>50</v>
      </c>
      <c r="X573" t="s">
        <v>156</v>
      </c>
      <c r="Y573" t="s">
        <v>750</v>
      </c>
      <c r="Z573">
        <v>20</v>
      </c>
      <c r="AA573">
        <v>3</v>
      </c>
      <c r="AB573" t="s">
        <v>79</v>
      </c>
      <c r="AC573">
        <v>0</v>
      </c>
      <c r="AD573">
        <v>2</v>
      </c>
      <c r="AE573" t="s">
        <v>53</v>
      </c>
      <c r="AF573">
        <v>37520</v>
      </c>
      <c r="AG573">
        <v>4690</v>
      </c>
      <c r="AH573">
        <v>4690</v>
      </c>
      <c r="AI573">
        <v>28140</v>
      </c>
      <c r="AJ573" t="s">
        <v>197</v>
      </c>
      <c r="AK573" t="s">
        <v>198</v>
      </c>
      <c r="AL573">
        <v>2010</v>
      </c>
      <c r="AM573" t="s">
        <v>82</v>
      </c>
      <c r="AN573" s="2">
        <f t="shared" si="56"/>
        <v>29.740955642220744</v>
      </c>
      <c r="AO573">
        <f t="shared" si="57"/>
        <v>-36259.440000000002</v>
      </c>
      <c r="AP573" s="2">
        <f t="shared" si="58"/>
        <v>3.3596119506409741E-2</v>
      </c>
      <c r="AQ573" s="2">
        <f t="shared" si="62"/>
        <v>5</v>
      </c>
      <c r="AR573">
        <f t="shared" si="59"/>
        <v>241</v>
      </c>
      <c r="AS573" t="str">
        <f t="shared" si="60"/>
        <v>High Claim Ratio</v>
      </c>
      <c r="AT573" t="str">
        <f t="shared" si="61"/>
        <v>High Profit</v>
      </c>
    </row>
    <row r="574" spans="1:46" x14ac:dyDescent="0.2">
      <c r="A574">
        <v>103</v>
      </c>
      <c r="B574">
        <v>33</v>
      </c>
      <c r="C574">
        <v>361829</v>
      </c>
      <c r="D574" s="1">
        <v>34594</v>
      </c>
      <c r="E574" t="s">
        <v>39</v>
      </c>
      <c r="F574" t="s">
        <v>91</v>
      </c>
      <c r="G574">
        <v>2000</v>
      </c>
      <c r="H574">
        <v>1021.14</v>
      </c>
      <c r="I574">
        <v>0</v>
      </c>
      <c r="J574">
        <v>618418</v>
      </c>
      <c r="K574" t="s">
        <v>70</v>
      </c>
      <c r="L574" t="s">
        <v>124</v>
      </c>
      <c r="M574" t="s">
        <v>111</v>
      </c>
      <c r="N574" t="s">
        <v>165</v>
      </c>
      <c r="O574" t="s">
        <v>119</v>
      </c>
      <c r="P574">
        <v>69500</v>
      </c>
      <c r="Q574">
        <v>-47700</v>
      </c>
      <c r="R574" s="1">
        <v>42023</v>
      </c>
      <c r="S574" t="s">
        <v>75</v>
      </c>
      <c r="T574" t="s">
        <v>47</v>
      </c>
      <c r="U574" t="s">
        <v>48</v>
      </c>
      <c r="V574" t="s">
        <v>136</v>
      </c>
      <c r="W574" t="s">
        <v>77</v>
      </c>
      <c r="X574" t="s">
        <v>127</v>
      </c>
      <c r="Y574" t="s">
        <v>751</v>
      </c>
      <c r="Z574">
        <v>1</v>
      </c>
      <c r="AA574">
        <v>3</v>
      </c>
      <c r="AB574" t="s">
        <v>79</v>
      </c>
      <c r="AC574">
        <v>2</v>
      </c>
      <c r="AD574">
        <v>3</v>
      </c>
      <c r="AE574" t="s">
        <v>62</v>
      </c>
      <c r="AF574">
        <v>79090</v>
      </c>
      <c r="AG574">
        <v>14380</v>
      </c>
      <c r="AH574">
        <v>14380</v>
      </c>
      <c r="AI574">
        <v>50330</v>
      </c>
      <c r="AJ574" t="s">
        <v>80</v>
      </c>
      <c r="AK574" t="s">
        <v>81</v>
      </c>
      <c r="AL574">
        <v>2014</v>
      </c>
      <c r="AM574" t="s">
        <v>82</v>
      </c>
      <c r="AN574" s="2">
        <f t="shared" si="56"/>
        <v>77.376875966110319</v>
      </c>
      <c r="AO574">
        <f t="shared" si="57"/>
        <v>-78068.86</v>
      </c>
      <c r="AP574" s="2">
        <f t="shared" si="58"/>
        <v>1.2910950677068187E-2</v>
      </c>
      <c r="AQ574" s="2">
        <f t="shared" si="62"/>
        <v>1</v>
      </c>
      <c r="AR574">
        <f t="shared" si="59"/>
        <v>103</v>
      </c>
      <c r="AS574" t="str">
        <f t="shared" si="60"/>
        <v>High Claim Ratio</v>
      </c>
      <c r="AT574" t="str">
        <f t="shared" si="61"/>
        <v>High Profit</v>
      </c>
    </row>
    <row r="575" spans="1:46" x14ac:dyDescent="0.2">
      <c r="A575">
        <v>402</v>
      </c>
      <c r="B575">
        <v>54</v>
      </c>
      <c r="C575">
        <v>603632</v>
      </c>
      <c r="D575" s="1">
        <v>37849</v>
      </c>
      <c r="E575" t="s">
        <v>39</v>
      </c>
      <c r="F575" t="s">
        <v>40</v>
      </c>
      <c r="G575">
        <v>2000</v>
      </c>
      <c r="H575">
        <v>1285.0899999999999</v>
      </c>
      <c r="I575">
        <v>0</v>
      </c>
      <c r="J575">
        <v>444558</v>
      </c>
      <c r="K575" t="s">
        <v>41</v>
      </c>
      <c r="L575" t="s">
        <v>161</v>
      </c>
      <c r="M575" t="s">
        <v>189</v>
      </c>
      <c r="N575" t="s">
        <v>73</v>
      </c>
      <c r="O575" t="s">
        <v>142</v>
      </c>
      <c r="P575">
        <v>48000</v>
      </c>
      <c r="Q575">
        <v>-79600</v>
      </c>
      <c r="R575" s="1">
        <v>42063</v>
      </c>
      <c r="S575" t="s">
        <v>46</v>
      </c>
      <c r="T575" t="s">
        <v>76</v>
      </c>
      <c r="U575" t="s">
        <v>48</v>
      </c>
      <c r="V575" t="s">
        <v>120</v>
      </c>
      <c r="W575" t="s">
        <v>77</v>
      </c>
      <c r="X575" t="s">
        <v>102</v>
      </c>
      <c r="Y575" t="s">
        <v>752</v>
      </c>
      <c r="Z575">
        <v>19</v>
      </c>
      <c r="AA575">
        <v>1</v>
      </c>
      <c r="AB575" t="s">
        <v>79</v>
      </c>
      <c r="AC575">
        <v>0</v>
      </c>
      <c r="AD575">
        <v>2</v>
      </c>
      <c r="AE575" t="s">
        <v>53</v>
      </c>
      <c r="AF575">
        <v>67770</v>
      </c>
      <c r="AG575">
        <v>7530</v>
      </c>
      <c r="AH575">
        <v>15060</v>
      </c>
      <c r="AI575">
        <v>45180</v>
      </c>
      <c r="AJ575" t="s">
        <v>67</v>
      </c>
      <c r="AK575" t="s">
        <v>271</v>
      </c>
      <c r="AL575">
        <v>2013</v>
      </c>
      <c r="AM575" t="s">
        <v>56</v>
      </c>
      <c r="AN575" s="2">
        <f t="shared" si="56"/>
        <v>52.694601466460362</v>
      </c>
      <c r="AO575">
        <f t="shared" si="57"/>
        <v>-66484.91</v>
      </c>
      <c r="AP575" s="2">
        <f t="shared" si="58"/>
        <v>1.8962240486343714E-2</v>
      </c>
      <c r="AQ575" s="2">
        <f t="shared" si="62"/>
        <v>2</v>
      </c>
      <c r="AR575">
        <f t="shared" si="59"/>
        <v>402</v>
      </c>
      <c r="AS575" t="str">
        <f t="shared" si="60"/>
        <v>High Claim Ratio</v>
      </c>
      <c r="AT575" t="str">
        <f t="shared" si="61"/>
        <v>High Profit</v>
      </c>
    </row>
    <row r="576" spans="1:46" x14ac:dyDescent="0.2">
      <c r="A576">
        <v>102</v>
      </c>
      <c r="B576">
        <v>32</v>
      </c>
      <c r="C576">
        <v>783494</v>
      </c>
      <c r="D576" s="1">
        <v>41884</v>
      </c>
      <c r="E576" t="s">
        <v>39</v>
      </c>
      <c r="F576" t="s">
        <v>69</v>
      </c>
      <c r="G576">
        <v>500</v>
      </c>
      <c r="H576">
        <v>1537.07</v>
      </c>
      <c r="I576">
        <v>3000000</v>
      </c>
      <c r="J576">
        <v>457733</v>
      </c>
      <c r="K576" t="s">
        <v>41</v>
      </c>
      <c r="L576" t="s">
        <v>161</v>
      </c>
      <c r="M576" t="s">
        <v>97</v>
      </c>
      <c r="N576" t="s">
        <v>168</v>
      </c>
      <c r="O576" t="s">
        <v>119</v>
      </c>
      <c r="P576">
        <v>0</v>
      </c>
      <c r="Q576">
        <v>0</v>
      </c>
      <c r="R576" s="1">
        <v>42039</v>
      </c>
      <c r="S576" t="s">
        <v>46</v>
      </c>
      <c r="T576" t="s">
        <v>47</v>
      </c>
      <c r="U576" t="s">
        <v>107</v>
      </c>
      <c r="V576" t="s">
        <v>120</v>
      </c>
      <c r="W576" t="s">
        <v>39</v>
      </c>
      <c r="X576" t="s">
        <v>127</v>
      </c>
      <c r="Y576" t="s">
        <v>753</v>
      </c>
      <c r="Z576">
        <v>11</v>
      </c>
      <c r="AA576">
        <v>1</v>
      </c>
      <c r="AB576" t="s">
        <v>79</v>
      </c>
      <c r="AC576">
        <v>1</v>
      </c>
      <c r="AD576">
        <v>0</v>
      </c>
      <c r="AE576" t="s">
        <v>79</v>
      </c>
      <c r="AF576">
        <v>47400</v>
      </c>
      <c r="AG576">
        <v>9480</v>
      </c>
      <c r="AH576">
        <v>4740</v>
      </c>
      <c r="AI576">
        <v>33180</v>
      </c>
      <c r="AJ576" t="s">
        <v>89</v>
      </c>
      <c r="AK576" t="s">
        <v>223</v>
      </c>
      <c r="AL576">
        <v>2004</v>
      </c>
      <c r="AM576" t="s">
        <v>56</v>
      </c>
      <c r="AN576" s="2">
        <f t="shared" si="56"/>
        <v>30.817843141079408</v>
      </c>
      <c r="AO576">
        <f t="shared" si="57"/>
        <v>-45862.93</v>
      </c>
      <c r="AP576" s="2">
        <f t="shared" si="58"/>
        <v>3.2426953017868819E-2</v>
      </c>
      <c r="AQ576" s="2">
        <f t="shared" si="62"/>
        <v>11</v>
      </c>
      <c r="AR576">
        <f t="shared" si="59"/>
        <v>102</v>
      </c>
      <c r="AS576" t="str">
        <f t="shared" si="60"/>
        <v>High Claim Ratio</v>
      </c>
      <c r="AT576" t="str">
        <f t="shared" si="61"/>
        <v>High Profit</v>
      </c>
    </row>
    <row r="577" spans="1:46" x14ac:dyDescent="0.2">
      <c r="A577">
        <v>182</v>
      </c>
      <c r="B577">
        <v>40</v>
      </c>
      <c r="C577">
        <v>439049</v>
      </c>
      <c r="D577" s="1">
        <v>40889</v>
      </c>
      <c r="E577" t="s">
        <v>57</v>
      </c>
      <c r="F577" t="s">
        <v>69</v>
      </c>
      <c r="G577">
        <v>1000</v>
      </c>
      <c r="H577">
        <v>1022.42</v>
      </c>
      <c r="I577">
        <v>0</v>
      </c>
      <c r="J577">
        <v>466161</v>
      </c>
      <c r="K577" t="s">
        <v>41</v>
      </c>
      <c r="L577" t="s">
        <v>71</v>
      </c>
      <c r="M577" t="s">
        <v>111</v>
      </c>
      <c r="N577" t="s">
        <v>132</v>
      </c>
      <c r="O577" t="s">
        <v>45</v>
      </c>
      <c r="P577">
        <v>50000</v>
      </c>
      <c r="Q577">
        <v>-56900</v>
      </c>
      <c r="R577" s="1">
        <v>42052</v>
      </c>
      <c r="S577" t="s">
        <v>46</v>
      </c>
      <c r="T577" t="s">
        <v>86</v>
      </c>
      <c r="U577" t="s">
        <v>107</v>
      </c>
      <c r="V577" t="s">
        <v>120</v>
      </c>
      <c r="W577" t="s">
        <v>50</v>
      </c>
      <c r="X577" t="s">
        <v>127</v>
      </c>
      <c r="Y577" t="s">
        <v>754</v>
      </c>
      <c r="Z577">
        <v>13</v>
      </c>
      <c r="AA577">
        <v>1</v>
      </c>
      <c r="AB577" t="s">
        <v>53</v>
      </c>
      <c r="AC577">
        <v>0</v>
      </c>
      <c r="AD577">
        <v>2</v>
      </c>
      <c r="AE577" t="s">
        <v>62</v>
      </c>
      <c r="AF577">
        <v>71100</v>
      </c>
      <c r="AG577">
        <v>7110</v>
      </c>
      <c r="AH577">
        <v>14220</v>
      </c>
      <c r="AI577">
        <v>49770</v>
      </c>
      <c r="AJ577" t="s">
        <v>109</v>
      </c>
      <c r="AK577" t="s">
        <v>134</v>
      </c>
      <c r="AL577">
        <v>2008</v>
      </c>
      <c r="AM577" t="s">
        <v>82</v>
      </c>
      <c r="AN577" s="2">
        <f t="shared" si="56"/>
        <v>69.472943659494632</v>
      </c>
      <c r="AO577">
        <f t="shared" si="57"/>
        <v>-70077.58</v>
      </c>
      <c r="AP577" s="2">
        <f t="shared" si="58"/>
        <v>1.4379825881492524E-2</v>
      </c>
      <c r="AQ577" s="2">
        <f t="shared" si="62"/>
        <v>7</v>
      </c>
      <c r="AR577">
        <f t="shared" si="59"/>
        <v>182</v>
      </c>
      <c r="AS577" t="str">
        <f t="shared" si="60"/>
        <v>High Claim Ratio</v>
      </c>
      <c r="AT577" t="str">
        <f t="shared" si="61"/>
        <v>High Profit</v>
      </c>
    </row>
    <row r="578" spans="1:46" x14ac:dyDescent="0.2">
      <c r="A578">
        <v>282</v>
      </c>
      <c r="B578">
        <v>46</v>
      </c>
      <c r="C578">
        <v>502634</v>
      </c>
      <c r="D578" s="1">
        <v>33467</v>
      </c>
      <c r="E578" t="s">
        <v>39</v>
      </c>
      <c r="F578" t="s">
        <v>69</v>
      </c>
      <c r="G578">
        <v>2000</v>
      </c>
      <c r="H578">
        <v>1558.86</v>
      </c>
      <c r="I578">
        <v>0</v>
      </c>
      <c r="J578">
        <v>450800</v>
      </c>
      <c r="K578" t="s">
        <v>41</v>
      </c>
      <c r="L578" t="s">
        <v>42</v>
      </c>
      <c r="M578" t="s">
        <v>111</v>
      </c>
      <c r="N578" t="s">
        <v>126</v>
      </c>
      <c r="O578" t="s">
        <v>119</v>
      </c>
      <c r="P578">
        <v>51100</v>
      </c>
      <c r="Q578">
        <v>-75100</v>
      </c>
      <c r="R578" s="1">
        <v>42052</v>
      </c>
      <c r="S578" t="s">
        <v>46</v>
      </c>
      <c r="T578" t="s">
        <v>86</v>
      </c>
      <c r="U578" t="s">
        <v>63</v>
      </c>
      <c r="V578" t="s">
        <v>49</v>
      </c>
      <c r="W578" t="s">
        <v>77</v>
      </c>
      <c r="X578" t="s">
        <v>102</v>
      </c>
      <c r="Y578" t="s">
        <v>755</v>
      </c>
      <c r="Z578">
        <v>2</v>
      </c>
      <c r="AA578">
        <v>1</v>
      </c>
      <c r="AB578" t="s">
        <v>62</v>
      </c>
      <c r="AC578">
        <v>2</v>
      </c>
      <c r="AD578">
        <v>2</v>
      </c>
      <c r="AE578" t="s">
        <v>79</v>
      </c>
      <c r="AF578">
        <v>69400</v>
      </c>
      <c r="AG578">
        <v>13880</v>
      </c>
      <c r="AH578">
        <v>6940</v>
      </c>
      <c r="AI578">
        <v>48580</v>
      </c>
      <c r="AJ578" t="s">
        <v>187</v>
      </c>
      <c r="AK578" t="s">
        <v>201</v>
      </c>
      <c r="AL578">
        <v>2012</v>
      </c>
      <c r="AM578" t="s">
        <v>82</v>
      </c>
      <c r="AN578" s="2">
        <f t="shared" si="56"/>
        <v>44.491172284692219</v>
      </c>
      <c r="AO578">
        <f t="shared" si="57"/>
        <v>-67841.14</v>
      </c>
      <c r="AP578" s="2">
        <f t="shared" si="58"/>
        <v>2.2461635999481273E-2</v>
      </c>
      <c r="AQ578" s="2">
        <f t="shared" si="62"/>
        <v>3</v>
      </c>
      <c r="AR578">
        <f t="shared" si="59"/>
        <v>282</v>
      </c>
      <c r="AS578" t="str">
        <f t="shared" si="60"/>
        <v>High Claim Ratio</v>
      </c>
      <c r="AT578" t="str">
        <f t="shared" si="61"/>
        <v>High Profit</v>
      </c>
    </row>
    <row r="579" spans="1:46" x14ac:dyDescent="0.2">
      <c r="A579">
        <v>222</v>
      </c>
      <c r="B579">
        <v>39</v>
      </c>
      <c r="C579">
        <v>378588</v>
      </c>
      <c r="D579" s="1">
        <v>38046</v>
      </c>
      <c r="E579" t="s">
        <v>39</v>
      </c>
      <c r="F579" t="s">
        <v>91</v>
      </c>
      <c r="G579">
        <v>500</v>
      </c>
      <c r="H579">
        <v>1757.87</v>
      </c>
      <c r="I579">
        <v>0</v>
      </c>
      <c r="J579">
        <v>458993</v>
      </c>
      <c r="K579" t="s">
        <v>41</v>
      </c>
      <c r="L579" t="s">
        <v>131</v>
      </c>
      <c r="M579" t="s">
        <v>145</v>
      </c>
      <c r="N579" t="s">
        <v>73</v>
      </c>
      <c r="O579" t="s">
        <v>142</v>
      </c>
      <c r="P579">
        <v>71400</v>
      </c>
      <c r="Q579">
        <v>0</v>
      </c>
      <c r="R579" s="1">
        <v>42021</v>
      </c>
      <c r="S579" t="s">
        <v>75</v>
      </c>
      <c r="T579" t="s">
        <v>76</v>
      </c>
      <c r="U579" t="s">
        <v>48</v>
      </c>
      <c r="V579" t="s">
        <v>120</v>
      </c>
      <c r="W579" t="s">
        <v>50</v>
      </c>
      <c r="X579" t="s">
        <v>156</v>
      </c>
      <c r="Y579" t="s">
        <v>756</v>
      </c>
      <c r="Z579">
        <v>9</v>
      </c>
      <c r="AA579">
        <v>3</v>
      </c>
      <c r="AB579" t="s">
        <v>53</v>
      </c>
      <c r="AC579">
        <v>2</v>
      </c>
      <c r="AD579">
        <v>1</v>
      </c>
      <c r="AE579" t="s">
        <v>62</v>
      </c>
      <c r="AF579">
        <v>55000</v>
      </c>
      <c r="AG579">
        <v>5000</v>
      </c>
      <c r="AH579">
        <v>10000</v>
      </c>
      <c r="AI579">
        <v>40000</v>
      </c>
      <c r="AJ579" t="s">
        <v>54</v>
      </c>
      <c r="AK579">
        <v>93</v>
      </c>
      <c r="AL579">
        <v>1996</v>
      </c>
      <c r="AM579" t="s">
        <v>56</v>
      </c>
      <c r="AN579" s="2">
        <f t="shared" ref="AN579:AN642" si="63">AF579/(H579+1)</f>
        <v>31.270076810679587</v>
      </c>
      <c r="AO579">
        <f t="shared" ref="AO579:AO642" si="64">H579-AF579</f>
        <v>-53242.13</v>
      </c>
      <c r="AP579" s="2">
        <f t="shared" ref="AP579:AP642" si="65">H579/(AF579+1)</f>
        <v>3.1960691623788659E-2</v>
      </c>
      <c r="AQ579" s="2">
        <f t="shared" si="62"/>
        <v>19</v>
      </c>
      <c r="AR579">
        <f t="shared" ref="AR579:AR642" si="66">A579</f>
        <v>222</v>
      </c>
      <c r="AS579" t="str">
        <f t="shared" ref="AS579:AS642" si="67">IF(AN579&lt;5,"Low Claim Ratio",
 IF(AN579&lt;20,"Medium Claim Ratio",
 "High Claim Ratio"))</f>
        <v>High Claim Ratio</v>
      </c>
      <c r="AT579" t="str">
        <f t="shared" ref="AT579:AT642" si="68">IF(-AO579&lt;0,"Loss Making",
 IF(-AO579&lt;5000,"Low Profit",
 "High Profit"))</f>
        <v>High Profit</v>
      </c>
    </row>
    <row r="580" spans="1:46" x14ac:dyDescent="0.2">
      <c r="A580">
        <v>415</v>
      </c>
      <c r="B580">
        <v>52</v>
      </c>
      <c r="C580">
        <v>794731</v>
      </c>
      <c r="D580" s="1">
        <v>42057</v>
      </c>
      <c r="E580" t="s">
        <v>57</v>
      </c>
      <c r="F580" t="s">
        <v>40</v>
      </c>
      <c r="G580">
        <v>1000</v>
      </c>
      <c r="H580">
        <v>973.5</v>
      </c>
      <c r="I580">
        <v>0</v>
      </c>
      <c r="J580">
        <v>468634</v>
      </c>
      <c r="K580" t="s">
        <v>41</v>
      </c>
      <c r="L580" t="s">
        <v>71</v>
      </c>
      <c r="M580" t="s">
        <v>58</v>
      </c>
      <c r="N580" t="s">
        <v>173</v>
      </c>
      <c r="O580" t="s">
        <v>142</v>
      </c>
      <c r="P580">
        <v>50400</v>
      </c>
      <c r="Q580">
        <v>0</v>
      </c>
      <c r="R580" s="1">
        <v>42037</v>
      </c>
      <c r="S580" t="s">
        <v>75</v>
      </c>
      <c r="T580" t="s">
        <v>76</v>
      </c>
      <c r="U580" t="s">
        <v>107</v>
      </c>
      <c r="V580" t="s">
        <v>49</v>
      </c>
      <c r="W580" t="s">
        <v>113</v>
      </c>
      <c r="X580" t="s">
        <v>87</v>
      </c>
      <c r="Y580" t="s">
        <v>757</v>
      </c>
      <c r="Z580">
        <v>15</v>
      </c>
      <c r="AA580">
        <v>2</v>
      </c>
      <c r="AB580" t="s">
        <v>53</v>
      </c>
      <c r="AC580">
        <v>1</v>
      </c>
      <c r="AD580">
        <v>3</v>
      </c>
      <c r="AE580" t="s">
        <v>53</v>
      </c>
      <c r="AF580">
        <v>51090</v>
      </c>
      <c r="AG580">
        <v>7860</v>
      </c>
      <c r="AH580">
        <v>7860</v>
      </c>
      <c r="AI580">
        <v>35370</v>
      </c>
      <c r="AJ580" t="s">
        <v>115</v>
      </c>
      <c r="AK580" t="s">
        <v>140</v>
      </c>
      <c r="AL580">
        <v>2003</v>
      </c>
      <c r="AM580" t="s">
        <v>82</v>
      </c>
      <c r="AN580" s="2">
        <f t="shared" si="63"/>
        <v>52.426885582349925</v>
      </c>
      <c r="AO580">
        <f t="shared" si="64"/>
        <v>-50116.5</v>
      </c>
      <c r="AP580" s="2">
        <f t="shared" si="65"/>
        <v>1.9054236558297938E-2</v>
      </c>
      <c r="AQ580" s="2">
        <f t="shared" ref="AQ580:AQ643" si="69">YEAR(R580)-(AL580)</f>
        <v>12</v>
      </c>
      <c r="AR580">
        <f t="shared" si="66"/>
        <v>415</v>
      </c>
      <c r="AS580" t="str">
        <f t="shared" si="67"/>
        <v>High Claim Ratio</v>
      </c>
      <c r="AT580" t="str">
        <f t="shared" si="68"/>
        <v>High Profit</v>
      </c>
    </row>
    <row r="581" spans="1:46" x14ac:dyDescent="0.2">
      <c r="A581">
        <v>51</v>
      </c>
      <c r="B581">
        <v>34</v>
      </c>
      <c r="C581">
        <v>641934</v>
      </c>
      <c r="D581" s="1">
        <v>41633</v>
      </c>
      <c r="E581" t="s">
        <v>39</v>
      </c>
      <c r="F581" t="s">
        <v>91</v>
      </c>
      <c r="G581">
        <v>500</v>
      </c>
      <c r="H581">
        <v>1430.8</v>
      </c>
      <c r="I581">
        <v>0</v>
      </c>
      <c r="J581">
        <v>461264</v>
      </c>
      <c r="K581" t="s">
        <v>41</v>
      </c>
      <c r="L581" t="s">
        <v>71</v>
      </c>
      <c r="M581" t="s">
        <v>58</v>
      </c>
      <c r="N581" t="s">
        <v>118</v>
      </c>
      <c r="O581" t="s">
        <v>85</v>
      </c>
      <c r="P581">
        <v>0</v>
      </c>
      <c r="Q581">
        <v>0</v>
      </c>
      <c r="R581" s="1">
        <v>42047</v>
      </c>
      <c r="S581" t="s">
        <v>46</v>
      </c>
      <c r="T581" t="s">
        <v>47</v>
      </c>
      <c r="U581" t="s">
        <v>48</v>
      </c>
      <c r="V581" t="s">
        <v>99</v>
      </c>
      <c r="W581" t="s">
        <v>77</v>
      </c>
      <c r="X581" t="s">
        <v>102</v>
      </c>
      <c r="Y581" t="s">
        <v>758</v>
      </c>
      <c r="Z581">
        <v>23</v>
      </c>
      <c r="AA581">
        <v>1</v>
      </c>
      <c r="AB581" t="s">
        <v>62</v>
      </c>
      <c r="AC581">
        <v>2</v>
      </c>
      <c r="AD581">
        <v>3</v>
      </c>
      <c r="AE581" t="s">
        <v>79</v>
      </c>
      <c r="AF581">
        <v>64200</v>
      </c>
      <c r="AG581">
        <v>6420</v>
      </c>
      <c r="AH581">
        <v>19260</v>
      </c>
      <c r="AI581">
        <v>38520</v>
      </c>
      <c r="AJ581" t="s">
        <v>209</v>
      </c>
      <c r="AK581" t="s">
        <v>210</v>
      </c>
      <c r="AL581">
        <v>2007</v>
      </c>
      <c r="AM581" t="s">
        <v>56</v>
      </c>
      <c r="AN581" s="2">
        <f t="shared" si="63"/>
        <v>44.838664617963403</v>
      </c>
      <c r="AO581">
        <f t="shared" si="64"/>
        <v>-62769.2</v>
      </c>
      <c r="AP581" s="2">
        <f t="shared" si="65"/>
        <v>2.2286257223407734E-2</v>
      </c>
      <c r="AQ581" s="2">
        <f t="shared" si="69"/>
        <v>8</v>
      </c>
      <c r="AR581">
        <f t="shared" si="66"/>
        <v>51</v>
      </c>
      <c r="AS581" t="str">
        <f t="shared" si="67"/>
        <v>High Claim Ratio</v>
      </c>
      <c r="AT581" t="str">
        <f t="shared" si="68"/>
        <v>High Profit</v>
      </c>
    </row>
    <row r="582" spans="1:46" x14ac:dyDescent="0.2">
      <c r="A582">
        <v>255</v>
      </c>
      <c r="B582">
        <v>45</v>
      </c>
      <c r="C582">
        <v>113516</v>
      </c>
      <c r="D582" s="1">
        <v>33159</v>
      </c>
      <c r="E582" t="s">
        <v>83</v>
      </c>
      <c r="F582" t="s">
        <v>91</v>
      </c>
      <c r="G582">
        <v>500</v>
      </c>
      <c r="H582">
        <v>1192.27</v>
      </c>
      <c r="I582">
        <v>0</v>
      </c>
      <c r="J582">
        <v>600184</v>
      </c>
      <c r="K582" t="s">
        <v>41</v>
      </c>
      <c r="L582" t="s">
        <v>131</v>
      </c>
      <c r="M582" t="s">
        <v>72</v>
      </c>
      <c r="N582" t="s">
        <v>106</v>
      </c>
      <c r="O582" t="s">
        <v>74</v>
      </c>
      <c r="P582">
        <v>0</v>
      </c>
      <c r="Q582">
        <v>-40200</v>
      </c>
      <c r="R582" s="1">
        <v>42008</v>
      </c>
      <c r="S582" t="s">
        <v>46</v>
      </c>
      <c r="T582" t="s">
        <v>86</v>
      </c>
      <c r="U582" t="s">
        <v>107</v>
      </c>
      <c r="V582" t="s">
        <v>120</v>
      </c>
      <c r="W582" t="s">
        <v>121</v>
      </c>
      <c r="X582" t="s">
        <v>65</v>
      </c>
      <c r="Y582" t="s">
        <v>759</v>
      </c>
      <c r="Z582">
        <v>16</v>
      </c>
      <c r="AA582">
        <v>1</v>
      </c>
      <c r="AB582" t="s">
        <v>79</v>
      </c>
      <c r="AC582">
        <v>2</v>
      </c>
      <c r="AD582">
        <v>0</v>
      </c>
      <c r="AE582" t="s">
        <v>53</v>
      </c>
      <c r="AF582">
        <v>67320</v>
      </c>
      <c r="AG582">
        <v>12240</v>
      </c>
      <c r="AH582">
        <v>12240</v>
      </c>
      <c r="AI582">
        <v>42840</v>
      </c>
      <c r="AJ582" t="s">
        <v>129</v>
      </c>
      <c r="AK582" t="s">
        <v>249</v>
      </c>
      <c r="AL582">
        <v>2006</v>
      </c>
      <c r="AM582" t="s">
        <v>82</v>
      </c>
      <c r="AN582" s="2">
        <f t="shared" si="63"/>
        <v>56.416401987815</v>
      </c>
      <c r="AO582">
        <f t="shared" si="64"/>
        <v>-66127.73</v>
      </c>
      <c r="AP582" s="2">
        <f t="shared" si="65"/>
        <v>1.7710224149968062E-2</v>
      </c>
      <c r="AQ582" s="2">
        <f t="shared" si="69"/>
        <v>9</v>
      </c>
      <c r="AR582">
        <f t="shared" si="66"/>
        <v>255</v>
      </c>
      <c r="AS582" t="str">
        <f t="shared" si="67"/>
        <v>High Claim Ratio</v>
      </c>
      <c r="AT582" t="str">
        <f t="shared" si="68"/>
        <v>High Profit</v>
      </c>
    </row>
    <row r="583" spans="1:46" x14ac:dyDescent="0.2">
      <c r="A583">
        <v>143</v>
      </c>
      <c r="B583">
        <v>31</v>
      </c>
      <c r="C583">
        <v>425631</v>
      </c>
      <c r="D583" s="1">
        <v>41825</v>
      </c>
      <c r="E583" t="s">
        <v>83</v>
      </c>
      <c r="F583" t="s">
        <v>40</v>
      </c>
      <c r="G583">
        <v>500</v>
      </c>
      <c r="H583">
        <v>1163.83</v>
      </c>
      <c r="I583">
        <v>0</v>
      </c>
      <c r="J583">
        <v>604874</v>
      </c>
      <c r="K583" t="s">
        <v>41</v>
      </c>
      <c r="L583" t="s">
        <v>92</v>
      </c>
      <c r="M583" t="s">
        <v>135</v>
      </c>
      <c r="N583" t="s">
        <v>146</v>
      </c>
      <c r="O583" t="s">
        <v>45</v>
      </c>
      <c r="P583">
        <v>37700</v>
      </c>
      <c r="Q583">
        <v>0</v>
      </c>
      <c r="R583" s="1">
        <v>42056</v>
      </c>
      <c r="S583" t="s">
        <v>75</v>
      </c>
      <c r="T583" t="s">
        <v>47</v>
      </c>
      <c r="U583" t="s">
        <v>48</v>
      </c>
      <c r="V583" t="s">
        <v>120</v>
      </c>
      <c r="W583" t="s">
        <v>121</v>
      </c>
      <c r="X583" t="s">
        <v>87</v>
      </c>
      <c r="Y583" t="s">
        <v>760</v>
      </c>
      <c r="Z583">
        <v>21</v>
      </c>
      <c r="AA583">
        <v>4</v>
      </c>
      <c r="AB583" t="s">
        <v>53</v>
      </c>
      <c r="AC583">
        <v>2</v>
      </c>
      <c r="AD583">
        <v>0</v>
      </c>
      <c r="AE583" t="s">
        <v>62</v>
      </c>
      <c r="AF583">
        <v>76120</v>
      </c>
      <c r="AG583">
        <v>6920</v>
      </c>
      <c r="AH583">
        <v>13840</v>
      </c>
      <c r="AI583">
        <v>55360</v>
      </c>
      <c r="AJ583" t="s">
        <v>109</v>
      </c>
      <c r="AK583" t="s">
        <v>110</v>
      </c>
      <c r="AL583">
        <v>1999</v>
      </c>
      <c r="AM583" t="s">
        <v>82</v>
      </c>
      <c r="AN583" s="2">
        <f t="shared" si="63"/>
        <v>65.348591639981805</v>
      </c>
      <c r="AO583">
        <f t="shared" si="64"/>
        <v>-74956.17</v>
      </c>
      <c r="AP583" s="2">
        <f t="shared" si="65"/>
        <v>1.5289210598914884E-2</v>
      </c>
      <c r="AQ583" s="2">
        <f t="shared" si="69"/>
        <v>16</v>
      </c>
      <c r="AR583">
        <f t="shared" si="66"/>
        <v>143</v>
      </c>
      <c r="AS583" t="str">
        <f t="shared" si="67"/>
        <v>High Claim Ratio</v>
      </c>
      <c r="AT583" t="str">
        <f t="shared" si="68"/>
        <v>High Profit</v>
      </c>
    </row>
    <row r="584" spans="1:46" x14ac:dyDescent="0.2">
      <c r="A584">
        <v>130</v>
      </c>
      <c r="B584">
        <v>28</v>
      </c>
      <c r="C584">
        <v>542245</v>
      </c>
      <c r="D584" s="1">
        <v>33567</v>
      </c>
      <c r="E584" t="s">
        <v>39</v>
      </c>
      <c r="F584" t="s">
        <v>91</v>
      </c>
      <c r="G584">
        <v>1000</v>
      </c>
      <c r="H584">
        <v>1003.15</v>
      </c>
      <c r="I584">
        <v>0</v>
      </c>
      <c r="J584">
        <v>462377</v>
      </c>
      <c r="K584" t="s">
        <v>70</v>
      </c>
      <c r="L584" t="s">
        <v>161</v>
      </c>
      <c r="M584" t="s">
        <v>189</v>
      </c>
      <c r="N584" t="s">
        <v>146</v>
      </c>
      <c r="O584" t="s">
        <v>60</v>
      </c>
      <c r="P584">
        <v>0</v>
      </c>
      <c r="Q584">
        <v>-38500</v>
      </c>
      <c r="R584" s="1">
        <v>42027</v>
      </c>
      <c r="S584" t="s">
        <v>75</v>
      </c>
      <c r="T584" t="s">
        <v>86</v>
      </c>
      <c r="U584" t="s">
        <v>63</v>
      </c>
      <c r="V584" t="s">
        <v>136</v>
      </c>
      <c r="W584" t="s">
        <v>50</v>
      </c>
      <c r="X584" t="s">
        <v>122</v>
      </c>
      <c r="Y584" t="s">
        <v>761</v>
      </c>
      <c r="Z584">
        <v>21</v>
      </c>
      <c r="AA584">
        <v>2</v>
      </c>
      <c r="AB584" t="s">
        <v>53</v>
      </c>
      <c r="AC584">
        <v>2</v>
      </c>
      <c r="AD584">
        <v>1</v>
      </c>
      <c r="AE584" t="s">
        <v>79</v>
      </c>
      <c r="AF584">
        <v>85020</v>
      </c>
      <c r="AG584">
        <v>13080</v>
      </c>
      <c r="AH584">
        <v>13080</v>
      </c>
      <c r="AI584">
        <v>58860</v>
      </c>
      <c r="AJ584" t="s">
        <v>129</v>
      </c>
      <c r="AK584" t="s">
        <v>249</v>
      </c>
      <c r="AL584">
        <v>2010</v>
      </c>
      <c r="AM584" t="s">
        <v>82</v>
      </c>
      <c r="AN584" s="2">
        <f t="shared" si="63"/>
        <v>84.668625205397603</v>
      </c>
      <c r="AO584">
        <f t="shared" si="64"/>
        <v>-84016.85</v>
      </c>
      <c r="AP584" s="2">
        <f t="shared" si="65"/>
        <v>1.1798849695957469E-2</v>
      </c>
      <c r="AQ584" s="2">
        <f t="shared" si="69"/>
        <v>5</v>
      </c>
      <c r="AR584">
        <f t="shared" si="66"/>
        <v>130</v>
      </c>
      <c r="AS584" t="str">
        <f t="shared" si="67"/>
        <v>High Claim Ratio</v>
      </c>
      <c r="AT584" t="str">
        <f t="shared" si="68"/>
        <v>High Profit</v>
      </c>
    </row>
    <row r="585" spans="1:46" x14ac:dyDescent="0.2">
      <c r="A585">
        <v>242</v>
      </c>
      <c r="B585">
        <v>41</v>
      </c>
      <c r="C585">
        <v>512894</v>
      </c>
      <c r="D585" s="1">
        <v>33148</v>
      </c>
      <c r="E585" t="s">
        <v>39</v>
      </c>
      <c r="F585" t="s">
        <v>40</v>
      </c>
      <c r="G585">
        <v>2000</v>
      </c>
      <c r="H585">
        <v>1153.54</v>
      </c>
      <c r="I585">
        <v>6000000</v>
      </c>
      <c r="J585">
        <v>619657</v>
      </c>
      <c r="K585" t="s">
        <v>41</v>
      </c>
      <c r="L585" t="s">
        <v>124</v>
      </c>
      <c r="M585" t="s">
        <v>135</v>
      </c>
      <c r="N585" t="s">
        <v>173</v>
      </c>
      <c r="O585" t="s">
        <v>85</v>
      </c>
      <c r="P585">
        <v>0</v>
      </c>
      <c r="Q585">
        <v>-57000</v>
      </c>
      <c r="R585" s="1">
        <v>42047</v>
      </c>
      <c r="S585" t="s">
        <v>75</v>
      </c>
      <c r="T585" t="s">
        <v>76</v>
      </c>
      <c r="U585" t="s">
        <v>63</v>
      </c>
      <c r="V585" t="s">
        <v>99</v>
      </c>
      <c r="W585" t="s">
        <v>77</v>
      </c>
      <c r="X585" t="s">
        <v>156</v>
      </c>
      <c r="Y585" t="s">
        <v>762</v>
      </c>
      <c r="Z585">
        <v>3</v>
      </c>
      <c r="AA585">
        <v>3</v>
      </c>
      <c r="AB585" t="s">
        <v>79</v>
      </c>
      <c r="AC585">
        <v>0</v>
      </c>
      <c r="AD585">
        <v>1</v>
      </c>
      <c r="AE585" t="s">
        <v>62</v>
      </c>
      <c r="AF585">
        <v>68090</v>
      </c>
      <c r="AG585">
        <v>12380</v>
      </c>
      <c r="AH585">
        <v>12380</v>
      </c>
      <c r="AI585">
        <v>43330</v>
      </c>
      <c r="AJ585" t="s">
        <v>115</v>
      </c>
      <c r="AK585" t="s">
        <v>183</v>
      </c>
      <c r="AL585">
        <v>2009</v>
      </c>
      <c r="AM585" t="s">
        <v>82</v>
      </c>
      <c r="AN585" s="2">
        <f t="shared" si="63"/>
        <v>58.975869177334701</v>
      </c>
      <c r="AO585">
        <f t="shared" si="64"/>
        <v>-66936.460000000006</v>
      </c>
      <c r="AP585" s="2">
        <f t="shared" si="65"/>
        <v>1.6941152281505632E-2</v>
      </c>
      <c r="AQ585" s="2">
        <f t="shared" si="69"/>
        <v>6</v>
      </c>
      <c r="AR585">
        <f t="shared" si="66"/>
        <v>242</v>
      </c>
      <c r="AS585" t="str">
        <f t="shared" si="67"/>
        <v>High Claim Ratio</v>
      </c>
      <c r="AT585" t="str">
        <f t="shared" si="68"/>
        <v>High Profit</v>
      </c>
    </row>
    <row r="586" spans="1:46" x14ac:dyDescent="0.2">
      <c r="A586">
        <v>96</v>
      </c>
      <c r="B586">
        <v>27</v>
      </c>
      <c r="C586">
        <v>633090</v>
      </c>
      <c r="D586" s="1">
        <v>39861</v>
      </c>
      <c r="E586" t="s">
        <v>83</v>
      </c>
      <c r="F586" t="s">
        <v>69</v>
      </c>
      <c r="G586">
        <v>1000</v>
      </c>
      <c r="H586">
        <v>1631.1</v>
      </c>
      <c r="I586">
        <v>0</v>
      </c>
      <c r="J586">
        <v>437323</v>
      </c>
      <c r="K586" t="s">
        <v>70</v>
      </c>
      <c r="L586" t="s">
        <v>131</v>
      </c>
      <c r="M586" t="s">
        <v>117</v>
      </c>
      <c r="N586" t="s">
        <v>264</v>
      </c>
      <c r="O586" t="s">
        <v>119</v>
      </c>
      <c r="P586">
        <v>0</v>
      </c>
      <c r="Q586">
        <v>0</v>
      </c>
      <c r="R586" s="1">
        <v>42027</v>
      </c>
      <c r="S586" t="s">
        <v>138</v>
      </c>
      <c r="T586" t="s">
        <v>62</v>
      </c>
      <c r="U586" t="s">
        <v>212</v>
      </c>
      <c r="V586" t="s">
        <v>49</v>
      </c>
      <c r="W586" t="s">
        <v>113</v>
      </c>
      <c r="X586" t="s">
        <v>87</v>
      </c>
      <c r="Y586" t="s">
        <v>763</v>
      </c>
      <c r="Z586">
        <v>4</v>
      </c>
      <c r="AA586">
        <v>1</v>
      </c>
      <c r="AB586" t="s">
        <v>62</v>
      </c>
      <c r="AC586">
        <v>1</v>
      </c>
      <c r="AD586">
        <v>2</v>
      </c>
      <c r="AE586" t="s">
        <v>79</v>
      </c>
      <c r="AF586">
        <v>6030</v>
      </c>
      <c r="AG586">
        <v>670</v>
      </c>
      <c r="AH586">
        <v>670</v>
      </c>
      <c r="AI586">
        <v>4690</v>
      </c>
      <c r="AJ586" t="s">
        <v>104</v>
      </c>
      <c r="AK586" t="s">
        <v>105</v>
      </c>
      <c r="AL586">
        <v>2007</v>
      </c>
      <c r="AM586" t="s">
        <v>82</v>
      </c>
      <c r="AN586" s="2">
        <f t="shared" si="63"/>
        <v>3.6946265547454202</v>
      </c>
      <c r="AO586">
        <f t="shared" si="64"/>
        <v>-4398.8999999999996</v>
      </c>
      <c r="AP586" s="2">
        <f t="shared" si="65"/>
        <v>0.27045266125020723</v>
      </c>
      <c r="AQ586" s="2">
        <f t="shared" si="69"/>
        <v>8</v>
      </c>
      <c r="AR586">
        <f t="shared" si="66"/>
        <v>96</v>
      </c>
      <c r="AS586" t="str">
        <f t="shared" si="67"/>
        <v>Low Claim Ratio</v>
      </c>
      <c r="AT586" t="str">
        <f t="shared" si="68"/>
        <v>Low Profit</v>
      </c>
    </row>
    <row r="587" spans="1:46" x14ac:dyDescent="0.2">
      <c r="A587">
        <v>180</v>
      </c>
      <c r="B587">
        <v>35</v>
      </c>
      <c r="C587">
        <v>464234</v>
      </c>
      <c r="D587" s="1">
        <v>38550</v>
      </c>
      <c r="E587" t="s">
        <v>83</v>
      </c>
      <c r="F587" t="s">
        <v>91</v>
      </c>
      <c r="G587">
        <v>1000</v>
      </c>
      <c r="H587">
        <v>1252.48</v>
      </c>
      <c r="I587">
        <v>0</v>
      </c>
      <c r="J587">
        <v>432148</v>
      </c>
      <c r="K587" t="s">
        <v>41</v>
      </c>
      <c r="L587" t="s">
        <v>42</v>
      </c>
      <c r="M587" t="s">
        <v>58</v>
      </c>
      <c r="N587" t="s">
        <v>155</v>
      </c>
      <c r="O587" t="s">
        <v>119</v>
      </c>
      <c r="P587">
        <v>0</v>
      </c>
      <c r="Q587">
        <v>-55800</v>
      </c>
      <c r="R587" s="1">
        <v>42045</v>
      </c>
      <c r="S587" t="s">
        <v>61</v>
      </c>
      <c r="T587" t="s">
        <v>62</v>
      </c>
      <c r="U587" t="s">
        <v>63</v>
      </c>
      <c r="V587" t="s">
        <v>93</v>
      </c>
      <c r="W587" t="s">
        <v>39</v>
      </c>
      <c r="X587" t="s">
        <v>102</v>
      </c>
      <c r="Y587" t="s">
        <v>764</v>
      </c>
      <c r="Z587">
        <v>17</v>
      </c>
      <c r="AA587">
        <v>1</v>
      </c>
      <c r="AB587" t="s">
        <v>62</v>
      </c>
      <c r="AC587">
        <v>1</v>
      </c>
      <c r="AD587">
        <v>3</v>
      </c>
      <c r="AE587" t="s">
        <v>79</v>
      </c>
      <c r="AF587">
        <v>5100</v>
      </c>
      <c r="AG587">
        <v>1020</v>
      </c>
      <c r="AH587">
        <v>510</v>
      </c>
      <c r="AI587">
        <v>3570</v>
      </c>
      <c r="AJ587" t="s">
        <v>89</v>
      </c>
      <c r="AK587" t="s">
        <v>245</v>
      </c>
      <c r="AL587">
        <v>2000</v>
      </c>
      <c r="AM587" t="s">
        <v>82</v>
      </c>
      <c r="AN587" s="2">
        <f t="shared" si="63"/>
        <v>4.0686728148833646</v>
      </c>
      <c r="AO587">
        <f t="shared" si="64"/>
        <v>-3847.52</v>
      </c>
      <c r="AP587" s="2">
        <f t="shared" si="65"/>
        <v>0.24553616937855322</v>
      </c>
      <c r="AQ587" s="2">
        <f t="shared" si="69"/>
        <v>15</v>
      </c>
      <c r="AR587">
        <f t="shared" si="66"/>
        <v>180</v>
      </c>
      <c r="AS587" t="str">
        <f t="shared" si="67"/>
        <v>Low Claim Ratio</v>
      </c>
      <c r="AT587" t="str">
        <f t="shared" si="68"/>
        <v>Low Profit</v>
      </c>
    </row>
    <row r="588" spans="1:46" x14ac:dyDescent="0.2">
      <c r="A588">
        <v>150</v>
      </c>
      <c r="B588">
        <v>30</v>
      </c>
      <c r="C588">
        <v>290162</v>
      </c>
      <c r="D588" s="1">
        <v>34405</v>
      </c>
      <c r="E588" t="s">
        <v>57</v>
      </c>
      <c r="F588" t="s">
        <v>69</v>
      </c>
      <c r="G588">
        <v>1000</v>
      </c>
      <c r="H588">
        <v>1677.26</v>
      </c>
      <c r="I588">
        <v>0</v>
      </c>
      <c r="J588">
        <v>439690</v>
      </c>
      <c r="K588" t="s">
        <v>41</v>
      </c>
      <c r="L588" t="s">
        <v>141</v>
      </c>
      <c r="M588" t="s">
        <v>72</v>
      </c>
      <c r="N588" t="s">
        <v>155</v>
      </c>
      <c r="O588" t="s">
        <v>74</v>
      </c>
      <c r="P588">
        <v>40100</v>
      </c>
      <c r="Q588">
        <v>0</v>
      </c>
      <c r="R588" s="1">
        <v>42014</v>
      </c>
      <c r="S588" t="s">
        <v>61</v>
      </c>
      <c r="T588" t="s">
        <v>62</v>
      </c>
      <c r="U588" t="s">
        <v>212</v>
      </c>
      <c r="V588" t="s">
        <v>49</v>
      </c>
      <c r="W588" t="s">
        <v>113</v>
      </c>
      <c r="X588" t="s">
        <v>102</v>
      </c>
      <c r="Y588" t="s">
        <v>765</v>
      </c>
      <c r="Z588">
        <v>7</v>
      </c>
      <c r="AA588">
        <v>1</v>
      </c>
      <c r="AB588" t="s">
        <v>53</v>
      </c>
      <c r="AC588">
        <v>1</v>
      </c>
      <c r="AD588">
        <v>3</v>
      </c>
      <c r="AE588" t="s">
        <v>53</v>
      </c>
      <c r="AF588">
        <v>4590</v>
      </c>
      <c r="AG588">
        <v>510</v>
      </c>
      <c r="AH588">
        <v>510</v>
      </c>
      <c r="AI588">
        <v>3570</v>
      </c>
      <c r="AJ588" t="s">
        <v>214</v>
      </c>
      <c r="AK588" t="s">
        <v>258</v>
      </c>
      <c r="AL588">
        <v>2013</v>
      </c>
      <c r="AM588" t="s">
        <v>82</v>
      </c>
      <c r="AN588" s="2">
        <f t="shared" si="63"/>
        <v>2.7349755103500053</v>
      </c>
      <c r="AO588">
        <f t="shared" si="64"/>
        <v>-2912.74</v>
      </c>
      <c r="AP588" s="2">
        <f t="shared" si="65"/>
        <v>0.36533652798954475</v>
      </c>
      <c r="AQ588" s="2">
        <f t="shared" si="69"/>
        <v>2</v>
      </c>
      <c r="AR588">
        <f t="shared" si="66"/>
        <v>150</v>
      </c>
      <c r="AS588" t="str">
        <f t="shared" si="67"/>
        <v>Low Claim Ratio</v>
      </c>
      <c r="AT588" t="str">
        <f t="shared" si="68"/>
        <v>Low Profit</v>
      </c>
    </row>
    <row r="589" spans="1:46" x14ac:dyDescent="0.2">
      <c r="A589">
        <v>463</v>
      </c>
      <c r="B589">
        <v>59</v>
      </c>
      <c r="C589">
        <v>638155</v>
      </c>
      <c r="D589" s="1">
        <v>34549</v>
      </c>
      <c r="E589" t="s">
        <v>83</v>
      </c>
      <c r="F589" t="s">
        <v>40</v>
      </c>
      <c r="G589">
        <v>1000</v>
      </c>
      <c r="H589">
        <v>979.73</v>
      </c>
      <c r="I589">
        <v>0</v>
      </c>
      <c r="J589">
        <v>601848</v>
      </c>
      <c r="K589" t="s">
        <v>70</v>
      </c>
      <c r="L589" t="s">
        <v>161</v>
      </c>
      <c r="M589" t="s">
        <v>125</v>
      </c>
      <c r="N589" t="s">
        <v>155</v>
      </c>
      <c r="O589" t="s">
        <v>142</v>
      </c>
      <c r="P589">
        <v>51700</v>
      </c>
      <c r="Q589">
        <v>0</v>
      </c>
      <c r="R589" s="1">
        <v>42047</v>
      </c>
      <c r="S589" t="s">
        <v>75</v>
      </c>
      <c r="T589" t="s">
        <v>86</v>
      </c>
      <c r="U589" t="s">
        <v>48</v>
      </c>
      <c r="V589" t="s">
        <v>120</v>
      </c>
      <c r="W589" t="s">
        <v>50</v>
      </c>
      <c r="X589" t="s">
        <v>51</v>
      </c>
      <c r="Y589" t="s">
        <v>766</v>
      </c>
      <c r="Z589">
        <v>14</v>
      </c>
      <c r="AA589">
        <v>2</v>
      </c>
      <c r="AB589" t="s">
        <v>62</v>
      </c>
      <c r="AC589">
        <v>1</v>
      </c>
      <c r="AD589">
        <v>2</v>
      </c>
      <c r="AE589" t="s">
        <v>79</v>
      </c>
      <c r="AF589">
        <v>72400</v>
      </c>
      <c r="AG589">
        <v>7240</v>
      </c>
      <c r="AH589">
        <v>14480</v>
      </c>
      <c r="AI589">
        <v>50680</v>
      </c>
      <c r="AJ589" t="s">
        <v>89</v>
      </c>
      <c r="AK589" t="s">
        <v>90</v>
      </c>
      <c r="AL589">
        <v>1999</v>
      </c>
      <c r="AM589" t="s">
        <v>56</v>
      </c>
      <c r="AN589" s="2">
        <f t="shared" si="63"/>
        <v>73.822560745567074</v>
      </c>
      <c r="AO589">
        <f t="shared" si="64"/>
        <v>-71420.27</v>
      </c>
      <c r="AP589" s="2">
        <f t="shared" si="65"/>
        <v>1.3531995414427978E-2</v>
      </c>
      <c r="AQ589" s="2">
        <f t="shared" si="69"/>
        <v>16</v>
      </c>
      <c r="AR589">
        <f t="shared" si="66"/>
        <v>463</v>
      </c>
      <c r="AS589" t="str">
        <f t="shared" si="67"/>
        <v>High Claim Ratio</v>
      </c>
      <c r="AT589" t="str">
        <f t="shared" si="68"/>
        <v>High Profit</v>
      </c>
    </row>
    <row r="590" spans="1:46" x14ac:dyDescent="0.2">
      <c r="A590">
        <v>472</v>
      </c>
      <c r="B590">
        <v>64</v>
      </c>
      <c r="C590">
        <v>911429</v>
      </c>
      <c r="D590" s="1">
        <v>41146</v>
      </c>
      <c r="E590" t="s">
        <v>57</v>
      </c>
      <c r="F590" t="s">
        <v>40</v>
      </c>
      <c r="G590">
        <v>500</v>
      </c>
      <c r="H590">
        <v>989.24</v>
      </c>
      <c r="I590">
        <v>0</v>
      </c>
      <c r="J590">
        <v>615821</v>
      </c>
      <c r="K590" t="s">
        <v>41</v>
      </c>
      <c r="L590" t="s">
        <v>124</v>
      </c>
      <c r="M590" t="s">
        <v>111</v>
      </c>
      <c r="N590" t="s">
        <v>132</v>
      </c>
      <c r="O590" t="s">
        <v>142</v>
      </c>
      <c r="P590">
        <v>0</v>
      </c>
      <c r="Q590">
        <v>0</v>
      </c>
      <c r="R590" s="1">
        <v>42056</v>
      </c>
      <c r="S590" t="s">
        <v>46</v>
      </c>
      <c r="T590" t="s">
        <v>86</v>
      </c>
      <c r="U590" t="s">
        <v>48</v>
      </c>
      <c r="V590" t="s">
        <v>99</v>
      </c>
      <c r="W590" t="s">
        <v>77</v>
      </c>
      <c r="X590" t="s">
        <v>156</v>
      </c>
      <c r="Y590" t="s">
        <v>767</v>
      </c>
      <c r="Z590">
        <v>13</v>
      </c>
      <c r="AA590">
        <v>1</v>
      </c>
      <c r="AB590" t="s">
        <v>79</v>
      </c>
      <c r="AC590">
        <v>2</v>
      </c>
      <c r="AD590">
        <v>3</v>
      </c>
      <c r="AE590" t="s">
        <v>79</v>
      </c>
      <c r="AF590">
        <v>70900</v>
      </c>
      <c r="AG590">
        <v>14180</v>
      </c>
      <c r="AH590">
        <v>7090</v>
      </c>
      <c r="AI590">
        <v>49630</v>
      </c>
      <c r="AJ590" t="s">
        <v>67</v>
      </c>
      <c r="AK590" t="s">
        <v>271</v>
      </c>
      <c r="AL590">
        <v>2002</v>
      </c>
      <c r="AM590" t="s">
        <v>82</v>
      </c>
      <c r="AN590" s="2">
        <f t="shared" si="63"/>
        <v>71.598804330263363</v>
      </c>
      <c r="AO590">
        <f t="shared" si="64"/>
        <v>-69910.759999999995</v>
      </c>
      <c r="AP590" s="2">
        <f t="shared" si="65"/>
        <v>1.3952412518864333E-2</v>
      </c>
      <c r="AQ590" s="2">
        <f t="shared" si="69"/>
        <v>13</v>
      </c>
      <c r="AR590">
        <f t="shared" si="66"/>
        <v>472</v>
      </c>
      <c r="AS590" t="str">
        <f t="shared" si="67"/>
        <v>High Claim Ratio</v>
      </c>
      <c r="AT590" t="str">
        <f t="shared" si="68"/>
        <v>High Profit</v>
      </c>
    </row>
    <row r="591" spans="1:46" x14ac:dyDescent="0.2">
      <c r="A591">
        <v>75</v>
      </c>
      <c r="B591">
        <v>25</v>
      </c>
      <c r="C591">
        <v>106186</v>
      </c>
      <c r="D591" s="1">
        <v>40879</v>
      </c>
      <c r="E591" t="s">
        <v>83</v>
      </c>
      <c r="F591" t="s">
        <v>91</v>
      </c>
      <c r="G591">
        <v>1000</v>
      </c>
      <c r="H591">
        <v>1389.86</v>
      </c>
      <c r="I591">
        <v>0</v>
      </c>
      <c r="J591">
        <v>472475</v>
      </c>
      <c r="K591" t="s">
        <v>70</v>
      </c>
      <c r="L591" t="s">
        <v>92</v>
      </c>
      <c r="M591" t="s">
        <v>117</v>
      </c>
      <c r="N591" t="s">
        <v>149</v>
      </c>
      <c r="O591" t="s">
        <v>45</v>
      </c>
      <c r="P591">
        <v>0</v>
      </c>
      <c r="Q591">
        <v>0</v>
      </c>
      <c r="R591" s="1">
        <v>42022</v>
      </c>
      <c r="S591" t="s">
        <v>75</v>
      </c>
      <c r="T591" t="s">
        <v>47</v>
      </c>
      <c r="U591" t="s">
        <v>107</v>
      </c>
      <c r="V591" t="s">
        <v>120</v>
      </c>
      <c r="W591" t="s">
        <v>113</v>
      </c>
      <c r="X591" t="s">
        <v>102</v>
      </c>
      <c r="Y591" t="s">
        <v>768</v>
      </c>
      <c r="Z591">
        <v>23</v>
      </c>
      <c r="AA591">
        <v>2</v>
      </c>
      <c r="AB591" t="s">
        <v>62</v>
      </c>
      <c r="AC591">
        <v>2</v>
      </c>
      <c r="AD591">
        <v>3</v>
      </c>
      <c r="AE591" t="s">
        <v>53</v>
      </c>
      <c r="AF591">
        <v>65100</v>
      </c>
      <c r="AG591">
        <v>6510</v>
      </c>
      <c r="AH591">
        <v>6510</v>
      </c>
      <c r="AI591">
        <v>52080</v>
      </c>
      <c r="AJ591" t="s">
        <v>54</v>
      </c>
      <c r="AK591">
        <v>93</v>
      </c>
      <c r="AL591">
        <v>2011</v>
      </c>
      <c r="AM591" t="s">
        <v>82</v>
      </c>
      <c r="AN591" s="2">
        <f t="shared" si="63"/>
        <v>46.805573530046161</v>
      </c>
      <c r="AO591">
        <f t="shared" si="64"/>
        <v>-63710.14</v>
      </c>
      <c r="AP591" s="2">
        <f t="shared" si="65"/>
        <v>2.1349288029369747E-2</v>
      </c>
      <c r="AQ591" s="2">
        <f t="shared" si="69"/>
        <v>4</v>
      </c>
      <c r="AR591">
        <f t="shared" si="66"/>
        <v>75</v>
      </c>
      <c r="AS591" t="str">
        <f t="shared" si="67"/>
        <v>High Claim Ratio</v>
      </c>
      <c r="AT591" t="str">
        <f t="shared" si="68"/>
        <v>High Profit</v>
      </c>
    </row>
    <row r="592" spans="1:46" x14ac:dyDescent="0.2">
      <c r="A592">
        <v>193</v>
      </c>
      <c r="B592">
        <v>40</v>
      </c>
      <c r="C592">
        <v>311783</v>
      </c>
      <c r="D592" s="1">
        <v>38408</v>
      </c>
      <c r="E592" t="s">
        <v>39</v>
      </c>
      <c r="F592" t="s">
        <v>69</v>
      </c>
      <c r="G592">
        <v>500</v>
      </c>
      <c r="H592">
        <v>1233.8499999999999</v>
      </c>
      <c r="I592">
        <v>0</v>
      </c>
      <c r="J592">
        <v>457463</v>
      </c>
      <c r="K592" t="s">
        <v>70</v>
      </c>
      <c r="L592" t="s">
        <v>141</v>
      </c>
      <c r="M592" t="s">
        <v>159</v>
      </c>
      <c r="N592" t="s">
        <v>168</v>
      </c>
      <c r="O592" t="s">
        <v>45</v>
      </c>
      <c r="P592">
        <v>0</v>
      </c>
      <c r="Q592">
        <v>0</v>
      </c>
      <c r="R592" s="1">
        <v>42063</v>
      </c>
      <c r="S592" t="s">
        <v>75</v>
      </c>
      <c r="T592" t="s">
        <v>47</v>
      </c>
      <c r="U592" t="s">
        <v>107</v>
      </c>
      <c r="V592" t="s">
        <v>136</v>
      </c>
      <c r="W592" t="s">
        <v>175</v>
      </c>
      <c r="X592" t="s">
        <v>122</v>
      </c>
      <c r="Y592" t="s">
        <v>769</v>
      </c>
      <c r="Z592">
        <v>23</v>
      </c>
      <c r="AA592">
        <v>3</v>
      </c>
      <c r="AB592" t="s">
        <v>62</v>
      </c>
      <c r="AC592">
        <v>2</v>
      </c>
      <c r="AD592">
        <v>1</v>
      </c>
      <c r="AE592" t="s">
        <v>53</v>
      </c>
      <c r="AF592">
        <v>64260</v>
      </c>
      <c r="AG592">
        <v>0</v>
      </c>
      <c r="AH592">
        <v>14280</v>
      </c>
      <c r="AI592">
        <v>49980</v>
      </c>
      <c r="AJ592" t="s">
        <v>129</v>
      </c>
      <c r="AK592" t="s">
        <v>172</v>
      </c>
      <c r="AL592">
        <v>1999</v>
      </c>
      <c r="AM592" t="s">
        <v>82</v>
      </c>
      <c r="AN592" s="2">
        <f t="shared" si="63"/>
        <v>52.038709154958099</v>
      </c>
      <c r="AO592">
        <f t="shared" si="64"/>
        <v>-63026.15</v>
      </c>
      <c r="AP592" s="2">
        <f t="shared" si="65"/>
        <v>1.9200603787678374E-2</v>
      </c>
      <c r="AQ592" s="2">
        <f t="shared" si="69"/>
        <v>16</v>
      </c>
      <c r="AR592">
        <f t="shared" si="66"/>
        <v>193</v>
      </c>
      <c r="AS592" t="str">
        <f t="shared" si="67"/>
        <v>High Claim Ratio</v>
      </c>
      <c r="AT592" t="str">
        <f t="shared" si="68"/>
        <v>High Profit</v>
      </c>
    </row>
    <row r="593" spans="1:46" x14ac:dyDescent="0.2">
      <c r="A593">
        <v>43</v>
      </c>
      <c r="B593">
        <v>43</v>
      </c>
      <c r="C593">
        <v>528385</v>
      </c>
      <c r="D593" s="1">
        <v>35741</v>
      </c>
      <c r="E593" t="s">
        <v>83</v>
      </c>
      <c r="F593" t="s">
        <v>91</v>
      </c>
      <c r="G593">
        <v>500</v>
      </c>
      <c r="H593">
        <v>1320.39</v>
      </c>
      <c r="I593">
        <v>0</v>
      </c>
      <c r="J593">
        <v>604861</v>
      </c>
      <c r="K593" t="s">
        <v>70</v>
      </c>
      <c r="L593" t="s">
        <v>92</v>
      </c>
      <c r="M593" t="s">
        <v>84</v>
      </c>
      <c r="N593" t="s">
        <v>155</v>
      </c>
      <c r="O593" t="s">
        <v>142</v>
      </c>
      <c r="P593">
        <v>0</v>
      </c>
      <c r="Q593">
        <v>0</v>
      </c>
      <c r="R593" s="1">
        <v>42023</v>
      </c>
      <c r="S593" t="s">
        <v>46</v>
      </c>
      <c r="T593" t="s">
        <v>76</v>
      </c>
      <c r="U593" t="s">
        <v>48</v>
      </c>
      <c r="V593" t="s">
        <v>136</v>
      </c>
      <c r="W593" t="s">
        <v>113</v>
      </c>
      <c r="X593" t="s">
        <v>87</v>
      </c>
      <c r="Y593" t="s">
        <v>770</v>
      </c>
      <c r="Z593">
        <v>16</v>
      </c>
      <c r="AA593">
        <v>1</v>
      </c>
      <c r="AB593" t="s">
        <v>62</v>
      </c>
      <c r="AC593">
        <v>2</v>
      </c>
      <c r="AD593">
        <v>1</v>
      </c>
      <c r="AE593" t="s">
        <v>62</v>
      </c>
      <c r="AF593">
        <v>79970</v>
      </c>
      <c r="AG593">
        <v>7270</v>
      </c>
      <c r="AH593">
        <v>21810</v>
      </c>
      <c r="AI593">
        <v>50890</v>
      </c>
      <c r="AJ593" t="s">
        <v>209</v>
      </c>
      <c r="AK593" t="s">
        <v>225</v>
      </c>
      <c r="AL593">
        <v>1996</v>
      </c>
      <c r="AM593" t="s">
        <v>56</v>
      </c>
      <c r="AN593" s="2">
        <f t="shared" si="63"/>
        <v>60.519604356019038</v>
      </c>
      <c r="AO593">
        <f t="shared" si="64"/>
        <v>-78649.61</v>
      </c>
      <c r="AP593" s="2">
        <f t="shared" si="65"/>
        <v>1.6510860186817723E-2</v>
      </c>
      <c r="AQ593" s="2">
        <f t="shared" si="69"/>
        <v>19</v>
      </c>
      <c r="AR593">
        <f t="shared" si="66"/>
        <v>43</v>
      </c>
      <c r="AS593" t="str">
        <f t="shared" si="67"/>
        <v>High Claim Ratio</v>
      </c>
      <c r="AT593" t="str">
        <f t="shared" si="68"/>
        <v>High Profit</v>
      </c>
    </row>
    <row r="594" spans="1:46" x14ac:dyDescent="0.2">
      <c r="A594">
        <v>253</v>
      </c>
      <c r="B594">
        <v>41</v>
      </c>
      <c r="C594">
        <v>228403</v>
      </c>
      <c r="D594" s="1">
        <v>38097</v>
      </c>
      <c r="E594" t="s">
        <v>57</v>
      </c>
      <c r="F594" t="s">
        <v>69</v>
      </c>
      <c r="G594">
        <v>1000</v>
      </c>
      <c r="H594">
        <v>1435.09</v>
      </c>
      <c r="I594">
        <v>0</v>
      </c>
      <c r="J594">
        <v>471519</v>
      </c>
      <c r="K594" t="s">
        <v>70</v>
      </c>
      <c r="L594" t="s">
        <v>141</v>
      </c>
      <c r="M594" t="s">
        <v>58</v>
      </c>
      <c r="N594" t="s">
        <v>98</v>
      </c>
      <c r="O594" t="s">
        <v>142</v>
      </c>
      <c r="P594">
        <v>36600</v>
      </c>
      <c r="Q594">
        <v>0</v>
      </c>
      <c r="R594" s="1">
        <v>42015</v>
      </c>
      <c r="S594" t="s">
        <v>46</v>
      </c>
      <c r="T594" t="s">
        <v>76</v>
      </c>
      <c r="U594" t="s">
        <v>107</v>
      </c>
      <c r="V594" t="s">
        <v>49</v>
      </c>
      <c r="W594" t="s">
        <v>50</v>
      </c>
      <c r="X594" t="s">
        <v>156</v>
      </c>
      <c r="Y594" t="s">
        <v>771</v>
      </c>
      <c r="Z594">
        <v>17</v>
      </c>
      <c r="AA594">
        <v>1</v>
      </c>
      <c r="AB594" t="s">
        <v>79</v>
      </c>
      <c r="AC594">
        <v>2</v>
      </c>
      <c r="AD594">
        <v>0</v>
      </c>
      <c r="AE594" t="s">
        <v>62</v>
      </c>
      <c r="AF594">
        <v>56610</v>
      </c>
      <c r="AG594">
        <v>6290</v>
      </c>
      <c r="AH594">
        <v>6290</v>
      </c>
      <c r="AI594">
        <v>44030</v>
      </c>
      <c r="AJ594" t="s">
        <v>89</v>
      </c>
      <c r="AK594" t="s">
        <v>90</v>
      </c>
      <c r="AL594">
        <v>1995</v>
      </c>
      <c r="AM594" t="s">
        <v>82</v>
      </c>
      <c r="AN594" s="2">
        <f t="shared" si="63"/>
        <v>39.419534987361516</v>
      </c>
      <c r="AO594">
        <f t="shared" si="64"/>
        <v>-55174.91</v>
      </c>
      <c r="AP594" s="2">
        <f t="shared" si="65"/>
        <v>2.5350020314073234E-2</v>
      </c>
      <c r="AQ594" s="2">
        <f t="shared" si="69"/>
        <v>20</v>
      </c>
      <c r="AR594">
        <f t="shared" si="66"/>
        <v>253</v>
      </c>
      <c r="AS594" t="str">
        <f t="shared" si="67"/>
        <v>High Claim Ratio</v>
      </c>
      <c r="AT594" t="str">
        <f t="shared" si="68"/>
        <v>High Profit</v>
      </c>
    </row>
    <row r="595" spans="1:46" x14ac:dyDescent="0.2">
      <c r="A595">
        <v>152</v>
      </c>
      <c r="B595">
        <v>30</v>
      </c>
      <c r="C595">
        <v>209177</v>
      </c>
      <c r="D595" s="1">
        <v>40134</v>
      </c>
      <c r="E595" t="s">
        <v>57</v>
      </c>
      <c r="F595" t="s">
        <v>91</v>
      </c>
      <c r="G595">
        <v>500</v>
      </c>
      <c r="H595">
        <v>1448.54</v>
      </c>
      <c r="I595">
        <v>0</v>
      </c>
      <c r="J595">
        <v>618682</v>
      </c>
      <c r="K595" t="s">
        <v>70</v>
      </c>
      <c r="L595" t="s">
        <v>161</v>
      </c>
      <c r="M595" t="s">
        <v>43</v>
      </c>
      <c r="N595" t="s">
        <v>173</v>
      </c>
      <c r="O595" t="s">
        <v>119</v>
      </c>
      <c r="P595">
        <v>58600</v>
      </c>
      <c r="Q595">
        <v>0</v>
      </c>
      <c r="R595" s="1">
        <v>42046</v>
      </c>
      <c r="S595" t="s">
        <v>46</v>
      </c>
      <c r="T595" t="s">
        <v>47</v>
      </c>
      <c r="U595" t="s">
        <v>48</v>
      </c>
      <c r="V595" t="s">
        <v>99</v>
      </c>
      <c r="W595" t="s">
        <v>64</v>
      </c>
      <c r="X595" t="s">
        <v>156</v>
      </c>
      <c r="Y595" t="s">
        <v>772</v>
      </c>
      <c r="Z595">
        <v>9</v>
      </c>
      <c r="AA595">
        <v>1</v>
      </c>
      <c r="AB595" t="s">
        <v>53</v>
      </c>
      <c r="AC595">
        <v>1</v>
      </c>
      <c r="AD595">
        <v>1</v>
      </c>
      <c r="AE595" t="s">
        <v>62</v>
      </c>
      <c r="AF595">
        <v>84590</v>
      </c>
      <c r="AG595">
        <v>7690</v>
      </c>
      <c r="AH595">
        <v>7690</v>
      </c>
      <c r="AI595">
        <v>69210</v>
      </c>
      <c r="AJ595" t="s">
        <v>115</v>
      </c>
      <c r="AK595" t="s">
        <v>140</v>
      </c>
      <c r="AL595">
        <v>2000</v>
      </c>
      <c r="AM595" t="s">
        <v>56</v>
      </c>
      <c r="AN595" s="2">
        <f t="shared" si="63"/>
        <v>58.35644411330491</v>
      </c>
      <c r="AO595">
        <f t="shared" si="64"/>
        <v>-83141.460000000006</v>
      </c>
      <c r="AP595" s="2">
        <f t="shared" si="65"/>
        <v>1.7124043929023183E-2</v>
      </c>
      <c r="AQ595" s="2">
        <f t="shared" si="69"/>
        <v>15</v>
      </c>
      <c r="AR595">
        <f t="shared" si="66"/>
        <v>152</v>
      </c>
      <c r="AS595" t="str">
        <f t="shared" si="67"/>
        <v>High Claim Ratio</v>
      </c>
      <c r="AT595" t="str">
        <f t="shared" si="68"/>
        <v>High Profit</v>
      </c>
    </row>
    <row r="596" spans="1:46" x14ac:dyDescent="0.2">
      <c r="A596">
        <v>160</v>
      </c>
      <c r="B596">
        <v>38</v>
      </c>
      <c r="C596">
        <v>497929</v>
      </c>
      <c r="D596" s="1">
        <v>40075</v>
      </c>
      <c r="E596" t="s">
        <v>39</v>
      </c>
      <c r="F596" t="s">
        <v>40</v>
      </c>
      <c r="G596">
        <v>500</v>
      </c>
      <c r="H596">
        <v>1733.56</v>
      </c>
      <c r="I596">
        <v>0</v>
      </c>
      <c r="J596">
        <v>441425</v>
      </c>
      <c r="K596" t="s">
        <v>41</v>
      </c>
      <c r="L596" t="s">
        <v>131</v>
      </c>
      <c r="M596" t="s">
        <v>72</v>
      </c>
      <c r="N596" t="s">
        <v>44</v>
      </c>
      <c r="O596" t="s">
        <v>119</v>
      </c>
      <c r="P596">
        <v>0</v>
      </c>
      <c r="Q596">
        <v>-43800</v>
      </c>
      <c r="R596" s="1">
        <v>42013</v>
      </c>
      <c r="S596" t="s">
        <v>75</v>
      </c>
      <c r="T596" t="s">
        <v>47</v>
      </c>
      <c r="U596" t="s">
        <v>48</v>
      </c>
      <c r="V596" t="s">
        <v>99</v>
      </c>
      <c r="W596" t="s">
        <v>50</v>
      </c>
      <c r="X596" t="s">
        <v>122</v>
      </c>
      <c r="Y596" t="s">
        <v>773</v>
      </c>
      <c r="Z596">
        <v>13</v>
      </c>
      <c r="AA596">
        <v>3</v>
      </c>
      <c r="AB596" t="s">
        <v>79</v>
      </c>
      <c r="AC596">
        <v>2</v>
      </c>
      <c r="AD596">
        <v>1</v>
      </c>
      <c r="AE596" t="s">
        <v>53</v>
      </c>
      <c r="AF596">
        <v>66780</v>
      </c>
      <c r="AG596">
        <v>7420</v>
      </c>
      <c r="AH596">
        <v>14840</v>
      </c>
      <c r="AI596">
        <v>44520</v>
      </c>
      <c r="AJ596" t="s">
        <v>67</v>
      </c>
      <c r="AK596" t="s">
        <v>271</v>
      </c>
      <c r="AL596">
        <v>1996</v>
      </c>
      <c r="AM596" t="s">
        <v>82</v>
      </c>
      <c r="AN596" s="2">
        <f t="shared" si="63"/>
        <v>38.499677151554287</v>
      </c>
      <c r="AO596">
        <f t="shared" si="64"/>
        <v>-65046.44</v>
      </c>
      <c r="AP596" s="2">
        <f t="shared" si="65"/>
        <v>2.5958880519908356E-2</v>
      </c>
      <c r="AQ596" s="2">
        <f t="shared" si="69"/>
        <v>19</v>
      </c>
      <c r="AR596">
        <f t="shared" si="66"/>
        <v>160</v>
      </c>
      <c r="AS596" t="str">
        <f t="shared" si="67"/>
        <v>High Claim Ratio</v>
      </c>
      <c r="AT596" t="str">
        <f t="shared" si="68"/>
        <v>High Profit</v>
      </c>
    </row>
    <row r="597" spans="1:46" x14ac:dyDescent="0.2">
      <c r="A597">
        <v>56</v>
      </c>
      <c r="B597">
        <v>36</v>
      </c>
      <c r="C597">
        <v>735844</v>
      </c>
      <c r="D597" s="1">
        <v>40125</v>
      </c>
      <c r="E597" t="s">
        <v>57</v>
      </c>
      <c r="F597" t="s">
        <v>69</v>
      </c>
      <c r="G597">
        <v>500</v>
      </c>
      <c r="H597">
        <v>1533.07</v>
      </c>
      <c r="I597">
        <v>0</v>
      </c>
      <c r="J597">
        <v>609336</v>
      </c>
      <c r="K597" t="s">
        <v>41</v>
      </c>
      <c r="L597" t="s">
        <v>161</v>
      </c>
      <c r="M597" t="s">
        <v>189</v>
      </c>
      <c r="N597" t="s">
        <v>264</v>
      </c>
      <c r="O597" t="s">
        <v>74</v>
      </c>
      <c r="P597">
        <v>0</v>
      </c>
      <c r="Q597">
        <v>-28800</v>
      </c>
      <c r="R597" s="1">
        <v>42024</v>
      </c>
      <c r="S597" t="s">
        <v>46</v>
      </c>
      <c r="T597" t="s">
        <v>76</v>
      </c>
      <c r="U597" t="s">
        <v>48</v>
      </c>
      <c r="V597" t="s">
        <v>49</v>
      </c>
      <c r="W597" t="s">
        <v>121</v>
      </c>
      <c r="X597" t="s">
        <v>102</v>
      </c>
      <c r="Y597" t="s">
        <v>774</v>
      </c>
      <c r="Z597">
        <v>13</v>
      </c>
      <c r="AA597">
        <v>1</v>
      </c>
      <c r="AB597" t="s">
        <v>53</v>
      </c>
      <c r="AC597">
        <v>1</v>
      </c>
      <c r="AD597">
        <v>2</v>
      </c>
      <c r="AE597" t="s">
        <v>53</v>
      </c>
      <c r="AF597">
        <v>58500</v>
      </c>
      <c r="AG597">
        <v>0</v>
      </c>
      <c r="AH597">
        <v>6500</v>
      </c>
      <c r="AI597">
        <v>52000</v>
      </c>
      <c r="AJ597" t="s">
        <v>129</v>
      </c>
      <c r="AK597" t="s">
        <v>172</v>
      </c>
      <c r="AL597">
        <v>2001</v>
      </c>
      <c r="AM597" t="s">
        <v>82</v>
      </c>
      <c r="AN597" s="2">
        <f t="shared" si="63"/>
        <v>38.133853083627216</v>
      </c>
      <c r="AO597">
        <f t="shared" si="64"/>
        <v>-56966.93</v>
      </c>
      <c r="AP597" s="2">
        <f t="shared" si="65"/>
        <v>2.6205876822618417E-2</v>
      </c>
      <c r="AQ597" s="2">
        <f t="shared" si="69"/>
        <v>14</v>
      </c>
      <c r="AR597">
        <f t="shared" si="66"/>
        <v>56</v>
      </c>
      <c r="AS597" t="str">
        <f t="shared" si="67"/>
        <v>High Claim Ratio</v>
      </c>
      <c r="AT597" t="str">
        <f t="shared" si="68"/>
        <v>High Profit</v>
      </c>
    </row>
    <row r="598" spans="1:46" x14ac:dyDescent="0.2">
      <c r="A598">
        <v>286</v>
      </c>
      <c r="B598">
        <v>41</v>
      </c>
      <c r="C598">
        <v>710741</v>
      </c>
      <c r="D598" s="1">
        <v>37146</v>
      </c>
      <c r="E598" t="s">
        <v>83</v>
      </c>
      <c r="F598" t="s">
        <v>69</v>
      </c>
      <c r="G598">
        <v>500</v>
      </c>
      <c r="H598">
        <v>1106.77</v>
      </c>
      <c r="I598">
        <v>0</v>
      </c>
      <c r="J598">
        <v>603320</v>
      </c>
      <c r="K598" t="s">
        <v>70</v>
      </c>
      <c r="L598" t="s">
        <v>141</v>
      </c>
      <c r="M598" t="s">
        <v>101</v>
      </c>
      <c r="N598" t="s">
        <v>112</v>
      </c>
      <c r="O598" t="s">
        <v>60</v>
      </c>
      <c r="P598">
        <v>45500</v>
      </c>
      <c r="Q598">
        <v>-62500</v>
      </c>
      <c r="R598" s="1">
        <v>42061</v>
      </c>
      <c r="S598" t="s">
        <v>138</v>
      </c>
      <c r="T598" t="s">
        <v>62</v>
      </c>
      <c r="U598" t="s">
        <v>212</v>
      </c>
      <c r="V598" t="s">
        <v>49</v>
      </c>
      <c r="W598" t="s">
        <v>113</v>
      </c>
      <c r="X598" t="s">
        <v>51</v>
      </c>
      <c r="Y598" t="s">
        <v>775</v>
      </c>
      <c r="Z598">
        <v>3</v>
      </c>
      <c r="AA598">
        <v>1</v>
      </c>
      <c r="AB598" t="s">
        <v>62</v>
      </c>
      <c r="AC598">
        <v>2</v>
      </c>
      <c r="AD598">
        <v>0</v>
      </c>
      <c r="AE598" t="s">
        <v>79</v>
      </c>
      <c r="AF598">
        <v>5000</v>
      </c>
      <c r="AG598">
        <v>500</v>
      </c>
      <c r="AH598">
        <v>500</v>
      </c>
      <c r="AI598">
        <v>4000</v>
      </c>
      <c r="AJ598" t="s">
        <v>80</v>
      </c>
      <c r="AK598" t="s">
        <v>81</v>
      </c>
      <c r="AL598">
        <v>2003</v>
      </c>
      <c r="AM598" t="s">
        <v>82</v>
      </c>
      <c r="AN598" s="2">
        <f t="shared" si="63"/>
        <v>4.5135723119420099</v>
      </c>
      <c r="AO598">
        <f t="shared" si="64"/>
        <v>-3893.23</v>
      </c>
      <c r="AP598" s="2">
        <f t="shared" si="65"/>
        <v>0.22130973805238952</v>
      </c>
      <c r="AQ598" s="2">
        <f t="shared" si="69"/>
        <v>12</v>
      </c>
      <c r="AR598">
        <f t="shared" si="66"/>
        <v>286</v>
      </c>
      <c r="AS598" t="str">
        <f t="shared" si="67"/>
        <v>Low Claim Ratio</v>
      </c>
      <c r="AT598" t="str">
        <f t="shared" si="68"/>
        <v>Low Profit</v>
      </c>
    </row>
    <row r="599" spans="1:46" x14ac:dyDescent="0.2">
      <c r="A599">
        <v>3</v>
      </c>
      <c r="B599">
        <v>29</v>
      </c>
      <c r="C599">
        <v>276804</v>
      </c>
      <c r="D599" s="1">
        <v>33935</v>
      </c>
      <c r="E599" t="s">
        <v>83</v>
      </c>
      <c r="F599" t="s">
        <v>69</v>
      </c>
      <c r="G599">
        <v>500</v>
      </c>
      <c r="H599">
        <v>995.7</v>
      </c>
      <c r="I599">
        <v>5000000</v>
      </c>
      <c r="J599">
        <v>615446</v>
      </c>
      <c r="K599" t="s">
        <v>70</v>
      </c>
      <c r="L599" t="s">
        <v>161</v>
      </c>
      <c r="M599" t="s">
        <v>117</v>
      </c>
      <c r="N599" t="s">
        <v>168</v>
      </c>
      <c r="O599" t="s">
        <v>85</v>
      </c>
      <c r="P599">
        <v>0</v>
      </c>
      <c r="Q599">
        <v>0</v>
      </c>
      <c r="R599" s="1">
        <v>42037</v>
      </c>
      <c r="S599" t="s">
        <v>138</v>
      </c>
      <c r="T599" t="s">
        <v>62</v>
      </c>
      <c r="U599" t="s">
        <v>212</v>
      </c>
      <c r="V599" t="s">
        <v>49</v>
      </c>
      <c r="W599" t="s">
        <v>175</v>
      </c>
      <c r="X599" t="s">
        <v>102</v>
      </c>
      <c r="Y599" t="s">
        <v>776</v>
      </c>
      <c r="Z599">
        <v>3</v>
      </c>
      <c r="AA599">
        <v>1</v>
      </c>
      <c r="AB599" t="s">
        <v>62</v>
      </c>
      <c r="AC599">
        <v>2</v>
      </c>
      <c r="AD599">
        <v>1</v>
      </c>
      <c r="AE599" t="s">
        <v>62</v>
      </c>
      <c r="AF599">
        <v>5000</v>
      </c>
      <c r="AG599">
        <v>500</v>
      </c>
      <c r="AH599">
        <v>1000</v>
      </c>
      <c r="AI599">
        <v>3500</v>
      </c>
      <c r="AJ599" t="s">
        <v>67</v>
      </c>
      <c r="AK599" t="s">
        <v>68</v>
      </c>
      <c r="AL599">
        <v>2008</v>
      </c>
      <c r="AM599" t="s">
        <v>56</v>
      </c>
      <c r="AN599" s="2">
        <f t="shared" si="63"/>
        <v>5.0165546302799235</v>
      </c>
      <c r="AO599">
        <f t="shared" si="64"/>
        <v>-4004.3</v>
      </c>
      <c r="AP599" s="2">
        <f t="shared" si="65"/>
        <v>0.1991001799640072</v>
      </c>
      <c r="AQ599" s="2">
        <f t="shared" si="69"/>
        <v>7</v>
      </c>
      <c r="AR599">
        <f t="shared" si="66"/>
        <v>3</v>
      </c>
      <c r="AS599" t="str">
        <f t="shared" si="67"/>
        <v>Medium Claim Ratio</v>
      </c>
      <c r="AT599" t="str">
        <f t="shared" si="68"/>
        <v>Low Profit</v>
      </c>
    </row>
    <row r="600" spans="1:46" x14ac:dyDescent="0.2">
      <c r="A600">
        <v>286</v>
      </c>
      <c r="B600">
        <v>41</v>
      </c>
      <c r="C600">
        <v>507545</v>
      </c>
      <c r="D600" s="1">
        <v>36136</v>
      </c>
      <c r="E600" t="s">
        <v>83</v>
      </c>
      <c r="F600" t="s">
        <v>40</v>
      </c>
      <c r="G600">
        <v>1000</v>
      </c>
      <c r="H600">
        <v>1298.8499999999999</v>
      </c>
      <c r="I600">
        <v>6000000</v>
      </c>
      <c r="J600">
        <v>435967</v>
      </c>
      <c r="K600" t="s">
        <v>70</v>
      </c>
      <c r="L600" t="s">
        <v>131</v>
      </c>
      <c r="M600" t="s">
        <v>72</v>
      </c>
      <c r="N600" t="s">
        <v>118</v>
      </c>
      <c r="O600" t="s">
        <v>60</v>
      </c>
      <c r="P600">
        <v>71300</v>
      </c>
      <c r="Q600">
        <v>-70300</v>
      </c>
      <c r="R600" s="1">
        <v>42008</v>
      </c>
      <c r="S600" t="s">
        <v>75</v>
      </c>
      <c r="T600" t="s">
        <v>86</v>
      </c>
      <c r="U600" t="s">
        <v>48</v>
      </c>
      <c r="V600" t="s">
        <v>136</v>
      </c>
      <c r="W600" t="s">
        <v>77</v>
      </c>
      <c r="X600" t="s">
        <v>51</v>
      </c>
      <c r="Y600" t="s">
        <v>777</v>
      </c>
      <c r="Z600">
        <v>16</v>
      </c>
      <c r="AA600">
        <v>3</v>
      </c>
      <c r="AB600" t="s">
        <v>62</v>
      </c>
      <c r="AC600">
        <v>1</v>
      </c>
      <c r="AD600">
        <v>3</v>
      </c>
      <c r="AE600" t="s">
        <v>53</v>
      </c>
      <c r="AF600">
        <v>54450</v>
      </c>
      <c r="AG600">
        <v>6050</v>
      </c>
      <c r="AH600">
        <v>12100</v>
      </c>
      <c r="AI600">
        <v>36300</v>
      </c>
      <c r="AJ600" t="s">
        <v>54</v>
      </c>
      <c r="AK600" t="s">
        <v>55</v>
      </c>
      <c r="AL600">
        <v>2007</v>
      </c>
      <c r="AM600" t="s">
        <v>82</v>
      </c>
      <c r="AN600" s="2">
        <f t="shared" si="63"/>
        <v>41.889448782551838</v>
      </c>
      <c r="AO600">
        <f t="shared" si="64"/>
        <v>-53151.15</v>
      </c>
      <c r="AP600" s="2">
        <f t="shared" si="65"/>
        <v>2.3853556408514075E-2</v>
      </c>
      <c r="AQ600" s="2">
        <f t="shared" si="69"/>
        <v>8</v>
      </c>
      <c r="AR600">
        <f t="shared" si="66"/>
        <v>286</v>
      </c>
      <c r="AS600" t="str">
        <f t="shared" si="67"/>
        <v>High Claim Ratio</v>
      </c>
      <c r="AT600" t="str">
        <f t="shared" si="68"/>
        <v>High Profit</v>
      </c>
    </row>
    <row r="601" spans="1:46" x14ac:dyDescent="0.2">
      <c r="A601">
        <v>239</v>
      </c>
      <c r="B601">
        <v>38</v>
      </c>
      <c r="C601">
        <v>485642</v>
      </c>
      <c r="D601" s="1">
        <v>33110</v>
      </c>
      <c r="E601" t="s">
        <v>39</v>
      </c>
      <c r="F601" t="s">
        <v>40</v>
      </c>
      <c r="G601">
        <v>1000</v>
      </c>
      <c r="H601">
        <v>1276.73</v>
      </c>
      <c r="I601">
        <v>5000000</v>
      </c>
      <c r="J601">
        <v>610246</v>
      </c>
      <c r="K601" t="s">
        <v>70</v>
      </c>
      <c r="L601" t="s">
        <v>124</v>
      </c>
      <c r="M601" t="s">
        <v>159</v>
      </c>
      <c r="N601" t="s">
        <v>98</v>
      </c>
      <c r="O601" t="s">
        <v>60</v>
      </c>
      <c r="P601">
        <v>0</v>
      </c>
      <c r="Q601">
        <v>0</v>
      </c>
      <c r="R601" s="1">
        <v>42054</v>
      </c>
      <c r="S601" t="s">
        <v>75</v>
      </c>
      <c r="T601" t="s">
        <v>86</v>
      </c>
      <c r="U601" t="s">
        <v>48</v>
      </c>
      <c r="V601" t="s">
        <v>49</v>
      </c>
      <c r="W601" t="s">
        <v>113</v>
      </c>
      <c r="X601" t="s">
        <v>156</v>
      </c>
      <c r="Y601" t="s">
        <v>778</v>
      </c>
      <c r="Z601">
        <v>12</v>
      </c>
      <c r="AA601">
        <v>3</v>
      </c>
      <c r="AB601" t="s">
        <v>79</v>
      </c>
      <c r="AC601">
        <v>1</v>
      </c>
      <c r="AD601">
        <v>3</v>
      </c>
      <c r="AE601" t="s">
        <v>62</v>
      </c>
      <c r="AF601">
        <v>61920</v>
      </c>
      <c r="AG601">
        <v>6880</v>
      </c>
      <c r="AH601">
        <v>6880</v>
      </c>
      <c r="AI601">
        <v>48160</v>
      </c>
      <c r="AJ601" t="s">
        <v>54</v>
      </c>
      <c r="AK601">
        <v>93</v>
      </c>
      <c r="AL601">
        <v>2003</v>
      </c>
      <c r="AM601" t="s">
        <v>82</v>
      </c>
      <c r="AN601" s="2">
        <f t="shared" si="63"/>
        <v>48.460942452630839</v>
      </c>
      <c r="AO601">
        <f t="shared" si="64"/>
        <v>-60643.27</v>
      </c>
      <c r="AP601" s="2">
        <f t="shared" si="65"/>
        <v>2.061869155859886E-2</v>
      </c>
      <c r="AQ601" s="2">
        <f t="shared" si="69"/>
        <v>12</v>
      </c>
      <c r="AR601">
        <f t="shared" si="66"/>
        <v>239</v>
      </c>
      <c r="AS601" t="str">
        <f t="shared" si="67"/>
        <v>High Claim Ratio</v>
      </c>
      <c r="AT601" t="str">
        <f t="shared" si="68"/>
        <v>High Profit</v>
      </c>
    </row>
    <row r="602" spans="1:46" x14ac:dyDescent="0.2">
      <c r="A602">
        <v>64</v>
      </c>
      <c r="B602">
        <v>29</v>
      </c>
      <c r="C602">
        <v>796375</v>
      </c>
      <c r="D602" s="1">
        <v>40838</v>
      </c>
      <c r="E602" t="s">
        <v>39</v>
      </c>
      <c r="F602" t="s">
        <v>40</v>
      </c>
      <c r="G602">
        <v>2000</v>
      </c>
      <c r="H602">
        <v>1202.28</v>
      </c>
      <c r="I602">
        <v>0</v>
      </c>
      <c r="J602">
        <v>479327</v>
      </c>
      <c r="K602" t="s">
        <v>41</v>
      </c>
      <c r="L602" t="s">
        <v>131</v>
      </c>
      <c r="M602" t="s">
        <v>125</v>
      </c>
      <c r="N602" t="s">
        <v>242</v>
      </c>
      <c r="O602" t="s">
        <v>60</v>
      </c>
      <c r="P602">
        <v>0</v>
      </c>
      <c r="Q602">
        <v>-61400</v>
      </c>
      <c r="R602" s="1">
        <v>42016</v>
      </c>
      <c r="S602" t="s">
        <v>46</v>
      </c>
      <c r="T602" t="s">
        <v>47</v>
      </c>
      <c r="U602" t="s">
        <v>63</v>
      </c>
      <c r="V602" t="s">
        <v>136</v>
      </c>
      <c r="W602" t="s">
        <v>64</v>
      </c>
      <c r="X602" t="s">
        <v>122</v>
      </c>
      <c r="Y602" t="s">
        <v>779</v>
      </c>
      <c r="Z602">
        <v>4</v>
      </c>
      <c r="AA602">
        <v>1</v>
      </c>
      <c r="AB602" t="s">
        <v>62</v>
      </c>
      <c r="AC602">
        <v>1</v>
      </c>
      <c r="AD602">
        <v>2</v>
      </c>
      <c r="AE602" t="s">
        <v>79</v>
      </c>
      <c r="AF602">
        <v>43700</v>
      </c>
      <c r="AG602">
        <v>4370</v>
      </c>
      <c r="AH602">
        <v>4370</v>
      </c>
      <c r="AI602">
        <v>34960</v>
      </c>
      <c r="AJ602" t="s">
        <v>104</v>
      </c>
      <c r="AK602" t="s">
        <v>105</v>
      </c>
      <c r="AL602">
        <v>2007</v>
      </c>
      <c r="AM602" t="s">
        <v>56</v>
      </c>
      <c r="AN602" s="2">
        <f t="shared" si="63"/>
        <v>36.317399109101792</v>
      </c>
      <c r="AO602">
        <f t="shared" si="64"/>
        <v>-42497.72</v>
      </c>
      <c r="AP602" s="2">
        <f t="shared" si="65"/>
        <v>2.7511498592709547E-2</v>
      </c>
      <c r="AQ602" s="2">
        <f t="shared" si="69"/>
        <v>8</v>
      </c>
      <c r="AR602">
        <f t="shared" si="66"/>
        <v>64</v>
      </c>
      <c r="AS602" t="str">
        <f t="shared" si="67"/>
        <v>High Claim Ratio</v>
      </c>
      <c r="AT602" t="str">
        <f t="shared" si="68"/>
        <v>High Profit</v>
      </c>
    </row>
    <row r="603" spans="1:46" x14ac:dyDescent="0.2">
      <c r="A603">
        <v>98</v>
      </c>
      <c r="B603">
        <v>31</v>
      </c>
      <c r="C603">
        <v>171183</v>
      </c>
      <c r="D603" s="1">
        <v>32905</v>
      </c>
      <c r="E603" t="s">
        <v>57</v>
      </c>
      <c r="F603" t="s">
        <v>69</v>
      </c>
      <c r="G603">
        <v>500</v>
      </c>
      <c r="H603">
        <v>671.92</v>
      </c>
      <c r="I603">
        <v>0</v>
      </c>
      <c r="J603">
        <v>468300</v>
      </c>
      <c r="K603" t="s">
        <v>41</v>
      </c>
      <c r="L603" t="s">
        <v>124</v>
      </c>
      <c r="M603" t="s">
        <v>58</v>
      </c>
      <c r="N603" t="s">
        <v>98</v>
      </c>
      <c r="O603" t="s">
        <v>119</v>
      </c>
      <c r="P603">
        <v>0</v>
      </c>
      <c r="Q603">
        <v>-26400</v>
      </c>
      <c r="R603" s="1">
        <v>42028</v>
      </c>
      <c r="S603" t="s">
        <v>46</v>
      </c>
      <c r="T603" t="s">
        <v>86</v>
      </c>
      <c r="U603" t="s">
        <v>63</v>
      </c>
      <c r="V603" t="s">
        <v>120</v>
      </c>
      <c r="W603" t="s">
        <v>121</v>
      </c>
      <c r="X603" t="s">
        <v>65</v>
      </c>
      <c r="Y603" t="s">
        <v>780</v>
      </c>
      <c r="Z603">
        <v>3</v>
      </c>
      <c r="AA603">
        <v>1</v>
      </c>
      <c r="AB603" t="s">
        <v>62</v>
      </c>
      <c r="AC603">
        <v>2</v>
      </c>
      <c r="AD603">
        <v>0</v>
      </c>
      <c r="AE603" t="s">
        <v>62</v>
      </c>
      <c r="AF603">
        <v>64080</v>
      </c>
      <c r="AG603">
        <v>7120</v>
      </c>
      <c r="AH603">
        <v>7120</v>
      </c>
      <c r="AI603">
        <v>49840</v>
      </c>
      <c r="AJ603" t="s">
        <v>129</v>
      </c>
      <c r="AK603" t="s">
        <v>172</v>
      </c>
      <c r="AL603">
        <v>1997</v>
      </c>
      <c r="AM603" t="s">
        <v>82</v>
      </c>
      <c r="AN603" s="2">
        <f t="shared" si="63"/>
        <v>95.226772870474946</v>
      </c>
      <c r="AO603">
        <f t="shared" si="64"/>
        <v>-63408.08</v>
      </c>
      <c r="AP603" s="2">
        <f t="shared" si="65"/>
        <v>1.0485479315241646E-2</v>
      </c>
      <c r="AQ603" s="2">
        <f t="shared" si="69"/>
        <v>18</v>
      </c>
      <c r="AR603">
        <f t="shared" si="66"/>
        <v>98</v>
      </c>
      <c r="AS603" t="str">
        <f t="shared" si="67"/>
        <v>High Claim Ratio</v>
      </c>
      <c r="AT603" t="str">
        <f t="shared" si="68"/>
        <v>High Profit</v>
      </c>
    </row>
    <row r="604" spans="1:46" x14ac:dyDescent="0.2">
      <c r="A604">
        <v>16</v>
      </c>
      <c r="B604">
        <v>35</v>
      </c>
      <c r="C604">
        <v>110084</v>
      </c>
      <c r="D604" s="1">
        <v>33204</v>
      </c>
      <c r="E604" t="s">
        <v>83</v>
      </c>
      <c r="F604" t="s">
        <v>40</v>
      </c>
      <c r="G604">
        <v>1000</v>
      </c>
      <c r="H604">
        <v>1358.03</v>
      </c>
      <c r="I604">
        <v>0</v>
      </c>
      <c r="J604">
        <v>612660</v>
      </c>
      <c r="K604" t="s">
        <v>41</v>
      </c>
      <c r="L604" t="s">
        <v>161</v>
      </c>
      <c r="M604" t="s">
        <v>72</v>
      </c>
      <c r="N604" t="s">
        <v>168</v>
      </c>
      <c r="O604" t="s">
        <v>74</v>
      </c>
      <c r="P604">
        <v>59300</v>
      </c>
      <c r="Q604">
        <v>-31400</v>
      </c>
      <c r="R604" s="1">
        <v>42052</v>
      </c>
      <c r="S604" t="s">
        <v>46</v>
      </c>
      <c r="T604" t="s">
        <v>76</v>
      </c>
      <c r="U604" t="s">
        <v>107</v>
      </c>
      <c r="V604" t="s">
        <v>120</v>
      </c>
      <c r="W604" t="s">
        <v>50</v>
      </c>
      <c r="X604" t="s">
        <v>122</v>
      </c>
      <c r="Y604" t="s">
        <v>781</v>
      </c>
      <c r="Z604">
        <v>0</v>
      </c>
      <c r="AA604">
        <v>1</v>
      </c>
      <c r="AB604" t="s">
        <v>79</v>
      </c>
      <c r="AC604">
        <v>2</v>
      </c>
      <c r="AD604">
        <v>1</v>
      </c>
      <c r="AE604" t="s">
        <v>62</v>
      </c>
      <c r="AF604">
        <v>55000</v>
      </c>
      <c r="AG604">
        <v>10000</v>
      </c>
      <c r="AH604">
        <v>10000</v>
      </c>
      <c r="AI604">
        <v>35000</v>
      </c>
      <c r="AJ604" t="s">
        <v>214</v>
      </c>
      <c r="AK604" t="s">
        <v>258</v>
      </c>
      <c r="AL604">
        <v>2008</v>
      </c>
      <c r="AM604" t="s">
        <v>56</v>
      </c>
      <c r="AN604" s="2">
        <f t="shared" si="63"/>
        <v>40.470041132278169</v>
      </c>
      <c r="AO604">
        <f t="shared" si="64"/>
        <v>-53641.97</v>
      </c>
      <c r="AP604" s="2">
        <f t="shared" si="65"/>
        <v>2.4691005618079669E-2</v>
      </c>
      <c r="AQ604" s="2">
        <f t="shared" si="69"/>
        <v>7</v>
      </c>
      <c r="AR604">
        <f t="shared" si="66"/>
        <v>16</v>
      </c>
      <c r="AS604" t="str">
        <f t="shared" si="67"/>
        <v>High Claim Ratio</v>
      </c>
      <c r="AT604" t="str">
        <f t="shared" si="68"/>
        <v>High Profit</v>
      </c>
    </row>
    <row r="605" spans="1:46" x14ac:dyDescent="0.2">
      <c r="A605">
        <v>70</v>
      </c>
      <c r="B605">
        <v>27</v>
      </c>
      <c r="C605">
        <v>714784</v>
      </c>
      <c r="D605" s="1">
        <v>38184</v>
      </c>
      <c r="E605" t="s">
        <v>57</v>
      </c>
      <c r="F605" t="s">
        <v>40</v>
      </c>
      <c r="G605">
        <v>1000</v>
      </c>
      <c r="H605">
        <v>1008.79</v>
      </c>
      <c r="I605">
        <v>4000000</v>
      </c>
      <c r="J605">
        <v>466691</v>
      </c>
      <c r="K605" t="s">
        <v>70</v>
      </c>
      <c r="L605" t="s">
        <v>124</v>
      </c>
      <c r="M605" t="s">
        <v>185</v>
      </c>
      <c r="N605" t="s">
        <v>181</v>
      </c>
      <c r="O605" t="s">
        <v>74</v>
      </c>
      <c r="P605">
        <v>46000</v>
      </c>
      <c r="Q605">
        <v>0</v>
      </c>
      <c r="R605" s="1">
        <v>42017</v>
      </c>
      <c r="S605" t="s">
        <v>61</v>
      </c>
      <c r="T605" t="s">
        <v>62</v>
      </c>
      <c r="U605" t="s">
        <v>212</v>
      </c>
      <c r="V605" t="s">
        <v>49</v>
      </c>
      <c r="W605" t="s">
        <v>113</v>
      </c>
      <c r="X605" t="s">
        <v>51</v>
      </c>
      <c r="Y605" t="s">
        <v>782</v>
      </c>
      <c r="Z605">
        <v>19</v>
      </c>
      <c r="AA605">
        <v>1</v>
      </c>
      <c r="AB605" t="s">
        <v>79</v>
      </c>
      <c r="AC605">
        <v>2</v>
      </c>
      <c r="AD605">
        <v>3</v>
      </c>
      <c r="AE605" t="s">
        <v>62</v>
      </c>
      <c r="AF605">
        <v>4400</v>
      </c>
      <c r="AG605">
        <v>0</v>
      </c>
      <c r="AH605">
        <v>550</v>
      </c>
      <c r="AI605">
        <v>3850</v>
      </c>
      <c r="AJ605" t="s">
        <v>115</v>
      </c>
      <c r="AK605" t="s">
        <v>116</v>
      </c>
      <c r="AL605">
        <v>2000</v>
      </c>
      <c r="AM605" t="s">
        <v>82</v>
      </c>
      <c r="AN605" s="2">
        <f t="shared" si="63"/>
        <v>4.3573416254864874</v>
      </c>
      <c r="AO605">
        <f t="shared" si="64"/>
        <v>-3391.21</v>
      </c>
      <c r="AP605" s="2">
        <f t="shared" si="65"/>
        <v>0.22921835946375824</v>
      </c>
      <c r="AQ605" s="2">
        <f t="shared" si="69"/>
        <v>15</v>
      </c>
      <c r="AR605">
        <f t="shared" si="66"/>
        <v>70</v>
      </c>
      <c r="AS605" t="str">
        <f t="shared" si="67"/>
        <v>Low Claim Ratio</v>
      </c>
      <c r="AT605" t="str">
        <f t="shared" si="68"/>
        <v>Low Profit</v>
      </c>
    </row>
    <row r="606" spans="1:46" x14ac:dyDescent="0.2">
      <c r="A606">
        <v>75</v>
      </c>
      <c r="B606">
        <v>27</v>
      </c>
      <c r="C606">
        <v>143924</v>
      </c>
      <c r="D606" s="1">
        <v>34313</v>
      </c>
      <c r="E606" t="s">
        <v>39</v>
      </c>
      <c r="F606" t="s">
        <v>69</v>
      </c>
      <c r="G606">
        <v>1000</v>
      </c>
      <c r="H606">
        <v>1141.0999999999999</v>
      </c>
      <c r="I606">
        <v>0</v>
      </c>
      <c r="J606">
        <v>468515</v>
      </c>
      <c r="K606" t="s">
        <v>41</v>
      </c>
      <c r="L606" t="s">
        <v>161</v>
      </c>
      <c r="M606" t="s">
        <v>84</v>
      </c>
      <c r="N606" t="s">
        <v>146</v>
      </c>
      <c r="O606" t="s">
        <v>60</v>
      </c>
      <c r="P606">
        <v>0</v>
      </c>
      <c r="Q606">
        <v>0</v>
      </c>
      <c r="R606" s="1">
        <v>42063</v>
      </c>
      <c r="S606" t="s">
        <v>75</v>
      </c>
      <c r="T606" t="s">
        <v>47</v>
      </c>
      <c r="U606" t="s">
        <v>63</v>
      </c>
      <c r="V606" t="s">
        <v>49</v>
      </c>
      <c r="W606" t="s">
        <v>50</v>
      </c>
      <c r="X606" t="s">
        <v>122</v>
      </c>
      <c r="Y606" t="s">
        <v>783</v>
      </c>
      <c r="Z606">
        <v>15</v>
      </c>
      <c r="AA606">
        <v>2</v>
      </c>
      <c r="AB606" t="s">
        <v>62</v>
      </c>
      <c r="AC606">
        <v>0</v>
      </c>
      <c r="AD606">
        <v>1</v>
      </c>
      <c r="AE606" t="s">
        <v>53</v>
      </c>
      <c r="AF606">
        <v>71640</v>
      </c>
      <c r="AG606">
        <v>5970</v>
      </c>
      <c r="AH606">
        <v>11940</v>
      </c>
      <c r="AI606">
        <v>53730</v>
      </c>
      <c r="AJ606" t="s">
        <v>115</v>
      </c>
      <c r="AK606" t="s">
        <v>140</v>
      </c>
      <c r="AL606">
        <v>2008</v>
      </c>
      <c r="AM606" t="s">
        <v>82</v>
      </c>
      <c r="AN606" s="2">
        <f t="shared" si="63"/>
        <v>62.726556343577627</v>
      </c>
      <c r="AO606">
        <f t="shared" si="64"/>
        <v>-70498.899999999994</v>
      </c>
      <c r="AP606" s="2">
        <f t="shared" si="65"/>
        <v>1.5928030038665008E-2</v>
      </c>
      <c r="AQ606" s="2">
        <f t="shared" si="69"/>
        <v>7</v>
      </c>
      <c r="AR606">
        <f t="shared" si="66"/>
        <v>75</v>
      </c>
      <c r="AS606" t="str">
        <f t="shared" si="67"/>
        <v>High Claim Ratio</v>
      </c>
      <c r="AT606" t="str">
        <f t="shared" si="68"/>
        <v>High Profit</v>
      </c>
    </row>
    <row r="607" spans="1:46" x14ac:dyDescent="0.2">
      <c r="A607">
        <v>246</v>
      </c>
      <c r="B607">
        <v>44</v>
      </c>
      <c r="C607">
        <v>996850</v>
      </c>
      <c r="D607" s="1">
        <v>34766</v>
      </c>
      <c r="E607" t="s">
        <v>39</v>
      </c>
      <c r="F607" t="s">
        <v>69</v>
      </c>
      <c r="G607">
        <v>1000</v>
      </c>
      <c r="H607">
        <v>1397</v>
      </c>
      <c r="I607">
        <v>0</v>
      </c>
      <c r="J607">
        <v>614521</v>
      </c>
      <c r="K607" t="s">
        <v>41</v>
      </c>
      <c r="L607" t="s">
        <v>131</v>
      </c>
      <c r="M607" t="s">
        <v>58</v>
      </c>
      <c r="N607" t="s">
        <v>59</v>
      </c>
      <c r="O607" t="s">
        <v>142</v>
      </c>
      <c r="P607">
        <v>0</v>
      </c>
      <c r="Q607">
        <v>0</v>
      </c>
      <c r="R607" s="1">
        <v>42007</v>
      </c>
      <c r="S607" t="s">
        <v>46</v>
      </c>
      <c r="T607" t="s">
        <v>76</v>
      </c>
      <c r="U607" t="s">
        <v>63</v>
      </c>
      <c r="V607" t="s">
        <v>120</v>
      </c>
      <c r="W607" t="s">
        <v>77</v>
      </c>
      <c r="X607" t="s">
        <v>87</v>
      </c>
      <c r="Y607" t="s">
        <v>784</v>
      </c>
      <c r="Z607">
        <v>6</v>
      </c>
      <c r="AA607">
        <v>1</v>
      </c>
      <c r="AB607" t="s">
        <v>79</v>
      </c>
      <c r="AC607">
        <v>1</v>
      </c>
      <c r="AD607">
        <v>0</v>
      </c>
      <c r="AE607" t="s">
        <v>79</v>
      </c>
      <c r="AF607">
        <v>61740</v>
      </c>
      <c r="AG607">
        <v>6860</v>
      </c>
      <c r="AH607">
        <v>6860</v>
      </c>
      <c r="AI607">
        <v>48020</v>
      </c>
      <c r="AJ607" t="s">
        <v>95</v>
      </c>
      <c r="AK607" t="s">
        <v>148</v>
      </c>
      <c r="AL607">
        <v>1997</v>
      </c>
      <c r="AM607" t="s">
        <v>82</v>
      </c>
      <c r="AN607" s="2">
        <f t="shared" si="63"/>
        <v>44.163090128755364</v>
      </c>
      <c r="AO607">
        <f t="shared" si="64"/>
        <v>-60343</v>
      </c>
      <c r="AP607" s="2">
        <f t="shared" si="65"/>
        <v>2.2626779611603309E-2</v>
      </c>
      <c r="AQ607" s="2">
        <f t="shared" si="69"/>
        <v>18</v>
      </c>
      <c r="AR607">
        <f t="shared" si="66"/>
        <v>246</v>
      </c>
      <c r="AS607" t="str">
        <f t="shared" si="67"/>
        <v>High Claim Ratio</v>
      </c>
      <c r="AT607" t="str">
        <f t="shared" si="68"/>
        <v>High Profit</v>
      </c>
    </row>
    <row r="608" spans="1:46" x14ac:dyDescent="0.2">
      <c r="A608">
        <v>110</v>
      </c>
      <c r="B608">
        <v>27</v>
      </c>
      <c r="C608">
        <v>284834</v>
      </c>
      <c r="D608" s="1">
        <v>40028</v>
      </c>
      <c r="E608" t="s">
        <v>39</v>
      </c>
      <c r="F608" t="s">
        <v>91</v>
      </c>
      <c r="G608">
        <v>1000</v>
      </c>
      <c r="H608">
        <v>1664.66</v>
      </c>
      <c r="I608">
        <v>0</v>
      </c>
      <c r="J608">
        <v>465921</v>
      </c>
      <c r="K608" t="s">
        <v>70</v>
      </c>
      <c r="L608" t="s">
        <v>92</v>
      </c>
      <c r="M608" t="s">
        <v>117</v>
      </c>
      <c r="N608" t="s">
        <v>112</v>
      </c>
      <c r="O608" t="s">
        <v>74</v>
      </c>
      <c r="P608">
        <v>0</v>
      </c>
      <c r="Q608">
        <v>-66200</v>
      </c>
      <c r="R608" s="1">
        <v>42040</v>
      </c>
      <c r="S608" t="s">
        <v>46</v>
      </c>
      <c r="T608" t="s">
        <v>47</v>
      </c>
      <c r="U608" t="s">
        <v>107</v>
      </c>
      <c r="V608" t="s">
        <v>136</v>
      </c>
      <c r="W608" t="s">
        <v>50</v>
      </c>
      <c r="X608" t="s">
        <v>102</v>
      </c>
      <c r="Y608" t="s">
        <v>785</v>
      </c>
      <c r="Z608">
        <v>3</v>
      </c>
      <c r="AA608">
        <v>1</v>
      </c>
      <c r="AB608" t="s">
        <v>62</v>
      </c>
      <c r="AC608">
        <v>0</v>
      </c>
      <c r="AD608">
        <v>3</v>
      </c>
      <c r="AE608" t="s">
        <v>62</v>
      </c>
      <c r="AF608">
        <v>57500</v>
      </c>
      <c r="AG608">
        <v>5750</v>
      </c>
      <c r="AH608">
        <v>5750</v>
      </c>
      <c r="AI608">
        <v>46000</v>
      </c>
      <c r="AJ608" t="s">
        <v>109</v>
      </c>
      <c r="AK608" t="s">
        <v>134</v>
      </c>
      <c r="AL608">
        <v>2010</v>
      </c>
      <c r="AM608" t="s">
        <v>82</v>
      </c>
      <c r="AN608" s="2">
        <f t="shared" si="63"/>
        <v>34.520850593758631</v>
      </c>
      <c r="AO608">
        <f t="shared" si="64"/>
        <v>-55835.34</v>
      </c>
      <c r="AP608" s="2">
        <f t="shared" si="65"/>
        <v>2.8950105215561468E-2</v>
      </c>
      <c r="AQ608" s="2">
        <f t="shared" si="69"/>
        <v>5</v>
      </c>
      <c r="AR608">
        <f t="shared" si="66"/>
        <v>110</v>
      </c>
      <c r="AS608" t="str">
        <f t="shared" si="67"/>
        <v>High Claim Ratio</v>
      </c>
      <c r="AT608" t="str">
        <f t="shared" si="68"/>
        <v>High Profit</v>
      </c>
    </row>
    <row r="609" spans="1:46" x14ac:dyDescent="0.2">
      <c r="A609">
        <v>236</v>
      </c>
      <c r="B609">
        <v>39</v>
      </c>
      <c r="C609">
        <v>830878</v>
      </c>
      <c r="D609" s="1">
        <v>35372</v>
      </c>
      <c r="E609" t="s">
        <v>57</v>
      </c>
      <c r="F609" t="s">
        <v>40</v>
      </c>
      <c r="G609">
        <v>1000</v>
      </c>
      <c r="H609">
        <v>1151.3900000000001</v>
      </c>
      <c r="I609">
        <v>4000000</v>
      </c>
      <c r="J609">
        <v>604555</v>
      </c>
      <c r="K609" t="s">
        <v>70</v>
      </c>
      <c r="L609" t="s">
        <v>124</v>
      </c>
      <c r="M609" t="s">
        <v>125</v>
      </c>
      <c r="N609" t="s">
        <v>59</v>
      </c>
      <c r="O609" t="s">
        <v>119</v>
      </c>
      <c r="P609">
        <v>0</v>
      </c>
      <c r="Q609">
        <v>-63900</v>
      </c>
      <c r="R609" s="1">
        <v>42005</v>
      </c>
      <c r="S609" t="s">
        <v>138</v>
      </c>
      <c r="T609" t="s">
        <v>62</v>
      </c>
      <c r="U609" t="s">
        <v>63</v>
      </c>
      <c r="V609" t="s">
        <v>49</v>
      </c>
      <c r="W609" t="s">
        <v>77</v>
      </c>
      <c r="X609" t="s">
        <v>102</v>
      </c>
      <c r="Y609" t="s">
        <v>786</v>
      </c>
      <c r="Z609">
        <v>17</v>
      </c>
      <c r="AA609">
        <v>1</v>
      </c>
      <c r="AB609" t="s">
        <v>53</v>
      </c>
      <c r="AC609">
        <v>0</v>
      </c>
      <c r="AD609">
        <v>0</v>
      </c>
      <c r="AE609" t="s">
        <v>62</v>
      </c>
      <c r="AF609">
        <v>8700</v>
      </c>
      <c r="AG609">
        <v>870</v>
      </c>
      <c r="AH609">
        <v>1740</v>
      </c>
      <c r="AI609">
        <v>6090</v>
      </c>
      <c r="AJ609" t="s">
        <v>95</v>
      </c>
      <c r="AK609" t="s">
        <v>96</v>
      </c>
      <c r="AL609">
        <v>2003</v>
      </c>
      <c r="AM609" t="s">
        <v>82</v>
      </c>
      <c r="AN609" s="2">
        <f t="shared" si="63"/>
        <v>7.5495275037096814</v>
      </c>
      <c r="AO609">
        <f t="shared" si="64"/>
        <v>-7548.61</v>
      </c>
      <c r="AP609" s="2">
        <f t="shared" si="65"/>
        <v>0.13232846799218481</v>
      </c>
      <c r="AQ609" s="2">
        <f t="shared" si="69"/>
        <v>12</v>
      </c>
      <c r="AR609">
        <f t="shared" si="66"/>
        <v>236</v>
      </c>
      <c r="AS609" t="str">
        <f t="shared" si="67"/>
        <v>Medium Claim Ratio</v>
      </c>
      <c r="AT609" t="str">
        <f t="shared" si="68"/>
        <v>High Profit</v>
      </c>
    </row>
    <row r="610" spans="1:46" x14ac:dyDescent="0.2">
      <c r="A610">
        <v>267</v>
      </c>
      <c r="B610">
        <v>46</v>
      </c>
      <c r="C610">
        <v>270208</v>
      </c>
      <c r="D610" s="1">
        <v>38208</v>
      </c>
      <c r="E610" t="s">
        <v>39</v>
      </c>
      <c r="F610" t="s">
        <v>69</v>
      </c>
      <c r="G610">
        <v>2000</v>
      </c>
      <c r="H610">
        <v>1546.01</v>
      </c>
      <c r="I610">
        <v>0</v>
      </c>
      <c r="J610">
        <v>616276</v>
      </c>
      <c r="K610" t="s">
        <v>70</v>
      </c>
      <c r="L610" t="s">
        <v>42</v>
      </c>
      <c r="M610" t="s">
        <v>185</v>
      </c>
      <c r="N610" t="s">
        <v>173</v>
      </c>
      <c r="O610" t="s">
        <v>119</v>
      </c>
      <c r="P610">
        <v>0</v>
      </c>
      <c r="Q610">
        <v>0</v>
      </c>
      <c r="R610" s="1">
        <v>42010</v>
      </c>
      <c r="S610" t="s">
        <v>75</v>
      </c>
      <c r="T610" t="s">
        <v>86</v>
      </c>
      <c r="U610" t="s">
        <v>107</v>
      </c>
      <c r="V610" t="s">
        <v>49</v>
      </c>
      <c r="W610" t="s">
        <v>64</v>
      </c>
      <c r="X610" t="s">
        <v>65</v>
      </c>
      <c r="Y610" t="s">
        <v>787</v>
      </c>
      <c r="Z610">
        <v>4</v>
      </c>
      <c r="AA610">
        <v>4</v>
      </c>
      <c r="AB610" t="s">
        <v>79</v>
      </c>
      <c r="AC610">
        <v>2</v>
      </c>
      <c r="AD610">
        <v>1</v>
      </c>
      <c r="AE610" t="s">
        <v>62</v>
      </c>
      <c r="AF610">
        <v>77100</v>
      </c>
      <c r="AG610">
        <v>15420</v>
      </c>
      <c r="AH610">
        <v>7710</v>
      </c>
      <c r="AI610">
        <v>53970</v>
      </c>
      <c r="AJ610" t="s">
        <v>214</v>
      </c>
      <c r="AK610" t="s">
        <v>258</v>
      </c>
      <c r="AL610">
        <v>1996</v>
      </c>
      <c r="AM610" t="s">
        <v>82</v>
      </c>
      <c r="AN610" s="2">
        <f t="shared" si="63"/>
        <v>49.838074737719857</v>
      </c>
      <c r="AO610">
        <f t="shared" si="64"/>
        <v>-75553.990000000005</v>
      </c>
      <c r="AP610" s="2">
        <f t="shared" si="65"/>
        <v>2.0051750301552509E-2</v>
      </c>
      <c r="AQ610" s="2">
        <f t="shared" si="69"/>
        <v>19</v>
      </c>
      <c r="AR610">
        <f t="shared" si="66"/>
        <v>267</v>
      </c>
      <c r="AS610" t="str">
        <f t="shared" si="67"/>
        <v>High Claim Ratio</v>
      </c>
      <c r="AT610" t="str">
        <f t="shared" si="68"/>
        <v>High Profit</v>
      </c>
    </row>
    <row r="611" spans="1:46" x14ac:dyDescent="0.2">
      <c r="A611">
        <v>463</v>
      </c>
      <c r="B611">
        <v>57</v>
      </c>
      <c r="C611">
        <v>407958</v>
      </c>
      <c r="D611" s="1">
        <v>33439</v>
      </c>
      <c r="E611" t="s">
        <v>83</v>
      </c>
      <c r="F611" t="s">
        <v>40</v>
      </c>
      <c r="G611">
        <v>500</v>
      </c>
      <c r="H611">
        <v>1063.67</v>
      </c>
      <c r="I611">
        <v>0</v>
      </c>
      <c r="J611">
        <v>463356</v>
      </c>
      <c r="K611" t="s">
        <v>41</v>
      </c>
      <c r="L611" t="s">
        <v>124</v>
      </c>
      <c r="M611" t="s">
        <v>117</v>
      </c>
      <c r="N611" t="s">
        <v>126</v>
      </c>
      <c r="O611" t="s">
        <v>119</v>
      </c>
      <c r="P611">
        <v>0</v>
      </c>
      <c r="Q611">
        <v>0</v>
      </c>
      <c r="R611" s="1">
        <v>42038</v>
      </c>
      <c r="S611" t="s">
        <v>46</v>
      </c>
      <c r="T611" t="s">
        <v>86</v>
      </c>
      <c r="U611" t="s">
        <v>63</v>
      </c>
      <c r="V611" t="s">
        <v>49</v>
      </c>
      <c r="W611" t="s">
        <v>77</v>
      </c>
      <c r="X611" t="s">
        <v>102</v>
      </c>
      <c r="Y611" t="s">
        <v>788</v>
      </c>
      <c r="Z611">
        <v>14</v>
      </c>
      <c r="AA611">
        <v>1</v>
      </c>
      <c r="AB611" t="s">
        <v>79</v>
      </c>
      <c r="AC611">
        <v>2</v>
      </c>
      <c r="AD611">
        <v>0</v>
      </c>
      <c r="AE611" t="s">
        <v>53</v>
      </c>
      <c r="AF611">
        <v>59400</v>
      </c>
      <c r="AG611">
        <v>6600</v>
      </c>
      <c r="AH611">
        <v>6600</v>
      </c>
      <c r="AI611">
        <v>46200</v>
      </c>
      <c r="AJ611" t="s">
        <v>80</v>
      </c>
      <c r="AK611" t="s">
        <v>144</v>
      </c>
      <c r="AL611">
        <v>1995</v>
      </c>
      <c r="AM611" t="s">
        <v>82</v>
      </c>
      <c r="AN611" s="2">
        <f t="shared" si="63"/>
        <v>55.791935529318941</v>
      </c>
      <c r="AO611">
        <f t="shared" si="64"/>
        <v>-58336.33</v>
      </c>
      <c r="AP611" s="2">
        <f t="shared" si="65"/>
        <v>1.7906600898974764E-2</v>
      </c>
      <c r="AQ611" s="2">
        <f t="shared" si="69"/>
        <v>20</v>
      </c>
      <c r="AR611">
        <f t="shared" si="66"/>
        <v>463</v>
      </c>
      <c r="AS611" t="str">
        <f t="shared" si="67"/>
        <v>High Claim Ratio</v>
      </c>
      <c r="AT611" t="str">
        <f t="shared" si="68"/>
        <v>High Profit</v>
      </c>
    </row>
    <row r="612" spans="1:46" x14ac:dyDescent="0.2">
      <c r="A612">
        <v>303</v>
      </c>
      <c r="B612">
        <v>46</v>
      </c>
      <c r="C612">
        <v>832300</v>
      </c>
      <c r="D612" s="1">
        <v>38366</v>
      </c>
      <c r="E612" t="s">
        <v>57</v>
      </c>
      <c r="F612" t="s">
        <v>69</v>
      </c>
      <c r="G612">
        <v>1000</v>
      </c>
      <c r="H612">
        <v>709.14</v>
      </c>
      <c r="I612">
        <v>0</v>
      </c>
      <c r="J612">
        <v>450184</v>
      </c>
      <c r="K612" t="s">
        <v>41</v>
      </c>
      <c r="L612" t="s">
        <v>124</v>
      </c>
      <c r="M612" t="s">
        <v>58</v>
      </c>
      <c r="N612" t="s">
        <v>170</v>
      </c>
      <c r="O612" t="s">
        <v>45</v>
      </c>
      <c r="P612">
        <v>0</v>
      </c>
      <c r="Q612">
        <v>0</v>
      </c>
      <c r="R612" s="1">
        <v>42047</v>
      </c>
      <c r="S612" t="s">
        <v>75</v>
      </c>
      <c r="T612" t="s">
        <v>76</v>
      </c>
      <c r="U612" t="s">
        <v>63</v>
      </c>
      <c r="V612" t="s">
        <v>99</v>
      </c>
      <c r="W612" t="s">
        <v>77</v>
      </c>
      <c r="X612" t="s">
        <v>156</v>
      </c>
      <c r="Y612" t="s">
        <v>789</v>
      </c>
      <c r="Z612">
        <v>3</v>
      </c>
      <c r="AA612">
        <v>3</v>
      </c>
      <c r="AB612" t="s">
        <v>79</v>
      </c>
      <c r="AC612">
        <v>1</v>
      </c>
      <c r="AD612">
        <v>0</v>
      </c>
      <c r="AE612" t="s">
        <v>79</v>
      </c>
      <c r="AF612">
        <v>54890</v>
      </c>
      <c r="AG612">
        <v>9980</v>
      </c>
      <c r="AH612">
        <v>4990</v>
      </c>
      <c r="AI612">
        <v>39920</v>
      </c>
      <c r="AJ612" t="s">
        <v>115</v>
      </c>
      <c r="AK612" t="s">
        <v>183</v>
      </c>
      <c r="AL612">
        <v>2006</v>
      </c>
      <c r="AM612" t="s">
        <v>82</v>
      </c>
      <c r="AN612" s="2">
        <f t="shared" si="63"/>
        <v>77.294617962655252</v>
      </c>
      <c r="AO612">
        <f t="shared" si="64"/>
        <v>-54180.86</v>
      </c>
      <c r="AP612" s="2">
        <f t="shared" si="65"/>
        <v>1.2919057769033175E-2</v>
      </c>
      <c r="AQ612" s="2">
        <f t="shared" si="69"/>
        <v>9</v>
      </c>
      <c r="AR612">
        <f t="shared" si="66"/>
        <v>303</v>
      </c>
      <c r="AS612" t="str">
        <f t="shared" si="67"/>
        <v>High Claim Ratio</v>
      </c>
      <c r="AT612" t="str">
        <f t="shared" si="68"/>
        <v>High Profit</v>
      </c>
    </row>
    <row r="613" spans="1:46" x14ac:dyDescent="0.2">
      <c r="A613">
        <v>137</v>
      </c>
      <c r="B613">
        <v>30</v>
      </c>
      <c r="C613">
        <v>927205</v>
      </c>
      <c r="D613" s="1">
        <v>40893</v>
      </c>
      <c r="E613" t="s">
        <v>83</v>
      </c>
      <c r="F613" t="s">
        <v>40</v>
      </c>
      <c r="G613">
        <v>500</v>
      </c>
      <c r="H613">
        <v>1039.55</v>
      </c>
      <c r="I613">
        <v>0</v>
      </c>
      <c r="J613">
        <v>466393</v>
      </c>
      <c r="K613" t="s">
        <v>41</v>
      </c>
      <c r="L613" t="s">
        <v>42</v>
      </c>
      <c r="M613" t="s">
        <v>125</v>
      </c>
      <c r="N613" t="s">
        <v>170</v>
      </c>
      <c r="O613" t="s">
        <v>85</v>
      </c>
      <c r="P613">
        <v>55600</v>
      </c>
      <c r="Q613">
        <v>-59700</v>
      </c>
      <c r="R613" s="1">
        <v>42051</v>
      </c>
      <c r="S613" t="s">
        <v>75</v>
      </c>
      <c r="T613" t="s">
        <v>86</v>
      </c>
      <c r="U613" t="s">
        <v>63</v>
      </c>
      <c r="V613" t="s">
        <v>120</v>
      </c>
      <c r="W613" t="s">
        <v>113</v>
      </c>
      <c r="X613" t="s">
        <v>51</v>
      </c>
      <c r="Y613" t="s">
        <v>790</v>
      </c>
      <c r="Z613">
        <v>4</v>
      </c>
      <c r="AA613">
        <v>3</v>
      </c>
      <c r="AB613" t="s">
        <v>62</v>
      </c>
      <c r="AC613">
        <v>2</v>
      </c>
      <c r="AD613">
        <v>1</v>
      </c>
      <c r="AE613" t="s">
        <v>62</v>
      </c>
      <c r="AF613">
        <v>74030</v>
      </c>
      <c r="AG613">
        <v>6730</v>
      </c>
      <c r="AH613">
        <v>13460</v>
      </c>
      <c r="AI613">
        <v>53840</v>
      </c>
      <c r="AJ613" t="s">
        <v>89</v>
      </c>
      <c r="AK613" t="s">
        <v>90</v>
      </c>
      <c r="AL613">
        <v>2005</v>
      </c>
      <c r="AM613" t="s">
        <v>82</v>
      </c>
      <c r="AN613" s="2">
        <f t="shared" si="63"/>
        <v>71.145067512373274</v>
      </c>
      <c r="AO613">
        <f t="shared" si="64"/>
        <v>-72990.45</v>
      </c>
      <c r="AP613" s="2">
        <f t="shared" si="65"/>
        <v>1.4042090475611568E-2</v>
      </c>
      <c r="AQ613" s="2">
        <f t="shared" si="69"/>
        <v>10</v>
      </c>
      <c r="AR613">
        <f t="shared" si="66"/>
        <v>137</v>
      </c>
      <c r="AS613" t="str">
        <f t="shared" si="67"/>
        <v>High Claim Ratio</v>
      </c>
      <c r="AT613" t="str">
        <f t="shared" si="68"/>
        <v>High Profit</v>
      </c>
    </row>
    <row r="614" spans="1:46" x14ac:dyDescent="0.2">
      <c r="A614">
        <v>56</v>
      </c>
      <c r="B614">
        <v>42</v>
      </c>
      <c r="C614">
        <v>655356</v>
      </c>
      <c r="D614" s="1">
        <v>35253</v>
      </c>
      <c r="E614" t="s">
        <v>83</v>
      </c>
      <c r="F614" t="s">
        <v>40</v>
      </c>
      <c r="G614">
        <v>500</v>
      </c>
      <c r="H614">
        <v>1339.39</v>
      </c>
      <c r="I614">
        <v>0</v>
      </c>
      <c r="J614">
        <v>471786</v>
      </c>
      <c r="K614" t="s">
        <v>70</v>
      </c>
      <c r="L614" t="s">
        <v>92</v>
      </c>
      <c r="M614" t="s">
        <v>185</v>
      </c>
      <c r="N614" t="s">
        <v>168</v>
      </c>
      <c r="O614" t="s">
        <v>142</v>
      </c>
      <c r="P614">
        <v>0</v>
      </c>
      <c r="Q614">
        <v>0</v>
      </c>
      <c r="R614" s="1">
        <v>42060</v>
      </c>
      <c r="S614" t="s">
        <v>46</v>
      </c>
      <c r="T614" t="s">
        <v>76</v>
      </c>
      <c r="U614" t="s">
        <v>107</v>
      </c>
      <c r="V614" t="s">
        <v>120</v>
      </c>
      <c r="W614" t="s">
        <v>77</v>
      </c>
      <c r="X614" t="s">
        <v>51</v>
      </c>
      <c r="Y614" t="s">
        <v>791</v>
      </c>
      <c r="Z614">
        <v>13</v>
      </c>
      <c r="AA614">
        <v>1</v>
      </c>
      <c r="AB614" t="s">
        <v>62</v>
      </c>
      <c r="AC614">
        <v>1</v>
      </c>
      <c r="AD614">
        <v>2</v>
      </c>
      <c r="AE614" t="s">
        <v>53</v>
      </c>
      <c r="AF614">
        <v>61490</v>
      </c>
      <c r="AG614">
        <v>11180</v>
      </c>
      <c r="AH614">
        <v>11180</v>
      </c>
      <c r="AI614">
        <v>39130</v>
      </c>
      <c r="AJ614" t="s">
        <v>187</v>
      </c>
      <c r="AK614" t="s">
        <v>203</v>
      </c>
      <c r="AL614">
        <v>1998</v>
      </c>
      <c r="AM614" t="s">
        <v>82</v>
      </c>
      <c r="AN614" s="2">
        <f t="shared" si="63"/>
        <v>45.874708107341888</v>
      </c>
      <c r="AO614">
        <f t="shared" si="64"/>
        <v>-60150.61</v>
      </c>
      <c r="AP614" s="2">
        <f t="shared" si="65"/>
        <v>2.1781886780179213E-2</v>
      </c>
      <c r="AQ614" s="2">
        <f t="shared" si="69"/>
        <v>17</v>
      </c>
      <c r="AR614">
        <f t="shared" si="66"/>
        <v>56</v>
      </c>
      <c r="AS614" t="str">
        <f t="shared" si="67"/>
        <v>High Claim Ratio</v>
      </c>
      <c r="AT614" t="str">
        <f t="shared" si="68"/>
        <v>High Profit</v>
      </c>
    </row>
    <row r="615" spans="1:46" x14ac:dyDescent="0.2">
      <c r="A615">
        <v>75</v>
      </c>
      <c r="B615">
        <v>27</v>
      </c>
      <c r="C615">
        <v>831053</v>
      </c>
      <c r="D615" s="1">
        <v>33821</v>
      </c>
      <c r="E615" t="s">
        <v>57</v>
      </c>
      <c r="F615" t="s">
        <v>40</v>
      </c>
      <c r="G615">
        <v>1000</v>
      </c>
      <c r="H615">
        <v>1202.75</v>
      </c>
      <c r="I615">
        <v>0</v>
      </c>
      <c r="J615">
        <v>602289</v>
      </c>
      <c r="K615" t="s">
        <v>41</v>
      </c>
      <c r="L615" t="s">
        <v>131</v>
      </c>
      <c r="M615" t="s">
        <v>159</v>
      </c>
      <c r="N615" t="s">
        <v>73</v>
      </c>
      <c r="O615" t="s">
        <v>142</v>
      </c>
      <c r="P615">
        <v>57900</v>
      </c>
      <c r="Q615">
        <v>-90100</v>
      </c>
      <c r="R615" s="1">
        <v>42025</v>
      </c>
      <c r="S615" t="s">
        <v>75</v>
      </c>
      <c r="T615" t="s">
        <v>86</v>
      </c>
      <c r="U615" t="s">
        <v>63</v>
      </c>
      <c r="V615" t="s">
        <v>49</v>
      </c>
      <c r="W615" t="s">
        <v>50</v>
      </c>
      <c r="X615" t="s">
        <v>156</v>
      </c>
      <c r="Y615" t="s">
        <v>792</v>
      </c>
      <c r="Z615">
        <v>23</v>
      </c>
      <c r="AA615">
        <v>3</v>
      </c>
      <c r="AB615" t="s">
        <v>79</v>
      </c>
      <c r="AC615">
        <v>0</v>
      </c>
      <c r="AD615">
        <v>2</v>
      </c>
      <c r="AE615" t="s">
        <v>53</v>
      </c>
      <c r="AF615">
        <v>79560</v>
      </c>
      <c r="AG615">
        <v>6630</v>
      </c>
      <c r="AH615">
        <v>13260</v>
      </c>
      <c r="AI615">
        <v>59670</v>
      </c>
      <c r="AJ615" t="s">
        <v>214</v>
      </c>
      <c r="AK615" t="s">
        <v>215</v>
      </c>
      <c r="AL615">
        <v>2003</v>
      </c>
      <c r="AM615" t="s">
        <v>82</v>
      </c>
      <c r="AN615" s="2">
        <f t="shared" si="63"/>
        <v>66.09345794392523</v>
      </c>
      <c r="AO615">
        <f t="shared" si="64"/>
        <v>-78357.25</v>
      </c>
      <c r="AP615" s="2">
        <f t="shared" si="65"/>
        <v>1.5117331355815035E-2</v>
      </c>
      <c r="AQ615" s="2">
        <f t="shared" si="69"/>
        <v>12</v>
      </c>
      <c r="AR615">
        <f t="shared" si="66"/>
        <v>75</v>
      </c>
      <c r="AS615" t="str">
        <f t="shared" si="67"/>
        <v>High Claim Ratio</v>
      </c>
      <c r="AT615" t="str">
        <f t="shared" si="68"/>
        <v>High Profit</v>
      </c>
    </row>
    <row r="616" spans="1:46" x14ac:dyDescent="0.2">
      <c r="A616">
        <v>131</v>
      </c>
      <c r="B616">
        <v>33</v>
      </c>
      <c r="C616">
        <v>432740</v>
      </c>
      <c r="D616" s="1">
        <v>33155</v>
      </c>
      <c r="E616" t="s">
        <v>83</v>
      </c>
      <c r="F616" t="s">
        <v>69</v>
      </c>
      <c r="G616">
        <v>2000</v>
      </c>
      <c r="H616">
        <v>1081.17</v>
      </c>
      <c r="I616">
        <v>0</v>
      </c>
      <c r="J616">
        <v>445120</v>
      </c>
      <c r="K616" t="s">
        <v>41</v>
      </c>
      <c r="L616" t="s">
        <v>42</v>
      </c>
      <c r="M616" t="s">
        <v>72</v>
      </c>
      <c r="N616" t="s">
        <v>155</v>
      </c>
      <c r="O616" t="s">
        <v>119</v>
      </c>
      <c r="P616">
        <v>0</v>
      </c>
      <c r="Q616">
        <v>-65200</v>
      </c>
      <c r="R616" s="1">
        <v>42032</v>
      </c>
      <c r="S616" t="s">
        <v>138</v>
      </c>
      <c r="T616" t="s">
        <v>62</v>
      </c>
      <c r="U616" t="s">
        <v>63</v>
      </c>
      <c r="V616" t="s">
        <v>49</v>
      </c>
      <c r="W616" t="s">
        <v>77</v>
      </c>
      <c r="X616" t="s">
        <v>127</v>
      </c>
      <c r="Y616" t="s">
        <v>793</v>
      </c>
      <c r="Z616">
        <v>3</v>
      </c>
      <c r="AA616">
        <v>1</v>
      </c>
      <c r="AB616" t="s">
        <v>62</v>
      </c>
      <c r="AC616">
        <v>0</v>
      </c>
      <c r="AD616">
        <v>1</v>
      </c>
      <c r="AE616" t="s">
        <v>79</v>
      </c>
      <c r="AF616">
        <v>4900</v>
      </c>
      <c r="AG616">
        <v>490</v>
      </c>
      <c r="AH616">
        <v>490</v>
      </c>
      <c r="AI616">
        <v>3920</v>
      </c>
      <c r="AJ616" t="s">
        <v>115</v>
      </c>
      <c r="AK616" t="s">
        <v>116</v>
      </c>
      <c r="AL616">
        <v>2010</v>
      </c>
      <c r="AM616" t="s">
        <v>82</v>
      </c>
      <c r="AN616" s="2">
        <f t="shared" si="63"/>
        <v>4.527939233207352</v>
      </c>
      <c r="AO616">
        <f t="shared" si="64"/>
        <v>-3818.83</v>
      </c>
      <c r="AP616" s="2">
        <f t="shared" si="65"/>
        <v>0.2206019179759233</v>
      </c>
      <c r="AQ616" s="2">
        <f t="shared" si="69"/>
        <v>5</v>
      </c>
      <c r="AR616">
        <f t="shared" si="66"/>
        <v>131</v>
      </c>
      <c r="AS616" t="str">
        <f t="shared" si="67"/>
        <v>Low Claim Ratio</v>
      </c>
      <c r="AT616" t="str">
        <f t="shared" si="68"/>
        <v>Low Profit</v>
      </c>
    </row>
    <row r="617" spans="1:46" x14ac:dyDescent="0.2">
      <c r="A617">
        <v>153</v>
      </c>
      <c r="B617">
        <v>34</v>
      </c>
      <c r="C617">
        <v>893853</v>
      </c>
      <c r="D617" s="1">
        <v>34392</v>
      </c>
      <c r="E617" t="s">
        <v>83</v>
      </c>
      <c r="F617" t="s">
        <v>40</v>
      </c>
      <c r="G617">
        <v>500</v>
      </c>
      <c r="H617">
        <v>991.39</v>
      </c>
      <c r="I617">
        <v>0</v>
      </c>
      <c r="J617">
        <v>449260</v>
      </c>
      <c r="K617" t="s">
        <v>41</v>
      </c>
      <c r="L617" t="s">
        <v>131</v>
      </c>
      <c r="M617" t="s">
        <v>97</v>
      </c>
      <c r="N617" t="s">
        <v>165</v>
      </c>
      <c r="O617" t="s">
        <v>60</v>
      </c>
      <c r="P617">
        <v>45600</v>
      </c>
      <c r="Q617">
        <v>-61400</v>
      </c>
      <c r="R617" s="1">
        <v>42062</v>
      </c>
      <c r="S617" t="s">
        <v>75</v>
      </c>
      <c r="T617" t="s">
        <v>47</v>
      </c>
      <c r="U617" t="s">
        <v>107</v>
      </c>
      <c r="V617" t="s">
        <v>120</v>
      </c>
      <c r="W617" t="s">
        <v>113</v>
      </c>
      <c r="X617" t="s">
        <v>102</v>
      </c>
      <c r="Y617" t="s">
        <v>794</v>
      </c>
      <c r="Z617">
        <v>0</v>
      </c>
      <c r="AA617">
        <v>3</v>
      </c>
      <c r="AB617" t="s">
        <v>62</v>
      </c>
      <c r="AC617">
        <v>1</v>
      </c>
      <c r="AD617">
        <v>0</v>
      </c>
      <c r="AE617" t="s">
        <v>79</v>
      </c>
      <c r="AF617">
        <v>77770</v>
      </c>
      <c r="AG617">
        <v>14140</v>
      </c>
      <c r="AH617">
        <v>14140</v>
      </c>
      <c r="AI617">
        <v>49490</v>
      </c>
      <c r="AJ617" t="s">
        <v>104</v>
      </c>
      <c r="AK617" t="s">
        <v>105</v>
      </c>
      <c r="AL617">
        <v>2000</v>
      </c>
      <c r="AM617" t="s">
        <v>82</v>
      </c>
      <c r="AN617" s="2">
        <f t="shared" si="63"/>
        <v>78.366368060943785</v>
      </c>
      <c r="AO617">
        <f t="shared" si="64"/>
        <v>-76778.61</v>
      </c>
      <c r="AP617" s="2">
        <f t="shared" si="65"/>
        <v>1.2747553715395198E-2</v>
      </c>
      <c r="AQ617" s="2">
        <f t="shared" si="69"/>
        <v>15</v>
      </c>
      <c r="AR617">
        <f t="shared" si="66"/>
        <v>153</v>
      </c>
      <c r="AS617" t="str">
        <f t="shared" si="67"/>
        <v>High Claim Ratio</v>
      </c>
      <c r="AT617" t="str">
        <f t="shared" si="68"/>
        <v>High Profit</v>
      </c>
    </row>
    <row r="618" spans="1:46" x14ac:dyDescent="0.2">
      <c r="A618">
        <v>255</v>
      </c>
      <c r="B618">
        <v>43</v>
      </c>
      <c r="C618">
        <v>594988</v>
      </c>
      <c r="D618" s="1">
        <v>39208</v>
      </c>
      <c r="E618" t="s">
        <v>57</v>
      </c>
      <c r="F618" t="s">
        <v>91</v>
      </c>
      <c r="G618">
        <v>500</v>
      </c>
      <c r="H618">
        <v>984.02</v>
      </c>
      <c r="I618">
        <v>0</v>
      </c>
      <c r="J618">
        <v>472724</v>
      </c>
      <c r="K618" t="s">
        <v>70</v>
      </c>
      <c r="L618" t="s">
        <v>161</v>
      </c>
      <c r="M618" t="s">
        <v>145</v>
      </c>
      <c r="N618" t="s">
        <v>73</v>
      </c>
      <c r="O618" t="s">
        <v>85</v>
      </c>
      <c r="P618">
        <v>75800</v>
      </c>
      <c r="Q618">
        <v>0</v>
      </c>
      <c r="R618" s="1">
        <v>42045</v>
      </c>
      <c r="S618" t="s">
        <v>75</v>
      </c>
      <c r="T618" t="s">
        <v>47</v>
      </c>
      <c r="U618" t="s">
        <v>48</v>
      </c>
      <c r="V618" t="s">
        <v>99</v>
      </c>
      <c r="W618" t="s">
        <v>50</v>
      </c>
      <c r="X618" t="s">
        <v>51</v>
      </c>
      <c r="Y618" t="s">
        <v>795</v>
      </c>
      <c r="Z618">
        <v>14</v>
      </c>
      <c r="AA618">
        <v>2</v>
      </c>
      <c r="AB618" t="s">
        <v>62</v>
      </c>
      <c r="AC618">
        <v>2</v>
      </c>
      <c r="AD618">
        <v>2</v>
      </c>
      <c r="AE618" t="s">
        <v>62</v>
      </c>
      <c r="AF618">
        <v>74700</v>
      </c>
      <c r="AG618">
        <v>7470</v>
      </c>
      <c r="AH618">
        <v>14940</v>
      </c>
      <c r="AI618">
        <v>52290</v>
      </c>
      <c r="AJ618" t="s">
        <v>104</v>
      </c>
      <c r="AK618" t="s">
        <v>151</v>
      </c>
      <c r="AL618">
        <v>2007</v>
      </c>
      <c r="AM618" t="s">
        <v>56</v>
      </c>
      <c r="AN618" s="2">
        <f t="shared" si="63"/>
        <v>75.836023634037886</v>
      </c>
      <c r="AO618">
        <f t="shared" si="64"/>
        <v>-73715.98</v>
      </c>
      <c r="AP618" s="2">
        <f t="shared" si="65"/>
        <v>1.3172782158204039E-2</v>
      </c>
      <c r="AQ618" s="2">
        <f t="shared" si="69"/>
        <v>8</v>
      </c>
      <c r="AR618">
        <f t="shared" si="66"/>
        <v>255</v>
      </c>
      <c r="AS618" t="str">
        <f t="shared" si="67"/>
        <v>High Claim Ratio</v>
      </c>
      <c r="AT618" t="str">
        <f t="shared" si="68"/>
        <v>High Profit</v>
      </c>
    </row>
    <row r="619" spans="1:46" x14ac:dyDescent="0.2">
      <c r="A619">
        <v>103</v>
      </c>
      <c r="B619">
        <v>26</v>
      </c>
      <c r="C619">
        <v>979544</v>
      </c>
      <c r="D619" s="1">
        <v>41750</v>
      </c>
      <c r="E619" t="s">
        <v>83</v>
      </c>
      <c r="F619" t="s">
        <v>69</v>
      </c>
      <c r="G619">
        <v>500</v>
      </c>
      <c r="H619">
        <v>1354.83</v>
      </c>
      <c r="I619">
        <v>0</v>
      </c>
      <c r="J619">
        <v>475173</v>
      </c>
      <c r="K619" t="s">
        <v>41</v>
      </c>
      <c r="L619" t="s">
        <v>42</v>
      </c>
      <c r="M619" t="s">
        <v>97</v>
      </c>
      <c r="N619" t="s">
        <v>44</v>
      </c>
      <c r="O619" t="s">
        <v>45</v>
      </c>
      <c r="P619">
        <v>66300</v>
      </c>
      <c r="Q619">
        <v>0</v>
      </c>
      <c r="R619" s="1">
        <v>42022</v>
      </c>
      <c r="S619" t="s">
        <v>75</v>
      </c>
      <c r="T619" t="s">
        <v>86</v>
      </c>
      <c r="U619" t="s">
        <v>63</v>
      </c>
      <c r="V619" t="s">
        <v>49</v>
      </c>
      <c r="W619" t="s">
        <v>77</v>
      </c>
      <c r="X619" t="s">
        <v>87</v>
      </c>
      <c r="Y619" t="s">
        <v>796</v>
      </c>
      <c r="Z619">
        <v>14</v>
      </c>
      <c r="AA619">
        <v>2</v>
      </c>
      <c r="AB619" t="s">
        <v>79</v>
      </c>
      <c r="AC619">
        <v>2</v>
      </c>
      <c r="AD619">
        <v>2</v>
      </c>
      <c r="AE619" t="s">
        <v>62</v>
      </c>
      <c r="AF619">
        <v>40600</v>
      </c>
      <c r="AG619">
        <v>4060</v>
      </c>
      <c r="AH619">
        <v>4060</v>
      </c>
      <c r="AI619">
        <v>32480</v>
      </c>
      <c r="AJ619" t="s">
        <v>214</v>
      </c>
      <c r="AK619" t="s">
        <v>215</v>
      </c>
      <c r="AL619">
        <v>2010</v>
      </c>
      <c r="AM619" t="s">
        <v>82</v>
      </c>
      <c r="AN619" s="2">
        <f t="shared" si="63"/>
        <v>29.944757086065362</v>
      </c>
      <c r="AO619">
        <f t="shared" si="64"/>
        <v>-39245.17</v>
      </c>
      <c r="AP619" s="2">
        <f t="shared" si="65"/>
        <v>3.3369375138543385E-2</v>
      </c>
      <c r="AQ619" s="2">
        <f t="shared" si="69"/>
        <v>5</v>
      </c>
      <c r="AR619">
        <f t="shared" si="66"/>
        <v>103</v>
      </c>
      <c r="AS619" t="str">
        <f t="shared" si="67"/>
        <v>High Claim Ratio</v>
      </c>
      <c r="AT619" t="str">
        <f t="shared" si="68"/>
        <v>High Profit</v>
      </c>
    </row>
    <row r="620" spans="1:46" x14ac:dyDescent="0.2">
      <c r="A620">
        <v>97</v>
      </c>
      <c r="B620">
        <v>28</v>
      </c>
      <c r="C620">
        <v>191891</v>
      </c>
      <c r="D620" s="1">
        <v>40220</v>
      </c>
      <c r="E620" t="s">
        <v>39</v>
      </c>
      <c r="F620" t="s">
        <v>69</v>
      </c>
      <c r="G620">
        <v>1000</v>
      </c>
      <c r="H620">
        <v>830.31</v>
      </c>
      <c r="I620">
        <v>0</v>
      </c>
      <c r="J620">
        <v>443854</v>
      </c>
      <c r="K620" t="s">
        <v>41</v>
      </c>
      <c r="L620" t="s">
        <v>161</v>
      </c>
      <c r="M620" t="s">
        <v>189</v>
      </c>
      <c r="N620" t="s">
        <v>181</v>
      </c>
      <c r="O620" t="s">
        <v>45</v>
      </c>
      <c r="P620">
        <v>0</v>
      </c>
      <c r="Q620">
        <v>-32600</v>
      </c>
      <c r="R620" s="1">
        <v>42017</v>
      </c>
      <c r="S620" t="s">
        <v>46</v>
      </c>
      <c r="T620" t="s">
        <v>76</v>
      </c>
      <c r="U620" t="s">
        <v>107</v>
      </c>
      <c r="V620" t="s">
        <v>136</v>
      </c>
      <c r="W620" t="s">
        <v>50</v>
      </c>
      <c r="X620" t="s">
        <v>102</v>
      </c>
      <c r="Y620" t="s">
        <v>797</v>
      </c>
      <c r="Z620">
        <v>22</v>
      </c>
      <c r="AA620">
        <v>1</v>
      </c>
      <c r="AB620" t="s">
        <v>62</v>
      </c>
      <c r="AC620">
        <v>1</v>
      </c>
      <c r="AD620">
        <v>0</v>
      </c>
      <c r="AE620" t="s">
        <v>62</v>
      </c>
      <c r="AF620">
        <v>45270</v>
      </c>
      <c r="AG620">
        <v>10060</v>
      </c>
      <c r="AH620">
        <v>10060</v>
      </c>
      <c r="AI620">
        <v>25150</v>
      </c>
      <c r="AJ620" t="s">
        <v>197</v>
      </c>
      <c r="AK620" t="s">
        <v>198</v>
      </c>
      <c r="AL620">
        <v>2006</v>
      </c>
      <c r="AM620" t="s">
        <v>82</v>
      </c>
      <c r="AN620" s="2">
        <f t="shared" si="63"/>
        <v>54.456219701435089</v>
      </c>
      <c r="AO620">
        <f t="shared" si="64"/>
        <v>-44439.69</v>
      </c>
      <c r="AP620" s="2">
        <f t="shared" si="65"/>
        <v>1.8340880475359502E-2</v>
      </c>
      <c r="AQ620" s="2">
        <f t="shared" si="69"/>
        <v>9</v>
      </c>
      <c r="AR620">
        <f t="shared" si="66"/>
        <v>97</v>
      </c>
      <c r="AS620" t="str">
        <f t="shared" si="67"/>
        <v>High Claim Ratio</v>
      </c>
      <c r="AT620" t="str">
        <f t="shared" si="68"/>
        <v>High Profit</v>
      </c>
    </row>
    <row r="621" spans="1:46" x14ac:dyDescent="0.2">
      <c r="A621">
        <v>214</v>
      </c>
      <c r="B621">
        <v>36</v>
      </c>
      <c r="C621">
        <v>831479</v>
      </c>
      <c r="D621" s="1">
        <v>36681</v>
      </c>
      <c r="E621" t="s">
        <v>83</v>
      </c>
      <c r="F621" t="s">
        <v>69</v>
      </c>
      <c r="G621">
        <v>2000</v>
      </c>
      <c r="H621">
        <v>987.42</v>
      </c>
      <c r="I621">
        <v>7000000</v>
      </c>
      <c r="J621">
        <v>461418</v>
      </c>
      <c r="K621" t="s">
        <v>70</v>
      </c>
      <c r="L621" t="s">
        <v>92</v>
      </c>
      <c r="M621" t="s">
        <v>58</v>
      </c>
      <c r="N621" t="s">
        <v>170</v>
      </c>
      <c r="O621" t="s">
        <v>74</v>
      </c>
      <c r="P621">
        <v>0</v>
      </c>
      <c r="Q621">
        <v>0</v>
      </c>
      <c r="R621" s="1">
        <v>42035</v>
      </c>
      <c r="S621" t="s">
        <v>75</v>
      </c>
      <c r="T621" t="s">
        <v>86</v>
      </c>
      <c r="U621" t="s">
        <v>63</v>
      </c>
      <c r="V621" t="s">
        <v>136</v>
      </c>
      <c r="W621" t="s">
        <v>77</v>
      </c>
      <c r="X621" t="s">
        <v>102</v>
      </c>
      <c r="Y621" t="s">
        <v>798</v>
      </c>
      <c r="Z621">
        <v>17</v>
      </c>
      <c r="AA621">
        <v>3</v>
      </c>
      <c r="AB621" t="s">
        <v>79</v>
      </c>
      <c r="AC621">
        <v>0</v>
      </c>
      <c r="AD621">
        <v>3</v>
      </c>
      <c r="AE621" t="s">
        <v>62</v>
      </c>
      <c r="AF621">
        <v>47080</v>
      </c>
      <c r="AG621">
        <v>4280</v>
      </c>
      <c r="AH621">
        <v>8560</v>
      </c>
      <c r="AI621">
        <v>34240</v>
      </c>
      <c r="AJ621" t="s">
        <v>54</v>
      </c>
      <c r="AK621">
        <v>93</v>
      </c>
      <c r="AL621">
        <v>2006</v>
      </c>
      <c r="AM621" t="s">
        <v>82</v>
      </c>
      <c r="AN621" s="2">
        <f t="shared" si="63"/>
        <v>47.631573622549119</v>
      </c>
      <c r="AO621">
        <f t="shared" si="64"/>
        <v>-46092.58</v>
      </c>
      <c r="AP621" s="2">
        <f t="shared" si="65"/>
        <v>2.0972791571971707E-2</v>
      </c>
      <c r="AQ621" s="2">
        <f t="shared" si="69"/>
        <v>9</v>
      </c>
      <c r="AR621">
        <f t="shared" si="66"/>
        <v>214</v>
      </c>
      <c r="AS621" t="str">
        <f t="shared" si="67"/>
        <v>High Claim Ratio</v>
      </c>
      <c r="AT621" t="str">
        <f t="shared" si="68"/>
        <v>High Profit</v>
      </c>
    </row>
    <row r="622" spans="1:46" x14ac:dyDescent="0.2">
      <c r="A622">
        <v>438</v>
      </c>
      <c r="B622">
        <v>57</v>
      </c>
      <c r="C622">
        <v>714346</v>
      </c>
      <c r="D622" s="1">
        <v>33516</v>
      </c>
      <c r="E622" t="s">
        <v>39</v>
      </c>
      <c r="F622" t="s">
        <v>91</v>
      </c>
      <c r="G622">
        <v>500</v>
      </c>
      <c r="H622">
        <v>1119.29</v>
      </c>
      <c r="I622">
        <v>0</v>
      </c>
      <c r="J622">
        <v>616164</v>
      </c>
      <c r="K622" t="s">
        <v>70</v>
      </c>
      <c r="L622" t="s">
        <v>42</v>
      </c>
      <c r="M622" t="s">
        <v>58</v>
      </c>
      <c r="N622" t="s">
        <v>168</v>
      </c>
      <c r="O622" t="s">
        <v>45</v>
      </c>
      <c r="P622">
        <v>0</v>
      </c>
      <c r="Q622">
        <v>0</v>
      </c>
      <c r="R622" s="1">
        <v>42019</v>
      </c>
      <c r="S622" t="s">
        <v>46</v>
      </c>
      <c r="T622" t="s">
        <v>47</v>
      </c>
      <c r="U622" t="s">
        <v>63</v>
      </c>
      <c r="V622" t="s">
        <v>49</v>
      </c>
      <c r="W622" t="s">
        <v>50</v>
      </c>
      <c r="X622" t="s">
        <v>122</v>
      </c>
      <c r="Y622" t="s">
        <v>799</v>
      </c>
      <c r="Z622">
        <v>14</v>
      </c>
      <c r="AA622">
        <v>1</v>
      </c>
      <c r="AB622" t="s">
        <v>62</v>
      </c>
      <c r="AC622">
        <v>0</v>
      </c>
      <c r="AD622">
        <v>0</v>
      </c>
      <c r="AE622" t="s">
        <v>79</v>
      </c>
      <c r="AF622">
        <v>40700</v>
      </c>
      <c r="AG622">
        <v>4070</v>
      </c>
      <c r="AH622">
        <v>4070</v>
      </c>
      <c r="AI622">
        <v>32560</v>
      </c>
      <c r="AJ622" t="s">
        <v>214</v>
      </c>
      <c r="AK622" t="s">
        <v>215</v>
      </c>
      <c r="AL622">
        <v>2000</v>
      </c>
      <c r="AM622" t="s">
        <v>56</v>
      </c>
      <c r="AN622" s="2">
        <f t="shared" si="63"/>
        <v>36.329878870649566</v>
      </c>
      <c r="AO622">
        <f t="shared" si="64"/>
        <v>-39580.71</v>
      </c>
      <c r="AP622" s="2">
        <f t="shared" si="65"/>
        <v>2.7500307117761233E-2</v>
      </c>
      <c r="AQ622" s="2">
        <f t="shared" si="69"/>
        <v>15</v>
      </c>
      <c r="AR622">
        <f t="shared" si="66"/>
        <v>438</v>
      </c>
      <c r="AS622" t="str">
        <f t="shared" si="67"/>
        <v>High Claim Ratio</v>
      </c>
      <c r="AT622" t="str">
        <f t="shared" si="68"/>
        <v>High Profit</v>
      </c>
    </row>
    <row r="623" spans="1:46" x14ac:dyDescent="0.2">
      <c r="A623">
        <v>87</v>
      </c>
      <c r="B623">
        <v>27</v>
      </c>
      <c r="C623">
        <v>326289</v>
      </c>
      <c r="D623" s="1">
        <v>37989</v>
      </c>
      <c r="E623" t="s">
        <v>39</v>
      </c>
      <c r="F623" t="s">
        <v>69</v>
      </c>
      <c r="G623">
        <v>500</v>
      </c>
      <c r="H623">
        <v>1048.3900000000001</v>
      </c>
      <c r="I623">
        <v>0</v>
      </c>
      <c r="J623">
        <v>620962</v>
      </c>
      <c r="K623" t="s">
        <v>70</v>
      </c>
      <c r="L623" t="s">
        <v>124</v>
      </c>
      <c r="M623" t="s">
        <v>145</v>
      </c>
      <c r="N623" t="s">
        <v>173</v>
      </c>
      <c r="O623" t="s">
        <v>74</v>
      </c>
      <c r="P623">
        <v>0</v>
      </c>
      <c r="Q623">
        <v>0</v>
      </c>
      <c r="R623" s="1">
        <v>42048</v>
      </c>
      <c r="S623" t="s">
        <v>46</v>
      </c>
      <c r="T623" t="s">
        <v>47</v>
      </c>
      <c r="U623" t="s">
        <v>63</v>
      </c>
      <c r="V623" t="s">
        <v>49</v>
      </c>
      <c r="W623" t="s">
        <v>77</v>
      </c>
      <c r="X623" t="s">
        <v>65</v>
      </c>
      <c r="Y623" t="s">
        <v>800</v>
      </c>
      <c r="Z623">
        <v>2</v>
      </c>
      <c r="AA623">
        <v>1</v>
      </c>
      <c r="AB623" t="s">
        <v>62</v>
      </c>
      <c r="AC623">
        <v>2</v>
      </c>
      <c r="AD623">
        <v>1</v>
      </c>
      <c r="AE623" t="s">
        <v>53</v>
      </c>
      <c r="AF623">
        <v>34650</v>
      </c>
      <c r="AG623">
        <v>6300</v>
      </c>
      <c r="AH623">
        <v>3150</v>
      </c>
      <c r="AI623">
        <v>25200</v>
      </c>
      <c r="AJ623" t="s">
        <v>129</v>
      </c>
      <c r="AK623" t="s">
        <v>130</v>
      </c>
      <c r="AL623">
        <v>1996</v>
      </c>
      <c r="AM623" t="s">
        <v>82</v>
      </c>
      <c r="AN623" s="2">
        <f t="shared" si="63"/>
        <v>33.019182572732724</v>
      </c>
      <c r="AO623">
        <f t="shared" si="64"/>
        <v>-33601.61</v>
      </c>
      <c r="AP623" s="2">
        <f t="shared" si="65"/>
        <v>3.0255692476407609E-2</v>
      </c>
      <c r="AQ623" s="2">
        <f t="shared" si="69"/>
        <v>19</v>
      </c>
      <c r="AR623">
        <f t="shared" si="66"/>
        <v>87</v>
      </c>
      <c r="AS623" t="str">
        <f t="shared" si="67"/>
        <v>High Claim Ratio</v>
      </c>
      <c r="AT623" t="str">
        <f t="shared" si="68"/>
        <v>High Profit</v>
      </c>
    </row>
    <row r="624" spans="1:46" x14ac:dyDescent="0.2">
      <c r="A624">
        <v>27</v>
      </c>
      <c r="B624">
        <v>28</v>
      </c>
      <c r="C624">
        <v>944537</v>
      </c>
      <c r="D624" s="1">
        <v>33808</v>
      </c>
      <c r="E624" t="s">
        <v>39</v>
      </c>
      <c r="F624" t="s">
        <v>91</v>
      </c>
      <c r="G624">
        <v>1000</v>
      </c>
      <c r="H624">
        <v>1074.47</v>
      </c>
      <c r="I624">
        <v>0</v>
      </c>
      <c r="J624">
        <v>465201</v>
      </c>
      <c r="K624" t="s">
        <v>41</v>
      </c>
      <c r="L624" t="s">
        <v>42</v>
      </c>
      <c r="M624" t="s">
        <v>135</v>
      </c>
      <c r="N624" t="s">
        <v>118</v>
      </c>
      <c r="O624" t="s">
        <v>119</v>
      </c>
      <c r="P624">
        <v>0</v>
      </c>
      <c r="Q624">
        <v>0</v>
      </c>
      <c r="R624" s="1">
        <v>42048</v>
      </c>
      <c r="S624" t="s">
        <v>138</v>
      </c>
      <c r="T624" t="s">
        <v>62</v>
      </c>
      <c r="U624" t="s">
        <v>212</v>
      </c>
      <c r="V624" t="s">
        <v>49</v>
      </c>
      <c r="W624" t="s">
        <v>113</v>
      </c>
      <c r="X624" t="s">
        <v>65</v>
      </c>
      <c r="Y624" t="s">
        <v>801</v>
      </c>
      <c r="Z624">
        <v>4</v>
      </c>
      <c r="AA624">
        <v>1</v>
      </c>
      <c r="AB624" t="s">
        <v>62</v>
      </c>
      <c r="AC624">
        <v>2</v>
      </c>
      <c r="AD624">
        <v>0</v>
      </c>
      <c r="AE624" t="s">
        <v>62</v>
      </c>
      <c r="AF624">
        <v>3200</v>
      </c>
      <c r="AG624">
        <v>400</v>
      </c>
      <c r="AH624">
        <v>400</v>
      </c>
      <c r="AI624">
        <v>2400</v>
      </c>
      <c r="AJ624" t="s">
        <v>197</v>
      </c>
      <c r="AK624" t="s">
        <v>375</v>
      </c>
      <c r="AL624">
        <v>2012</v>
      </c>
      <c r="AM624" t="s">
        <v>82</v>
      </c>
      <c r="AN624" s="2">
        <f t="shared" si="63"/>
        <v>2.9754432945595877</v>
      </c>
      <c r="AO624">
        <f t="shared" si="64"/>
        <v>-2125.5299999999997</v>
      </c>
      <c r="AP624" s="2">
        <f t="shared" si="65"/>
        <v>0.33566697906904092</v>
      </c>
      <c r="AQ624" s="2">
        <f t="shared" si="69"/>
        <v>3</v>
      </c>
      <c r="AR624">
        <f t="shared" si="66"/>
        <v>27</v>
      </c>
      <c r="AS624" t="str">
        <f t="shared" si="67"/>
        <v>Low Claim Ratio</v>
      </c>
      <c r="AT624" t="str">
        <f t="shared" si="68"/>
        <v>Low Profit</v>
      </c>
    </row>
    <row r="625" spans="1:46" x14ac:dyDescent="0.2">
      <c r="A625">
        <v>206</v>
      </c>
      <c r="B625">
        <v>42</v>
      </c>
      <c r="C625">
        <v>779156</v>
      </c>
      <c r="D625" s="1">
        <v>34252</v>
      </c>
      <c r="E625" t="s">
        <v>83</v>
      </c>
      <c r="F625" t="s">
        <v>91</v>
      </c>
      <c r="G625">
        <v>1000</v>
      </c>
      <c r="H625">
        <v>1230.76</v>
      </c>
      <c r="I625">
        <v>0</v>
      </c>
      <c r="J625">
        <v>470488</v>
      </c>
      <c r="K625" t="s">
        <v>41</v>
      </c>
      <c r="L625" t="s">
        <v>131</v>
      </c>
      <c r="M625" t="s">
        <v>58</v>
      </c>
      <c r="N625" t="s">
        <v>155</v>
      </c>
      <c r="O625" t="s">
        <v>85</v>
      </c>
      <c r="P625">
        <v>0</v>
      </c>
      <c r="Q625">
        <v>-74200</v>
      </c>
      <c r="R625" s="1">
        <v>42007</v>
      </c>
      <c r="S625" t="s">
        <v>46</v>
      </c>
      <c r="T625" t="s">
        <v>76</v>
      </c>
      <c r="U625" t="s">
        <v>48</v>
      </c>
      <c r="V625" t="s">
        <v>99</v>
      </c>
      <c r="W625" t="s">
        <v>64</v>
      </c>
      <c r="X625" t="s">
        <v>122</v>
      </c>
      <c r="Y625" t="s">
        <v>802</v>
      </c>
      <c r="Z625">
        <v>2</v>
      </c>
      <c r="AA625">
        <v>1</v>
      </c>
      <c r="AB625" t="s">
        <v>62</v>
      </c>
      <c r="AC625">
        <v>1</v>
      </c>
      <c r="AD625">
        <v>1</v>
      </c>
      <c r="AE625" t="s">
        <v>79</v>
      </c>
      <c r="AF625">
        <v>78980</v>
      </c>
      <c r="AG625">
        <v>7180</v>
      </c>
      <c r="AH625">
        <v>14360</v>
      </c>
      <c r="AI625">
        <v>57440</v>
      </c>
      <c r="AJ625" t="s">
        <v>54</v>
      </c>
      <c r="AK625" t="s">
        <v>55</v>
      </c>
      <c r="AL625">
        <v>1997</v>
      </c>
      <c r="AM625" t="s">
        <v>56</v>
      </c>
      <c r="AN625" s="2">
        <f t="shared" si="63"/>
        <v>64.119633694875631</v>
      </c>
      <c r="AO625">
        <f t="shared" si="64"/>
        <v>-77749.240000000005</v>
      </c>
      <c r="AP625" s="2">
        <f t="shared" si="65"/>
        <v>1.5582988313645053E-2</v>
      </c>
      <c r="AQ625" s="2">
        <f t="shared" si="69"/>
        <v>18</v>
      </c>
      <c r="AR625">
        <f t="shared" si="66"/>
        <v>206</v>
      </c>
      <c r="AS625" t="str">
        <f t="shared" si="67"/>
        <v>High Claim Ratio</v>
      </c>
      <c r="AT625" t="str">
        <f t="shared" si="68"/>
        <v>High Profit</v>
      </c>
    </row>
    <row r="626" spans="1:46" x14ac:dyDescent="0.2">
      <c r="A626">
        <v>127</v>
      </c>
      <c r="B626">
        <v>31</v>
      </c>
      <c r="C626">
        <v>856153</v>
      </c>
      <c r="D626" s="1">
        <v>37446</v>
      </c>
      <c r="E626" t="s">
        <v>39</v>
      </c>
      <c r="F626" t="s">
        <v>91</v>
      </c>
      <c r="G626">
        <v>500</v>
      </c>
      <c r="H626">
        <v>1255.02</v>
      </c>
      <c r="I626">
        <v>0</v>
      </c>
      <c r="J626">
        <v>462250</v>
      </c>
      <c r="K626" t="s">
        <v>41</v>
      </c>
      <c r="L626" t="s">
        <v>92</v>
      </c>
      <c r="M626" t="s">
        <v>72</v>
      </c>
      <c r="N626" t="s">
        <v>59</v>
      </c>
      <c r="O626" t="s">
        <v>142</v>
      </c>
      <c r="P626">
        <v>58200</v>
      </c>
      <c r="Q626">
        <v>0</v>
      </c>
      <c r="R626" s="1">
        <v>42017</v>
      </c>
      <c r="S626" t="s">
        <v>138</v>
      </c>
      <c r="T626" t="s">
        <v>62</v>
      </c>
      <c r="U626" t="s">
        <v>63</v>
      </c>
      <c r="V626" t="s">
        <v>93</v>
      </c>
      <c r="W626" t="s">
        <v>50</v>
      </c>
      <c r="X626" t="s">
        <v>65</v>
      </c>
      <c r="Y626" t="s">
        <v>803</v>
      </c>
      <c r="Z626">
        <v>10</v>
      </c>
      <c r="AA626">
        <v>1</v>
      </c>
      <c r="AB626" t="s">
        <v>53</v>
      </c>
      <c r="AC626">
        <v>1</v>
      </c>
      <c r="AD626">
        <v>0</v>
      </c>
      <c r="AE626" t="s">
        <v>79</v>
      </c>
      <c r="AF626">
        <v>6160</v>
      </c>
      <c r="AG626">
        <v>560</v>
      </c>
      <c r="AH626">
        <v>1120</v>
      </c>
      <c r="AI626">
        <v>4480</v>
      </c>
      <c r="AJ626" t="s">
        <v>104</v>
      </c>
      <c r="AK626" t="s">
        <v>287</v>
      </c>
      <c r="AL626">
        <v>1996</v>
      </c>
      <c r="AM626" t="s">
        <v>82</v>
      </c>
      <c r="AN626" s="2">
        <f t="shared" si="63"/>
        <v>4.9043805034951671</v>
      </c>
      <c r="AO626">
        <f t="shared" si="64"/>
        <v>-4904.9799999999996</v>
      </c>
      <c r="AP626" s="2">
        <f t="shared" si="65"/>
        <v>0.20370394416490828</v>
      </c>
      <c r="AQ626" s="2">
        <f t="shared" si="69"/>
        <v>19</v>
      </c>
      <c r="AR626">
        <f t="shared" si="66"/>
        <v>127</v>
      </c>
      <c r="AS626" t="str">
        <f t="shared" si="67"/>
        <v>Low Claim Ratio</v>
      </c>
      <c r="AT626" t="str">
        <f t="shared" si="68"/>
        <v>Low Profit</v>
      </c>
    </row>
    <row r="627" spans="1:46" x14ac:dyDescent="0.2">
      <c r="A627">
        <v>422</v>
      </c>
      <c r="B627">
        <v>60</v>
      </c>
      <c r="C627">
        <v>473338</v>
      </c>
      <c r="D627" s="1">
        <v>40496</v>
      </c>
      <c r="E627" t="s">
        <v>57</v>
      </c>
      <c r="F627" t="s">
        <v>69</v>
      </c>
      <c r="G627">
        <v>1000</v>
      </c>
      <c r="H627">
        <v>1555.52</v>
      </c>
      <c r="I627">
        <v>0</v>
      </c>
      <c r="J627">
        <v>436408</v>
      </c>
      <c r="K627" t="s">
        <v>70</v>
      </c>
      <c r="L627" t="s">
        <v>42</v>
      </c>
      <c r="M627" t="s">
        <v>58</v>
      </c>
      <c r="N627" t="s">
        <v>149</v>
      </c>
      <c r="O627" t="s">
        <v>74</v>
      </c>
      <c r="P627">
        <v>43600</v>
      </c>
      <c r="Q627">
        <v>-67800</v>
      </c>
      <c r="R627" s="1">
        <v>42049</v>
      </c>
      <c r="S627" t="s">
        <v>46</v>
      </c>
      <c r="T627" t="s">
        <v>86</v>
      </c>
      <c r="U627" t="s">
        <v>48</v>
      </c>
      <c r="V627" t="s">
        <v>136</v>
      </c>
      <c r="W627" t="s">
        <v>121</v>
      </c>
      <c r="X627" t="s">
        <v>156</v>
      </c>
      <c r="Y627" t="s">
        <v>804</v>
      </c>
      <c r="Z627">
        <v>11</v>
      </c>
      <c r="AA627">
        <v>1</v>
      </c>
      <c r="AB627" t="s">
        <v>53</v>
      </c>
      <c r="AC627">
        <v>1</v>
      </c>
      <c r="AD627">
        <v>1</v>
      </c>
      <c r="AE627" t="s">
        <v>79</v>
      </c>
      <c r="AF627">
        <v>85250</v>
      </c>
      <c r="AG627">
        <v>15500</v>
      </c>
      <c r="AH627">
        <v>7750</v>
      </c>
      <c r="AI627">
        <v>62000</v>
      </c>
      <c r="AJ627" t="s">
        <v>67</v>
      </c>
      <c r="AK627" t="s">
        <v>68</v>
      </c>
      <c r="AL627">
        <v>1999</v>
      </c>
      <c r="AM627" t="s">
        <v>82</v>
      </c>
      <c r="AN627" s="2">
        <f t="shared" si="63"/>
        <v>54.769614267725437</v>
      </c>
      <c r="AO627">
        <f t="shared" si="64"/>
        <v>-83694.48</v>
      </c>
      <c r="AP627" s="2">
        <f t="shared" si="65"/>
        <v>1.8246354881467666E-2</v>
      </c>
      <c r="AQ627" s="2">
        <f t="shared" si="69"/>
        <v>16</v>
      </c>
      <c r="AR627">
        <f t="shared" si="66"/>
        <v>422</v>
      </c>
      <c r="AS627" t="str">
        <f t="shared" si="67"/>
        <v>High Claim Ratio</v>
      </c>
      <c r="AT627" t="str">
        <f t="shared" si="68"/>
        <v>High Profit</v>
      </c>
    </row>
    <row r="628" spans="1:46" x14ac:dyDescent="0.2">
      <c r="A628">
        <v>303</v>
      </c>
      <c r="B628">
        <v>50</v>
      </c>
      <c r="C628">
        <v>521694</v>
      </c>
      <c r="D628" s="1">
        <v>35492</v>
      </c>
      <c r="E628" t="s">
        <v>83</v>
      </c>
      <c r="F628" t="s">
        <v>69</v>
      </c>
      <c r="G628">
        <v>2000</v>
      </c>
      <c r="H628">
        <v>836.11</v>
      </c>
      <c r="I628">
        <v>5000000</v>
      </c>
      <c r="J628">
        <v>464230</v>
      </c>
      <c r="K628" t="s">
        <v>41</v>
      </c>
      <c r="L628" t="s">
        <v>124</v>
      </c>
      <c r="M628" t="s">
        <v>72</v>
      </c>
      <c r="N628" t="s">
        <v>118</v>
      </c>
      <c r="O628" t="s">
        <v>142</v>
      </c>
      <c r="P628">
        <v>0</v>
      </c>
      <c r="Q628">
        <v>0</v>
      </c>
      <c r="R628" s="1">
        <v>42024</v>
      </c>
      <c r="S628" t="s">
        <v>75</v>
      </c>
      <c r="T628" t="s">
        <v>47</v>
      </c>
      <c r="U628" t="s">
        <v>48</v>
      </c>
      <c r="V628" t="s">
        <v>99</v>
      </c>
      <c r="W628" t="s">
        <v>50</v>
      </c>
      <c r="X628" t="s">
        <v>102</v>
      </c>
      <c r="Y628" t="s">
        <v>805</v>
      </c>
      <c r="Z628">
        <v>1</v>
      </c>
      <c r="AA628">
        <v>4</v>
      </c>
      <c r="AB628" t="s">
        <v>53</v>
      </c>
      <c r="AC628">
        <v>1</v>
      </c>
      <c r="AD628">
        <v>2</v>
      </c>
      <c r="AE628" t="s">
        <v>79</v>
      </c>
      <c r="AF628">
        <v>72840</v>
      </c>
      <c r="AG628">
        <v>12140</v>
      </c>
      <c r="AH628">
        <v>6070</v>
      </c>
      <c r="AI628">
        <v>54630</v>
      </c>
      <c r="AJ628" t="s">
        <v>80</v>
      </c>
      <c r="AK628" t="s">
        <v>144</v>
      </c>
      <c r="AL628">
        <v>2010</v>
      </c>
      <c r="AM628" t="s">
        <v>82</v>
      </c>
      <c r="AN628" s="2">
        <f t="shared" si="63"/>
        <v>87.013654119530287</v>
      </c>
      <c r="AO628">
        <f t="shared" si="64"/>
        <v>-72003.89</v>
      </c>
      <c r="AP628" s="2">
        <f t="shared" si="65"/>
        <v>1.1478562897269395E-2</v>
      </c>
      <c r="AQ628" s="2">
        <f t="shared" si="69"/>
        <v>5</v>
      </c>
      <c r="AR628">
        <f t="shared" si="66"/>
        <v>303</v>
      </c>
      <c r="AS628" t="str">
        <f t="shared" si="67"/>
        <v>High Claim Ratio</v>
      </c>
      <c r="AT628" t="str">
        <f t="shared" si="68"/>
        <v>High Profit</v>
      </c>
    </row>
    <row r="629" spans="1:46" x14ac:dyDescent="0.2">
      <c r="A629">
        <v>228</v>
      </c>
      <c r="B629">
        <v>40</v>
      </c>
      <c r="C629">
        <v>136520</v>
      </c>
      <c r="D629" s="1">
        <v>35490</v>
      </c>
      <c r="E629" t="s">
        <v>57</v>
      </c>
      <c r="F629" t="s">
        <v>69</v>
      </c>
      <c r="G629">
        <v>500</v>
      </c>
      <c r="H629">
        <v>1450.98</v>
      </c>
      <c r="I629">
        <v>0</v>
      </c>
      <c r="J629">
        <v>478609</v>
      </c>
      <c r="K629" t="s">
        <v>41</v>
      </c>
      <c r="L629" t="s">
        <v>92</v>
      </c>
      <c r="M629" t="s">
        <v>125</v>
      </c>
      <c r="N629" t="s">
        <v>106</v>
      </c>
      <c r="O629" t="s">
        <v>45</v>
      </c>
      <c r="P629">
        <v>43700</v>
      </c>
      <c r="Q629">
        <v>0</v>
      </c>
      <c r="R629" s="1">
        <v>42022</v>
      </c>
      <c r="S629" t="s">
        <v>138</v>
      </c>
      <c r="T629" t="s">
        <v>62</v>
      </c>
      <c r="U629" t="s">
        <v>212</v>
      </c>
      <c r="V629" t="s">
        <v>49</v>
      </c>
      <c r="W629" t="s">
        <v>113</v>
      </c>
      <c r="X629" t="s">
        <v>127</v>
      </c>
      <c r="Y629" t="s">
        <v>806</v>
      </c>
      <c r="Z629">
        <v>20</v>
      </c>
      <c r="AA629">
        <v>1</v>
      </c>
      <c r="AB629" t="s">
        <v>62</v>
      </c>
      <c r="AC629">
        <v>0</v>
      </c>
      <c r="AD629">
        <v>2</v>
      </c>
      <c r="AE629" t="s">
        <v>79</v>
      </c>
      <c r="AF629">
        <v>6050</v>
      </c>
      <c r="AG629">
        <v>1100</v>
      </c>
      <c r="AH629">
        <v>1100</v>
      </c>
      <c r="AI629">
        <v>3850</v>
      </c>
      <c r="AJ629" t="s">
        <v>115</v>
      </c>
      <c r="AK629" t="s">
        <v>116</v>
      </c>
      <c r="AL629">
        <v>2010</v>
      </c>
      <c r="AM629" t="s">
        <v>82</v>
      </c>
      <c r="AN629" s="2">
        <f t="shared" si="63"/>
        <v>4.1667240595600488</v>
      </c>
      <c r="AO629">
        <f t="shared" si="64"/>
        <v>-4599.0200000000004</v>
      </c>
      <c r="AP629" s="2">
        <f t="shared" si="65"/>
        <v>0.23979176995537929</v>
      </c>
      <c r="AQ629" s="2">
        <f t="shared" si="69"/>
        <v>5</v>
      </c>
      <c r="AR629">
        <f t="shared" si="66"/>
        <v>228</v>
      </c>
      <c r="AS629" t="str">
        <f t="shared" si="67"/>
        <v>Low Claim Ratio</v>
      </c>
      <c r="AT629" t="str">
        <f t="shared" si="68"/>
        <v>Low Profit</v>
      </c>
    </row>
    <row r="630" spans="1:46" x14ac:dyDescent="0.2">
      <c r="A630">
        <v>239</v>
      </c>
      <c r="B630">
        <v>39</v>
      </c>
      <c r="C630">
        <v>730819</v>
      </c>
      <c r="D630" s="1">
        <v>33103</v>
      </c>
      <c r="E630" t="s">
        <v>57</v>
      </c>
      <c r="F630" t="s">
        <v>40</v>
      </c>
      <c r="G630">
        <v>2000</v>
      </c>
      <c r="H630">
        <v>625.08000000000004</v>
      </c>
      <c r="I630">
        <v>0</v>
      </c>
      <c r="J630">
        <v>437156</v>
      </c>
      <c r="K630" t="s">
        <v>70</v>
      </c>
      <c r="L630" t="s">
        <v>161</v>
      </c>
      <c r="M630" t="s">
        <v>135</v>
      </c>
      <c r="N630" t="s">
        <v>149</v>
      </c>
      <c r="O630" t="s">
        <v>119</v>
      </c>
      <c r="P630">
        <v>44200</v>
      </c>
      <c r="Q630">
        <v>-37000</v>
      </c>
      <c r="R630" s="1">
        <v>42007</v>
      </c>
      <c r="S630" t="s">
        <v>46</v>
      </c>
      <c r="T630" t="s">
        <v>86</v>
      </c>
      <c r="U630" t="s">
        <v>48</v>
      </c>
      <c r="V630" t="s">
        <v>99</v>
      </c>
      <c r="W630" t="s">
        <v>50</v>
      </c>
      <c r="X630" t="s">
        <v>65</v>
      </c>
      <c r="Y630" t="s">
        <v>807</v>
      </c>
      <c r="Z630">
        <v>10</v>
      </c>
      <c r="AA630">
        <v>1</v>
      </c>
      <c r="AB630" t="s">
        <v>79</v>
      </c>
      <c r="AC630">
        <v>2</v>
      </c>
      <c r="AD630">
        <v>3</v>
      </c>
      <c r="AE630" t="s">
        <v>53</v>
      </c>
      <c r="AF630">
        <v>87890</v>
      </c>
      <c r="AG630">
        <v>15980</v>
      </c>
      <c r="AH630">
        <v>7990</v>
      </c>
      <c r="AI630">
        <v>63920</v>
      </c>
      <c r="AJ630" t="s">
        <v>187</v>
      </c>
      <c r="AK630" t="s">
        <v>238</v>
      </c>
      <c r="AL630">
        <v>2014</v>
      </c>
      <c r="AM630" t="s">
        <v>56</v>
      </c>
      <c r="AN630" s="2">
        <f t="shared" si="63"/>
        <v>140.3814209046767</v>
      </c>
      <c r="AO630">
        <f t="shared" si="64"/>
        <v>-87264.92</v>
      </c>
      <c r="AP630" s="2">
        <f t="shared" si="65"/>
        <v>7.1119909888384481E-3</v>
      </c>
      <c r="AQ630" s="2">
        <f t="shared" si="69"/>
        <v>1</v>
      </c>
      <c r="AR630">
        <f t="shared" si="66"/>
        <v>239</v>
      </c>
      <c r="AS630" t="str">
        <f t="shared" si="67"/>
        <v>High Claim Ratio</v>
      </c>
      <c r="AT630" t="str">
        <f t="shared" si="68"/>
        <v>High Profit</v>
      </c>
    </row>
    <row r="631" spans="1:46" x14ac:dyDescent="0.2">
      <c r="A631">
        <v>330</v>
      </c>
      <c r="B631">
        <v>47</v>
      </c>
      <c r="C631">
        <v>912665</v>
      </c>
      <c r="D631" s="1">
        <v>41787</v>
      </c>
      <c r="E631" t="s">
        <v>83</v>
      </c>
      <c r="F631" t="s">
        <v>69</v>
      </c>
      <c r="G631">
        <v>2000</v>
      </c>
      <c r="H631">
        <v>1133.27</v>
      </c>
      <c r="I631">
        <v>0</v>
      </c>
      <c r="J631">
        <v>432218</v>
      </c>
      <c r="K631" t="s">
        <v>70</v>
      </c>
      <c r="L631" t="s">
        <v>131</v>
      </c>
      <c r="M631" t="s">
        <v>43</v>
      </c>
      <c r="N631" t="s">
        <v>168</v>
      </c>
      <c r="O631" t="s">
        <v>119</v>
      </c>
      <c r="P631">
        <v>0</v>
      </c>
      <c r="Q631">
        <v>-56400</v>
      </c>
      <c r="R631" s="1">
        <v>42064</v>
      </c>
      <c r="S631" t="s">
        <v>75</v>
      </c>
      <c r="T631" t="s">
        <v>47</v>
      </c>
      <c r="U631" t="s">
        <v>107</v>
      </c>
      <c r="V631" t="s">
        <v>120</v>
      </c>
      <c r="W631" t="s">
        <v>77</v>
      </c>
      <c r="X631" t="s">
        <v>156</v>
      </c>
      <c r="Y631" t="s">
        <v>808</v>
      </c>
      <c r="Z631">
        <v>20</v>
      </c>
      <c r="AA631">
        <v>2</v>
      </c>
      <c r="AB631" t="s">
        <v>62</v>
      </c>
      <c r="AC631">
        <v>0</v>
      </c>
      <c r="AD631">
        <v>2</v>
      </c>
      <c r="AE631" t="s">
        <v>53</v>
      </c>
      <c r="AF631">
        <v>60500</v>
      </c>
      <c r="AG631">
        <v>11000</v>
      </c>
      <c r="AH631">
        <v>5500</v>
      </c>
      <c r="AI631">
        <v>44000</v>
      </c>
      <c r="AJ631" t="s">
        <v>129</v>
      </c>
      <c r="AK631" t="s">
        <v>130</v>
      </c>
      <c r="AL631">
        <v>1999</v>
      </c>
      <c r="AM631" t="s">
        <v>56</v>
      </c>
      <c r="AN631" s="2">
        <f t="shared" si="63"/>
        <v>53.338270429439198</v>
      </c>
      <c r="AO631">
        <f t="shared" si="64"/>
        <v>-59366.73</v>
      </c>
      <c r="AP631" s="2">
        <f t="shared" si="65"/>
        <v>1.8731425926844184E-2</v>
      </c>
      <c r="AQ631" s="2">
        <f t="shared" si="69"/>
        <v>16</v>
      </c>
      <c r="AR631">
        <f t="shared" si="66"/>
        <v>330</v>
      </c>
      <c r="AS631" t="str">
        <f t="shared" si="67"/>
        <v>High Claim Ratio</v>
      </c>
      <c r="AT631" t="str">
        <f t="shared" si="68"/>
        <v>High Profit</v>
      </c>
    </row>
    <row r="632" spans="1:46" x14ac:dyDescent="0.2">
      <c r="A632">
        <v>128</v>
      </c>
      <c r="B632">
        <v>35</v>
      </c>
      <c r="C632">
        <v>469966</v>
      </c>
      <c r="D632" s="1">
        <v>38190</v>
      </c>
      <c r="E632" t="s">
        <v>57</v>
      </c>
      <c r="F632" t="s">
        <v>91</v>
      </c>
      <c r="G632">
        <v>500</v>
      </c>
      <c r="H632">
        <v>1366.6</v>
      </c>
      <c r="I632">
        <v>0</v>
      </c>
      <c r="J632">
        <v>620493</v>
      </c>
      <c r="K632" t="s">
        <v>70</v>
      </c>
      <c r="L632" t="s">
        <v>42</v>
      </c>
      <c r="M632" t="s">
        <v>58</v>
      </c>
      <c r="N632" t="s">
        <v>170</v>
      </c>
      <c r="O632" t="s">
        <v>60</v>
      </c>
      <c r="P632">
        <v>0</v>
      </c>
      <c r="Q632">
        <v>0</v>
      </c>
      <c r="R632" s="1">
        <v>42005</v>
      </c>
      <c r="S632" t="s">
        <v>75</v>
      </c>
      <c r="T632" t="s">
        <v>86</v>
      </c>
      <c r="U632" t="s">
        <v>63</v>
      </c>
      <c r="V632" t="s">
        <v>99</v>
      </c>
      <c r="W632" t="s">
        <v>77</v>
      </c>
      <c r="X632" t="s">
        <v>51</v>
      </c>
      <c r="Y632" t="s">
        <v>809</v>
      </c>
      <c r="Z632">
        <v>10</v>
      </c>
      <c r="AA632">
        <v>3</v>
      </c>
      <c r="AB632" t="s">
        <v>62</v>
      </c>
      <c r="AC632">
        <v>2</v>
      </c>
      <c r="AD632">
        <v>1</v>
      </c>
      <c r="AE632" t="s">
        <v>79</v>
      </c>
      <c r="AF632">
        <v>88220</v>
      </c>
      <c r="AG632">
        <v>16040</v>
      </c>
      <c r="AH632">
        <v>16040</v>
      </c>
      <c r="AI632">
        <v>56140</v>
      </c>
      <c r="AJ632" t="s">
        <v>89</v>
      </c>
      <c r="AK632" t="s">
        <v>245</v>
      </c>
      <c r="AL632">
        <v>2008</v>
      </c>
      <c r="AM632" t="s">
        <v>82</v>
      </c>
      <c r="AN632" s="2">
        <f t="shared" si="63"/>
        <v>64.507165837964322</v>
      </c>
      <c r="AO632">
        <f t="shared" si="64"/>
        <v>-86853.4</v>
      </c>
      <c r="AP632" s="2">
        <f t="shared" si="65"/>
        <v>1.5490642817469763E-2</v>
      </c>
      <c r="AQ632" s="2">
        <f t="shared" si="69"/>
        <v>7</v>
      </c>
      <c r="AR632">
        <f t="shared" si="66"/>
        <v>128</v>
      </c>
      <c r="AS632" t="str">
        <f t="shared" si="67"/>
        <v>High Claim Ratio</v>
      </c>
      <c r="AT632" t="str">
        <f t="shared" si="68"/>
        <v>High Profit</v>
      </c>
    </row>
    <row r="633" spans="1:46" x14ac:dyDescent="0.2">
      <c r="A633">
        <v>147</v>
      </c>
      <c r="B633">
        <v>37</v>
      </c>
      <c r="C633">
        <v>952300</v>
      </c>
      <c r="D633" s="1">
        <v>40027</v>
      </c>
      <c r="E633" t="s">
        <v>39</v>
      </c>
      <c r="F633" t="s">
        <v>91</v>
      </c>
      <c r="G633">
        <v>1000</v>
      </c>
      <c r="H633">
        <v>1439.9</v>
      </c>
      <c r="I633">
        <v>6000000</v>
      </c>
      <c r="J633">
        <v>475391</v>
      </c>
      <c r="K633" t="s">
        <v>70</v>
      </c>
      <c r="L633" t="s">
        <v>92</v>
      </c>
      <c r="M633" t="s">
        <v>101</v>
      </c>
      <c r="N633" t="s">
        <v>181</v>
      </c>
      <c r="O633" t="s">
        <v>45</v>
      </c>
      <c r="P633">
        <v>0</v>
      </c>
      <c r="Q633">
        <v>-48400</v>
      </c>
      <c r="R633" s="1">
        <v>42033</v>
      </c>
      <c r="S633" t="s">
        <v>75</v>
      </c>
      <c r="T633" t="s">
        <v>76</v>
      </c>
      <c r="U633" t="s">
        <v>107</v>
      </c>
      <c r="V633" t="s">
        <v>120</v>
      </c>
      <c r="W633" t="s">
        <v>50</v>
      </c>
      <c r="X633" t="s">
        <v>102</v>
      </c>
      <c r="Y633" t="s">
        <v>810</v>
      </c>
      <c r="Z633">
        <v>2</v>
      </c>
      <c r="AA633">
        <v>2</v>
      </c>
      <c r="AB633" t="s">
        <v>79</v>
      </c>
      <c r="AC633">
        <v>1</v>
      </c>
      <c r="AD633">
        <v>2</v>
      </c>
      <c r="AE633" t="s">
        <v>79</v>
      </c>
      <c r="AF633">
        <v>53680</v>
      </c>
      <c r="AG633">
        <v>9760</v>
      </c>
      <c r="AH633">
        <v>4880</v>
      </c>
      <c r="AI633">
        <v>39040</v>
      </c>
      <c r="AJ633" t="s">
        <v>95</v>
      </c>
      <c r="AK633" t="s">
        <v>148</v>
      </c>
      <c r="AL633">
        <v>2004</v>
      </c>
      <c r="AM633" t="s">
        <v>82</v>
      </c>
      <c r="AN633" s="2">
        <f t="shared" si="63"/>
        <v>37.254493719203275</v>
      </c>
      <c r="AO633">
        <f t="shared" si="64"/>
        <v>-52240.1</v>
      </c>
      <c r="AP633" s="2">
        <f t="shared" si="65"/>
        <v>2.6823270803450011E-2</v>
      </c>
      <c r="AQ633" s="2">
        <f t="shared" si="69"/>
        <v>11</v>
      </c>
      <c r="AR633">
        <f t="shared" si="66"/>
        <v>147</v>
      </c>
      <c r="AS633" t="str">
        <f t="shared" si="67"/>
        <v>High Claim Ratio</v>
      </c>
      <c r="AT633" t="str">
        <f t="shared" si="68"/>
        <v>High Profit</v>
      </c>
    </row>
    <row r="634" spans="1:46" x14ac:dyDescent="0.2">
      <c r="A634">
        <v>287</v>
      </c>
      <c r="B634">
        <v>45</v>
      </c>
      <c r="C634">
        <v>322609</v>
      </c>
      <c r="D634" s="1">
        <v>39268</v>
      </c>
      <c r="E634" t="s">
        <v>39</v>
      </c>
      <c r="F634" t="s">
        <v>91</v>
      </c>
      <c r="G634">
        <v>1000</v>
      </c>
      <c r="H634">
        <v>1230.69</v>
      </c>
      <c r="I634">
        <v>0</v>
      </c>
      <c r="J634">
        <v>440720</v>
      </c>
      <c r="K634" t="s">
        <v>41</v>
      </c>
      <c r="L634" t="s">
        <v>124</v>
      </c>
      <c r="M634" t="s">
        <v>145</v>
      </c>
      <c r="N634" t="s">
        <v>112</v>
      </c>
      <c r="O634" t="s">
        <v>142</v>
      </c>
      <c r="P634">
        <v>0</v>
      </c>
      <c r="Q634">
        <v>-54600</v>
      </c>
      <c r="R634" s="1">
        <v>42014</v>
      </c>
      <c r="S634" t="s">
        <v>46</v>
      </c>
      <c r="T634" t="s">
        <v>86</v>
      </c>
      <c r="U634" t="s">
        <v>63</v>
      </c>
      <c r="V634" t="s">
        <v>99</v>
      </c>
      <c r="W634" t="s">
        <v>64</v>
      </c>
      <c r="X634" t="s">
        <v>102</v>
      </c>
      <c r="Y634" t="s">
        <v>811</v>
      </c>
      <c r="Z634">
        <v>19</v>
      </c>
      <c r="AA634">
        <v>1</v>
      </c>
      <c r="AB634" t="s">
        <v>79</v>
      </c>
      <c r="AC634">
        <v>0</v>
      </c>
      <c r="AD634">
        <v>2</v>
      </c>
      <c r="AE634" t="s">
        <v>79</v>
      </c>
      <c r="AF634">
        <v>53800</v>
      </c>
      <c r="AG634">
        <v>5380</v>
      </c>
      <c r="AH634">
        <v>5380</v>
      </c>
      <c r="AI634">
        <v>43040</v>
      </c>
      <c r="AJ634" t="s">
        <v>95</v>
      </c>
      <c r="AK634" t="s">
        <v>148</v>
      </c>
      <c r="AL634">
        <v>2006</v>
      </c>
      <c r="AM634" t="s">
        <v>82</v>
      </c>
      <c r="AN634" s="2">
        <f t="shared" si="63"/>
        <v>43.679822033141456</v>
      </c>
      <c r="AO634">
        <f t="shared" si="64"/>
        <v>-52569.31</v>
      </c>
      <c r="AP634" s="2">
        <f t="shared" si="65"/>
        <v>2.2874853627256001E-2</v>
      </c>
      <c r="AQ634" s="2">
        <f t="shared" si="69"/>
        <v>9</v>
      </c>
      <c r="AR634">
        <f t="shared" si="66"/>
        <v>287</v>
      </c>
      <c r="AS634" t="str">
        <f t="shared" si="67"/>
        <v>High Claim Ratio</v>
      </c>
      <c r="AT634" t="str">
        <f t="shared" si="68"/>
        <v>High Profit</v>
      </c>
    </row>
    <row r="635" spans="1:46" x14ac:dyDescent="0.2">
      <c r="A635">
        <v>142</v>
      </c>
      <c r="B635">
        <v>29</v>
      </c>
      <c r="C635">
        <v>890280</v>
      </c>
      <c r="D635" s="1">
        <v>40202</v>
      </c>
      <c r="E635" t="s">
        <v>39</v>
      </c>
      <c r="F635" t="s">
        <v>69</v>
      </c>
      <c r="G635">
        <v>2000</v>
      </c>
      <c r="H635">
        <v>1307.68</v>
      </c>
      <c r="I635">
        <v>0</v>
      </c>
      <c r="J635">
        <v>606942</v>
      </c>
      <c r="K635" t="s">
        <v>70</v>
      </c>
      <c r="L635" t="s">
        <v>42</v>
      </c>
      <c r="M635" t="s">
        <v>43</v>
      </c>
      <c r="N635" t="s">
        <v>126</v>
      </c>
      <c r="O635" t="s">
        <v>45</v>
      </c>
      <c r="P635">
        <v>0</v>
      </c>
      <c r="Q635">
        <v>-48500</v>
      </c>
      <c r="R635" s="1">
        <v>42033</v>
      </c>
      <c r="S635" t="s">
        <v>46</v>
      </c>
      <c r="T635" t="s">
        <v>76</v>
      </c>
      <c r="U635" t="s">
        <v>48</v>
      </c>
      <c r="V635" t="s">
        <v>49</v>
      </c>
      <c r="W635" t="s">
        <v>77</v>
      </c>
      <c r="X635" t="s">
        <v>51</v>
      </c>
      <c r="Y635" t="s">
        <v>812</v>
      </c>
      <c r="Z635">
        <v>10</v>
      </c>
      <c r="AA635">
        <v>1</v>
      </c>
      <c r="AB635" t="s">
        <v>53</v>
      </c>
      <c r="AC635">
        <v>1</v>
      </c>
      <c r="AD635">
        <v>2</v>
      </c>
      <c r="AE635" t="s">
        <v>79</v>
      </c>
      <c r="AF635">
        <v>54360</v>
      </c>
      <c r="AG635">
        <v>4530</v>
      </c>
      <c r="AH635">
        <v>9060</v>
      </c>
      <c r="AI635">
        <v>40770</v>
      </c>
      <c r="AJ635" t="s">
        <v>67</v>
      </c>
      <c r="AK635" t="s">
        <v>68</v>
      </c>
      <c r="AL635">
        <v>1995</v>
      </c>
      <c r="AM635" t="s">
        <v>56</v>
      </c>
      <c r="AN635" s="2">
        <f t="shared" si="63"/>
        <v>41.538038328697617</v>
      </c>
      <c r="AO635">
        <f t="shared" si="64"/>
        <v>-53052.32</v>
      </c>
      <c r="AP635" s="2">
        <f t="shared" si="65"/>
        <v>2.4055480951417376E-2</v>
      </c>
      <c r="AQ635" s="2">
        <f t="shared" si="69"/>
        <v>20</v>
      </c>
      <c r="AR635">
        <f t="shared" si="66"/>
        <v>142</v>
      </c>
      <c r="AS635" t="str">
        <f t="shared" si="67"/>
        <v>High Claim Ratio</v>
      </c>
      <c r="AT635" t="str">
        <f t="shared" si="68"/>
        <v>High Profit</v>
      </c>
    </row>
    <row r="636" spans="1:46" x14ac:dyDescent="0.2">
      <c r="A636">
        <v>162</v>
      </c>
      <c r="B636">
        <v>35</v>
      </c>
      <c r="C636">
        <v>431583</v>
      </c>
      <c r="D636" s="1">
        <v>36661</v>
      </c>
      <c r="E636" t="s">
        <v>83</v>
      </c>
      <c r="F636" t="s">
        <v>91</v>
      </c>
      <c r="G636">
        <v>2000</v>
      </c>
      <c r="H636">
        <v>1124.69</v>
      </c>
      <c r="I636">
        <v>0</v>
      </c>
      <c r="J636">
        <v>446971</v>
      </c>
      <c r="K636" t="s">
        <v>70</v>
      </c>
      <c r="L636" t="s">
        <v>124</v>
      </c>
      <c r="M636" t="s">
        <v>159</v>
      </c>
      <c r="N636" t="s">
        <v>98</v>
      </c>
      <c r="O636" t="s">
        <v>45</v>
      </c>
      <c r="P636">
        <v>0</v>
      </c>
      <c r="Q636">
        <v>0</v>
      </c>
      <c r="R636" s="1">
        <v>42055</v>
      </c>
      <c r="S636" t="s">
        <v>46</v>
      </c>
      <c r="T636" t="s">
        <v>47</v>
      </c>
      <c r="U636" t="s">
        <v>48</v>
      </c>
      <c r="V636" t="s">
        <v>49</v>
      </c>
      <c r="W636" t="s">
        <v>113</v>
      </c>
      <c r="X636" t="s">
        <v>87</v>
      </c>
      <c r="Y636" t="s">
        <v>813</v>
      </c>
      <c r="Z636">
        <v>14</v>
      </c>
      <c r="AA636">
        <v>1</v>
      </c>
      <c r="AB636" t="s">
        <v>53</v>
      </c>
      <c r="AC636">
        <v>0</v>
      </c>
      <c r="AD636">
        <v>3</v>
      </c>
      <c r="AE636" t="s">
        <v>53</v>
      </c>
      <c r="AF636">
        <v>54340</v>
      </c>
      <c r="AG636">
        <v>9880</v>
      </c>
      <c r="AH636">
        <v>4940</v>
      </c>
      <c r="AI636">
        <v>39520</v>
      </c>
      <c r="AJ636" t="s">
        <v>115</v>
      </c>
      <c r="AK636" t="s">
        <v>116</v>
      </c>
      <c r="AL636">
        <v>2001</v>
      </c>
      <c r="AM636" t="s">
        <v>82</v>
      </c>
      <c r="AN636" s="2">
        <f t="shared" si="63"/>
        <v>48.272615018344304</v>
      </c>
      <c r="AO636">
        <f t="shared" si="64"/>
        <v>-53215.31</v>
      </c>
      <c r="AP636" s="2">
        <f t="shared" si="65"/>
        <v>2.0696895530078578E-2</v>
      </c>
      <c r="AQ636" s="2">
        <f t="shared" si="69"/>
        <v>14</v>
      </c>
      <c r="AR636">
        <f t="shared" si="66"/>
        <v>162</v>
      </c>
      <c r="AS636" t="str">
        <f t="shared" si="67"/>
        <v>High Claim Ratio</v>
      </c>
      <c r="AT636" t="str">
        <f t="shared" si="68"/>
        <v>High Profit</v>
      </c>
    </row>
    <row r="637" spans="1:46" x14ac:dyDescent="0.2">
      <c r="A637">
        <v>140</v>
      </c>
      <c r="B637">
        <v>35</v>
      </c>
      <c r="C637">
        <v>155912</v>
      </c>
      <c r="D637" s="1">
        <v>39528</v>
      </c>
      <c r="E637" t="s">
        <v>39</v>
      </c>
      <c r="F637" t="s">
        <v>69</v>
      </c>
      <c r="G637">
        <v>1000</v>
      </c>
      <c r="H637">
        <v>1520.78</v>
      </c>
      <c r="I637">
        <v>0</v>
      </c>
      <c r="J637">
        <v>470538</v>
      </c>
      <c r="K637" t="s">
        <v>70</v>
      </c>
      <c r="L637" t="s">
        <v>131</v>
      </c>
      <c r="M637" t="s">
        <v>43</v>
      </c>
      <c r="N637" t="s">
        <v>168</v>
      </c>
      <c r="O637" t="s">
        <v>119</v>
      </c>
      <c r="P637">
        <v>0</v>
      </c>
      <c r="Q637">
        <v>-42900</v>
      </c>
      <c r="R637" s="1">
        <v>42025</v>
      </c>
      <c r="S637" t="s">
        <v>138</v>
      </c>
      <c r="T637" t="s">
        <v>62</v>
      </c>
      <c r="U637" t="s">
        <v>212</v>
      </c>
      <c r="V637" t="s">
        <v>93</v>
      </c>
      <c r="W637" t="s">
        <v>50</v>
      </c>
      <c r="X637" t="s">
        <v>51</v>
      </c>
      <c r="Y637" t="s">
        <v>814</v>
      </c>
      <c r="Z637">
        <v>5</v>
      </c>
      <c r="AA637">
        <v>1</v>
      </c>
      <c r="AB637" t="s">
        <v>62</v>
      </c>
      <c r="AC637">
        <v>0</v>
      </c>
      <c r="AD637">
        <v>2</v>
      </c>
      <c r="AE637" t="s">
        <v>53</v>
      </c>
      <c r="AF637">
        <v>2860</v>
      </c>
      <c r="AG637">
        <v>520</v>
      </c>
      <c r="AH637">
        <v>260</v>
      </c>
      <c r="AI637">
        <v>2080</v>
      </c>
      <c r="AJ637" t="s">
        <v>89</v>
      </c>
      <c r="AK637" t="s">
        <v>90</v>
      </c>
      <c r="AL637">
        <v>1997</v>
      </c>
      <c r="AM637" t="s">
        <v>56</v>
      </c>
      <c r="AN637" s="2">
        <f t="shared" si="63"/>
        <v>1.8793780967025457</v>
      </c>
      <c r="AO637">
        <f t="shared" si="64"/>
        <v>-1339.22</v>
      </c>
      <c r="AP637" s="2">
        <f t="shared" si="65"/>
        <v>0.53155540020971692</v>
      </c>
      <c r="AQ637" s="2">
        <f t="shared" si="69"/>
        <v>18</v>
      </c>
      <c r="AR637">
        <f t="shared" si="66"/>
        <v>140</v>
      </c>
      <c r="AS637" t="str">
        <f t="shared" si="67"/>
        <v>Low Claim Ratio</v>
      </c>
      <c r="AT637" t="str">
        <f t="shared" si="68"/>
        <v>Low Profit</v>
      </c>
    </row>
    <row r="638" spans="1:46" x14ac:dyDescent="0.2">
      <c r="A638">
        <v>106</v>
      </c>
      <c r="B638">
        <v>28</v>
      </c>
      <c r="C638">
        <v>110143</v>
      </c>
      <c r="D638" s="1">
        <v>33000</v>
      </c>
      <c r="E638" t="s">
        <v>39</v>
      </c>
      <c r="F638" t="s">
        <v>69</v>
      </c>
      <c r="G638">
        <v>2000</v>
      </c>
      <c r="H638">
        <v>1609.11</v>
      </c>
      <c r="I638">
        <v>0</v>
      </c>
      <c r="J638">
        <v>601177</v>
      </c>
      <c r="K638" t="s">
        <v>41</v>
      </c>
      <c r="L638" t="s">
        <v>131</v>
      </c>
      <c r="M638" t="s">
        <v>43</v>
      </c>
      <c r="N638" t="s">
        <v>173</v>
      </c>
      <c r="O638" t="s">
        <v>74</v>
      </c>
      <c r="P638">
        <v>0</v>
      </c>
      <c r="Q638">
        <v>0</v>
      </c>
      <c r="R638" s="1">
        <v>42022</v>
      </c>
      <c r="S638" t="s">
        <v>61</v>
      </c>
      <c r="T638" t="s">
        <v>62</v>
      </c>
      <c r="U638" t="s">
        <v>63</v>
      </c>
      <c r="V638" t="s">
        <v>49</v>
      </c>
      <c r="W638" t="s">
        <v>113</v>
      </c>
      <c r="X638" t="s">
        <v>122</v>
      </c>
      <c r="Y638" t="s">
        <v>815</v>
      </c>
      <c r="Z638">
        <v>8</v>
      </c>
      <c r="AA638">
        <v>1</v>
      </c>
      <c r="AB638" t="s">
        <v>53</v>
      </c>
      <c r="AC638">
        <v>2</v>
      </c>
      <c r="AD638">
        <v>1</v>
      </c>
      <c r="AE638" t="s">
        <v>53</v>
      </c>
      <c r="AF638">
        <v>5490</v>
      </c>
      <c r="AG638">
        <v>0</v>
      </c>
      <c r="AH638">
        <v>1220</v>
      </c>
      <c r="AI638">
        <v>4270</v>
      </c>
      <c r="AJ638" t="s">
        <v>54</v>
      </c>
      <c r="AK638">
        <v>95</v>
      </c>
      <c r="AL638">
        <v>1999</v>
      </c>
      <c r="AM638" t="s">
        <v>82</v>
      </c>
      <c r="AN638" s="2">
        <f t="shared" si="63"/>
        <v>3.4097049269925659</v>
      </c>
      <c r="AO638">
        <f t="shared" si="64"/>
        <v>-3880.8900000000003</v>
      </c>
      <c r="AP638" s="2">
        <f t="shared" si="65"/>
        <v>0.2930449826989619</v>
      </c>
      <c r="AQ638" s="2">
        <f t="shared" si="69"/>
        <v>16</v>
      </c>
      <c r="AR638">
        <f t="shared" si="66"/>
        <v>106</v>
      </c>
      <c r="AS638" t="str">
        <f t="shared" si="67"/>
        <v>Low Claim Ratio</v>
      </c>
      <c r="AT638" t="str">
        <f t="shared" si="68"/>
        <v>Low Profit</v>
      </c>
    </row>
    <row r="639" spans="1:46" x14ac:dyDescent="0.2">
      <c r="A639">
        <v>292</v>
      </c>
      <c r="B639">
        <v>45</v>
      </c>
      <c r="C639">
        <v>808544</v>
      </c>
      <c r="D639" s="1">
        <v>33274</v>
      </c>
      <c r="E639" t="s">
        <v>83</v>
      </c>
      <c r="F639" t="s">
        <v>91</v>
      </c>
      <c r="G639">
        <v>1000</v>
      </c>
      <c r="H639">
        <v>1358.91</v>
      </c>
      <c r="I639">
        <v>0</v>
      </c>
      <c r="J639">
        <v>451470</v>
      </c>
      <c r="K639" t="s">
        <v>41</v>
      </c>
      <c r="L639" t="s">
        <v>124</v>
      </c>
      <c r="M639" t="s">
        <v>43</v>
      </c>
      <c r="N639" t="s">
        <v>126</v>
      </c>
      <c r="O639" t="s">
        <v>85</v>
      </c>
      <c r="P639">
        <v>0</v>
      </c>
      <c r="Q639">
        <v>0</v>
      </c>
      <c r="R639" s="1">
        <v>42013</v>
      </c>
      <c r="S639" t="s">
        <v>61</v>
      </c>
      <c r="T639" t="s">
        <v>62</v>
      </c>
      <c r="U639" t="s">
        <v>212</v>
      </c>
      <c r="V639" t="s">
        <v>49</v>
      </c>
      <c r="W639" t="s">
        <v>113</v>
      </c>
      <c r="X639" t="s">
        <v>127</v>
      </c>
      <c r="Y639" t="s">
        <v>816</v>
      </c>
      <c r="Z639">
        <v>4</v>
      </c>
      <c r="AA639">
        <v>1</v>
      </c>
      <c r="AB639" t="s">
        <v>79</v>
      </c>
      <c r="AC639">
        <v>0</v>
      </c>
      <c r="AD639">
        <v>2</v>
      </c>
      <c r="AE639" t="s">
        <v>62</v>
      </c>
      <c r="AF639">
        <v>7370</v>
      </c>
      <c r="AG639">
        <v>670</v>
      </c>
      <c r="AH639">
        <v>1340</v>
      </c>
      <c r="AI639">
        <v>5360</v>
      </c>
      <c r="AJ639" t="s">
        <v>153</v>
      </c>
      <c r="AK639" t="s">
        <v>163</v>
      </c>
      <c r="AL639">
        <v>1997</v>
      </c>
      <c r="AM639" t="s">
        <v>82</v>
      </c>
      <c r="AN639" s="2">
        <f t="shared" si="63"/>
        <v>5.4194762888720573</v>
      </c>
      <c r="AO639">
        <f t="shared" si="64"/>
        <v>-6011.09</v>
      </c>
      <c r="AP639" s="2">
        <f t="shared" si="65"/>
        <v>0.18435897435897436</v>
      </c>
      <c r="AQ639" s="2">
        <f t="shared" si="69"/>
        <v>18</v>
      </c>
      <c r="AR639">
        <f t="shared" si="66"/>
        <v>292</v>
      </c>
      <c r="AS639" t="str">
        <f t="shared" si="67"/>
        <v>Medium Claim Ratio</v>
      </c>
      <c r="AT639" t="str">
        <f t="shared" si="68"/>
        <v>High Profit</v>
      </c>
    </row>
    <row r="640" spans="1:46" x14ac:dyDescent="0.2">
      <c r="A640">
        <v>34</v>
      </c>
      <c r="B640">
        <v>34</v>
      </c>
      <c r="C640">
        <v>409074</v>
      </c>
      <c r="D640" s="1">
        <v>33682</v>
      </c>
      <c r="E640" t="s">
        <v>39</v>
      </c>
      <c r="F640" t="s">
        <v>91</v>
      </c>
      <c r="G640">
        <v>500</v>
      </c>
      <c r="H640">
        <v>1295.8699999999999</v>
      </c>
      <c r="I640">
        <v>0</v>
      </c>
      <c r="J640">
        <v>438529</v>
      </c>
      <c r="K640" t="s">
        <v>70</v>
      </c>
      <c r="L640" t="s">
        <v>71</v>
      </c>
      <c r="M640" t="s">
        <v>117</v>
      </c>
      <c r="N640" t="s">
        <v>168</v>
      </c>
      <c r="O640" t="s">
        <v>45</v>
      </c>
      <c r="P640">
        <v>0</v>
      </c>
      <c r="Q640">
        <v>0</v>
      </c>
      <c r="R640" s="1">
        <v>42017</v>
      </c>
      <c r="S640" t="s">
        <v>75</v>
      </c>
      <c r="T640" t="s">
        <v>47</v>
      </c>
      <c r="U640" t="s">
        <v>48</v>
      </c>
      <c r="V640" t="s">
        <v>136</v>
      </c>
      <c r="W640" t="s">
        <v>121</v>
      </c>
      <c r="X640" t="s">
        <v>51</v>
      </c>
      <c r="Y640" t="s">
        <v>817</v>
      </c>
      <c r="Z640">
        <v>4</v>
      </c>
      <c r="AA640">
        <v>3</v>
      </c>
      <c r="AB640" t="s">
        <v>62</v>
      </c>
      <c r="AC640">
        <v>1</v>
      </c>
      <c r="AD640">
        <v>0</v>
      </c>
      <c r="AE640" t="s">
        <v>79</v>
      </c>
      <c r="AF640">
        <v>50800</v>
      </c>
      <c r="AG640">
        <v>5080</v>
      </c>
      <c r="AH640">
        <v>5080</v>
      </c>
      <c r="AI640">
        <v>40640</v>
      </c>
      <c r="AJ640" t="s">
        <v>109</v>
      </c>
      <c r="AK640" t="s">
        <v>134</v>
      </c>
      <c r="AL640">
        <v>1997</v>
      </c>
      <c r="AM640" t="s">
        <v>56</v>
      </c>
      <c r="AN640" s="2">
        <f t="shared" si="63"/>
        <v>39.1712353589797</v>
      </c>
      <c r="AO640">
        <f t="shared" si="64"/>
        <v>-49504.13</v>
      </c>
      <c r="AP640" s="2">
        <f t="shared" si="65"/>
        <v>2.5508749827759292E-2</v>
      </c>
      <c r="AQ640" s="2">
        <f t="shared" si="69"/>
        <v>18</v>
      </c>
      <c r="AR640">
        <f t="shared" si="66"/>
        <v>34</v>
      </c>
      <c r="AS640" t="str">
        <f t="shared" si="67"/>
        <v>High Claim Ratio</v>
      </c>
      <c r="AT640" t="str">
        <f t="shared" si="68"/>
        <v>High Profit</v>
      </c>
    </row>
    <row r="641" spans="1:46" x14ac:dyDescent="0.2">
      <c r="A641">
        <v>290</v>
      </c>
      <c r="B641">
        <v>48</v>
      </c>
      <c r="C641">
        <v>824728</v>
      </c>
      <c r="D641" s="1">
        <v>41388</v>
      </c>
      <c r="E641" t="s">
        <v>83</v>
      </c>
      <c r="F641" t="s">
        <v>40</v>
      </c>
      <c r="G641">
        <v>500</v>
      </c>
      <c r="H641">
        <v>1161.03</v>
      </c>
      <c r="I641">
        <v>5000000</v>
      </c>
      <c r="J641">
        <v>469742</v>
      </c>
      <c r="K641" t="s">
        <v>41</v>
      </c>
      <c r="L641" t="s">
        <v>92</v>
      </c>
      <c r="M641" t="s">
        <v>185</v>
      </c>
      <c r="N641" t="s">
        <v>181</v>
      </c>
      <c r="O641" t="s">
        <v>142</v>
      </c>
      <c r="P641">
        <v>45300</v>
      </c>
      <c r="Q641">
        <v>0</v>
      </c>
      <c r="R641" s="1">
        <v>42048</v>
      </c>
      <c r="S641" t="s">
        <v>75</v>
      </c>
      <c r="T641" t="s">
        <v>47</v>
      </c>
      <c r="U641" t="s">
        <v>63</v>
      </c>
      <c r="V641" t="s">
        <v>99</v>
      </c>
      <c r="W641" t="s">
        <v>64</v>
      </c>
      <c r="X641" t="s">
        <v>156</v>
      </c>
      <c r="Y641" t="s">
        <v>818</v>
      </c>
      <c r="Z641">
        <v>20</v>
      </c>
      <c r="AA641">
        <v>2</v>
      </c>
      <c r="AB641" t="s">
        <v>62</v>
      </c>
      <c r="AC641">
        <v>1</v>
      </c>
      <c r="AD641">
        <v>1</v>
      </c>
      <c r="AE641" t="s">
        <v>62</v>
      </c>
      <c r="AF641">
        <v>41520</v>
      </c>
      <c r="AG641">
        <v>5190</v>
      </c>
      <c r="AH641">
        <v>5190</v>
      </c>
      <c r="AI641">
        <v>31140</v>
      </c>
      <c r="AJ641" t="s">
        <v>104</v>
      </c>
      <c r="AK641" t="s">
        <v>287</v>
      </c>
      <c r="AL641">
        <v>2014</v>
      </c>
      <c r="AM641" t="s">
        <v>82</v>
      </c>
      <c r="AN641" s="2">
        <f t="shared" si="63"/>
        <v>35.730574942127141</v>
      </c>
      <c r="AO641">
        <f t="shared" si="64"/>
        <v>-40358.97</v>
      </c>
      <c r="AP641" s="2">
        <f t="shared" si="65"/>
        <v>2.7962476818959081E-2</v>
      </c>
      <c r="AQ641" s="2">
        <f t="shared" si="69"/>
        <v>1</v>
      </c>
      <c r="AR641">
        <f t="shared" si="66"/>
        <v>290</v>
      </c>
      <c r="AS641" t="str">
        <f t="shared" si="67"/>
        <v>High Claim Ratio</v>
      </c>
      <c r="AT641" t="str">
        <f t="shared" si="68"/>
        <v>High Profit</v>
      </c>
    </row>
    <row r="642" spans="1:46" x14ac:dyDescent="0.2">
      <c r="A642">
        <v>182</v>
      </c>
      <c r="B642">
        <v>38</v>
      </c>
      <c r="C642">
        <v>606037</v>
      </c>
      <c r="D642" s="1">
        <v>39913</v>
      </c>
      <c r="E642" t="s">
        <v>39</v>
      </c>
      <c r="F642" t="s">
        <v>91</v>
      </c>
      <c r="G642">
        <v>2000</v>
      </c>
      <c r="H642">
        <v>1441.06</v>
      </c>
      <c r="I642">
        <v>0</v>
      </c>
      <c r="J642">
        <v>435534</v>
      </c>
      <c r="K642" t="s">
        <v>70</v>
      </c>
      <c r="L642" t="s">
        <v>124</v>
      </c>
      <c r="M642" t="s">
        <v>84</v>
      </c>
      <c r="N642" t="s">
        <v>146</v>
      </c>
      <c r="O642" t="s">
        <v>45</v>
      </c>
      <c r="P642">
        <v>53800</v>
      </c>
      <c r="Q642">
        <v>-78300</v>
      </c>
      <c r="R642" s="1">
        <v>42012</v>
      </c>
      <c r="S642" t="s">
        <v>46</v>
      </c>
      <c r="T642" t="s">
        <v>47</v>
      </c>
      <c r="U642" t="s">
        <v>107</v>
      </c>
      <c r="V642" t="s">
        <v>49</v>
      </c>
      <c r="W642" t="s">
        <v>77</v>
      </c>
      <c r="X642" t="s">
        <v>65</v>
      </c>
      <c r="Y642" t="s">
        <v>819</v>
      </c>
      <c r="Z642">
        <v>18</v>
      </c>
      <c r="AA642">
        <v>1</v>
      </c>
      <c r="AB642" t="s">
        <v>62</v>
      </c>
      <c r="AC642">
        <v>2</v>
      </c>
      <c r="AD642">
        <v>3</v>
      </c>
      <c r="AE642" t="s">
        <v>53</v>
      </c>
      <c r="AF642">
        <v>89650</v>
      </c>
      <c r="AG642">
        <v>8150</v>
      </c>
      <c r="AH642">
        <v>16300</v>
      </c>
      <c r="AI642">
        <v>65200</v>
      </c>
      <c r="AJ642" t="s">
        <v>80</v>
      </c>
      <c r="AK642" t="s">
        <v>81</v>
      </c>
      <c r="AL642">
        <v>2005</v>
      </c>
      <c r="AM642" t="s">
        <v>82</v>
      </c>
      <c r="AN642" s="2">
        <f t="shared" si="63"/>
        <v>62.16800965285772</v>
      </c>
      <c r="AO642">
        <f t="shared" si="64"/>
        <v>-88208.94</v>
      </c>
      <c r="AP642" s="2">
        <f t="shared" si="65"/>
        <v>1.6074109602793051E-2</v>
      </c>
      <c r="AQ642" s="2">
        <f t="shared" si="69"/>
        <v>10</v>
      </c>
      <c r="AR642">
        <f t="shared" si="66"/>
        <v>182</v>
      </c>
      <c r="AS642" t="str">
        <f t="shared" si="67"/>
        <v>High Claim Ratio</v>
      </c>
      <c r="AT642" t="str">
        <f t="shared" si="68"/>
        <v>High Profit</v>
      </c>
    </row>
    <row r="643" spans="1:46" x14ac:dyDescent="0.2">
      <c r="A643">
        <v>362</v>
      </c>
      <c r="B643">
        <v>55</v>
      </c>
      <c r="C643">
        <v>636843</v>
      </c>
      <c r="D643" s="1">
        <v>39783</v>
      </c>
      <c r="E643" t="s">
        <v>39</v>
      </c>
      <c r="F643" t="s">
        <v>69</v>
      </c>
      <c r="G643">
        <v>1000</v>
      </c>
      <c r="H643">
        <v>1097.99</v>
      </c>
      <c r="I643">
        <v>0</v>
      </c>
      <c r="J643">
        <v>442239</v>
      </c>
      <c r="K643" t="s">
        <v>70</v>
      </c>
      <c r="L643" t="s">
        <v>161</v>
      </c>
      <c r="M643" t="s">
        <v>111</v>
      </c>
      <c r="N643" t="s">
        <v>106</v>
      </c>
      <c r="O643" t="s">
        <v>85</v>
      </c>
      <c r="P643">
        <v>44400</v>
      </c>
      <c r="Q643">
        <v>-71500</v>
      </c>
      <c r="R643" s="1">
        <v>42052</v>
      </c>
      <c r="S643" t="s">
        <v>75</v>
      </c>
      <c r="T643" t="s">
        <v>76</v>
      </c>
      <c r="U643" t="s">
        <v>107</v>
      </c>
      <c r="V643" t="s">
        <v>49</v>
      </c>
      <c r="W643" t="s">
        <v>77</v>
      </c>
      <c r="X643" t="s">
        <v>122</v>
      </c>
      <c r="Y643" t="s">
        <v>820</v>
      </c>
      <c r="Z643">
        <v>0</v>
      </c>
      <c r="AA643">
        <v>3</v>
      </c>
      <c r="AB643" t="s">
        <v>79</v>
      </c>
      <c r="AC643">
        <v>0</v>
      </c>
      <c r="AD643">
        <v>3</v>
      </c>
      <c r="AE643" t="s">
        <v>79</v>
      </c>
      <c r="AF643">
        <v>39690</v>
      </c>
      <c r="AG643">
        <v>0</v>
      </c>
      <c r="AH643">
        <v>0</v>
      </c>
      <c r="AI643">
        <v>39690</v>
      </c>
      <c r="AJ643" t="s">
        <v>153</v>
      </c>
      <c r="AK643" t="s">
        <v>154</v>
      </c>
      <c r="AL643">
        <v>1998</v>
      </c>
      <c r="AM643" t="s">
        <v>82</v>
      </c>
      <c r="AN643" s="2">
        <f t="shared" ref="AN643:AN706" si="70">AF643/(H643+1)</f>
        <v>36.114978298255672</v>
      </c>
      <c r="AO643">
        <f t="shared" ref="AO643:AO706" si="71">H643-AF643</f>
        <v>-38592.01</v>
      </c>
      <c r="AP643" s="2">
        <f t="shared" ref="AP643:AP706" si="72">H643/(AF643+1)</f>
        <v>2.7663450152427504E-2</v>
      </c>
      <c r="AQ643" s="2">
        <f t="shared" si="69"/>
        <v>17</v>
      </c>
      <c r="AR643">
        <f t="shared" ref="AR643:AR706" si="73">A643</f>
        <v>362</v>
      </c>
      <c r="AS643" t="str">
        <f t="shared" ref="AS643:AS706" si="74">IF(AN643&lt;5,"Low Claim Ratio",
 IF(AN643&lt;20,"Medium Claim Ratio",
 "High Claim Ratio"))</f>
        <v>High Claim Ratio</v>
      </c>
      <c r="AT643" t="str">
        <f t="shared" ref="AT643:AT706" si="75">IF(-AO643&lt;0,"Loss Making",
 IF(-AO643&lt;5000,"Low Profit",
 "High Profit"))</f>
        <v>High Profit</v>
      </c>
    </row>
    <row r="644" spans="1:46" x14ac:dyDescent="0.2">
      <c r="A644">
        <v>143</v>
      </c>
      <c r="B644">
        <v>32</v>
      </c>
      <c r="C644">
        <v>111874</v>
      </c>
      <c r="D644" s="1">
        <v>36712</v>
      </c>
      <c r="E644" t="s">
        <v>83</v>
      </c>
      <c r="F644" t="s">
        <v>91</v>
      </c>
      <c r="G644">
        <v>1000</v>
      </c>
      <c r="H644">
        <v>1464.42</v>
      </c>
      <c r="I644">
        <v>0</v>
      </c>
      <c r="J644">
        <v>468986</v>
      </c>
      <c r="K644" t="s">
        <v>70</v>
      </c>
      <c r="L644" t="s">
        <v>131</v>
      </c>
      <c r="M644" t="s">
        <v>125</v>
      </c>
      <c r="N644" t="s">
        <v>112</v>
      </c>
      <c r="O644" t="s">
        <v>45</v>
      </c>
      <c r="P644">
        <v>79900</v>
      </c>
      <c r="Q644">
        <v>0</v>
      </c>
      <c r="R644" s="1">
        <v>42019</v>
      </c>
      <c r="S644" t="s">
        <v>46</v>
      </c>
      <c r="T644" t="s">
        <v>76</v>
      </c>
      <c r="U644" t="s">
        <v>48</v>
      </c>
      <c r="V644" t="s">
        <v>136</v>
      </c>
      <c r="W644" t="s">
        <v>50</v>
      </c>
      <c r="X644" t="s">
        <v>102</v>
      </c>
      <c r="Y644" t="s">
        <v>821</v>
      </c>
      <c r="Z644">
        <v>1</v>
      </c>
      <c r="AA644">
        <v>1</v>
      </c>
      <c r="AB644" t="s">
        <v>62</v>
      </c>
      <c r="AC644">
        <v>2</v>
      </c>
      <c r="AD644">
        <v>0</v>
      </c>
      <c r="AE644" t="s">
        <v>79</v>
      </c>
      <c r="AF644">
        <v>62260</v>
      </c>
      <c r="AG644">
        <v>5660</v>
      </c>
      <c r="AH644">
        <v>5660</v>
      </c>
      <c r="AI644">
        <v>50940</v>
      </c>
      <c r="AJ644" t="s">
        <v>54</v>
      </c>
      <c r="AK644" t="s">
        <v>55</v>
      </c>
      <c r="AL644">
        <v>1995</v>
      </c>
      <c r="AM644" t="s">
        <v>82</v>
      </c>
      <c r="AN644" s="2">
        <f t="shared" si="70"/>
        <v>42.486113196216785</v>
      </c>
      <c r="AO644">
        <f t="shared" si="71"/>
        <v>-60795.58</v>
      </c>
      <c r="AP644" s="2">
        <f t="shared" si="72"/>
        <v>2.3520663015370778E-2</v>
      </c>
      <c r="AQ644" s="2">
        <f t="shared" ref="AQ644:AQ707" si="76">YEAR(R644)-(AL644)</f>
        <v>20</v>
      </c>
      <c r="AR644">
        <f t="shared" si="73"/>
        <v>143</v>
      </c>
      <c r="AS644" t="str">
        <f t="shared" si="74"/>
        <v>High Claim Ratio</v>
      </c>
      <c r="AT644" t="str">
        <f t="shared" si="75"/>
        <v>High Profit</v>
      </c>
    </row>
    <row r="645" spans="1:46" x14ac:dyDescent="0.2">
      <c r="A645">
        <v>183</v>
      </c>
      <c r="B645">
        <v>38</v>
      </c>
      <c r="C645">
        <v>439844</v>
      </c>
      <c r="D645" s="1">
        <v>41801</v>
      </c>
      <c r="E645" t="s">
        <v>83</v>
      </c>
      <c r="F645" t="s">
        <v>40</v>
      </c>
      <c r="G645">
        <v>500</v>
      </c>
      <c r="H645">
        <v>1543.68</v>
      </c>
      <c r="I645">
        <v>0</v>
      </c>
      <c r="J645">
        <v>606988</v>
      </c>
      <c r="K645" t="s">
        <v>70</v>
      </c>
      <c r="L645" t="s">
        <v>124</v>
      </c>
      <c r="M645" t="s">
        <v>101</v>
      </c>
      <c r="N645" t="s">
        <v>165</v>
      </c>
      <c r="O645" t="s">
        <v>142</v>
      </c>
      <c r="P645">
        <v>20200</v>
      </c>
      <c r="Q645">
        <v>0</v>
      </c>
      <c r="R645" s="1">
        <v>42028</v>
      </c>
      <c r="S645" t="s">
        <v>46</v>
      </c>
      <c r="T645" t="s">
        <v>47</v>
      </c>
      <c r="U645" t="s">
        <v>48</v>
      </c>
      <c r="V645" t="s">
        <v>49</v>
      </c>
      <c r="W645" t="s">
        <v>121</v>
      </c>
      <c r="X645" t="s">
        <v>122</v>
      </c>
      <c r="Y645" t="s">
        <v>822</v>
      </c>
      <c r="Z645">
        <v>17</v>
      </c>
      <c r="AA645">
        <v>1</v>
      </c>
      <c r="AB645" t="s">
        <v>79</v>
      </c>
      <c r="AC645">
        <v>0</v>
      </c>
      <c r="AD645">
        <v>1</v>
      </c>
      <c r="AE645" t="s">
        <v>53</v>
      </c>
      <c r="AF645">
        <v>51920</v>
      </c>
      <c r="AG645">
        <v>9440</v>
      </c>
      <c r="AH645">
        <v>4720</v>
      </c>
      <c r="AI645">
        <v>37760</v>
      </c>
      <c r="AJ645" t="s">
        <v>109</v>
      </c>
      <c r="AK645" t="s">
        <v>134</v>
      </c>
      <c r="AL645">
        <v>2001</v>
      </c>
      <c r="AM645" t="s">
        <v>56</v>
      </c>
      <c r="AN645" s="2">
        <f t="shared" si="70"/>
        <v>33.612139731206462</v>
      </c>
      <c r="AO645">
        <f t="shared" si="71"/>
        <v>-50376.32</v>
      </c>
      <c r="AP645" s="2">
        <f t="shared" si="72"/>
        <v>2.9731322586236782E-2</v>
      </c>
      <c r="AQ645" s="2">
        <f t="shared" si="76"/>
        <v>14</v>
      </c>
      <c r="AR645">
        <f t="shared" si="73"/>
        <v>183</v>
      </c>
      <c r="AS645" t="str">
        <f t="shared" si="74"/>
        <v>High Claim Ratio</v>
      </c>
      <c r="AT645" t="str">
        <f t="shared" si="75"/>
        <v>High Profit</v>
      </c>
    </row>
    <row r="646" spans="1:46" x14ac:dyDescent="0.2">
      <c r="A646">
        <v>254</v>
      </c>
      <c r="B646">
        <v>40</v>
      </c>
      <c r="C646">
        <v>463513</v>
      </c>
      <c r="D646" s="1">
        <v>34812</v>
      </c>
      <c r="E646" t="s">
        <v>83</v>
      </c>
      <c r="F646" t="s">
        <v>40</v>
      </c>
      <c r="G646">
        <v>500</v>
      </c>
      <c r="H646">
        <v>1390.89</v>
      </c>
      <c r="I646">
        <v>5000000</v>
      </c>
      <c r="J646">
        <v>453719</v>
      </c>
      <c r="K646" t="s">
        <v>41</v>
      </c>
      <c r="L646" t="s">
        <v>141</v>
      </c>
      <c r="M646" t="s">
        <v>84</v>
      </c>
      <c r="N646" t="s">
        <v>98</v>
      </c>
      <c r="O646" t="s">
        <v>119</v>
      </c>
      <c r="P646">
        <v>0</v>
      </c>
      <c r="Q646">
        <v>-74400</v>
      </c>
      <c r="R646" s="1">
        <v>42063</v>
      </c>
      <c r="S646" t="s">
        <v>46</v>
      </c>
      <c r="T646" t="s">
        <v>86</v>
      </c>
      <c r="U646" t="s">
        <v>63</v>
      </c>
      <c r="V646" t="s">
        <v>120</v>
      </c>
      <c r="W646" t="s">
        <v>77</v>
      </c>
      <c r="X646" t="s">
        <v>65</v>
      </c>
      <c r="Y646" t="s">
        <v>823</v>
      </c>
      <c r="Z646">
        <v>23</v>
      </c>
      <c r="AA646">
        <v>1</v>
      </c>
      <c r="AB646" t="s">
        <v>62</v>
      </c>
      <c r="AC646">
        <v>2</v>
      </c>
      <c r="AD646">
        <v>2</v>
      </c>
      <c r="AE646" t="s">
        <v>62</v>
      </c>
      <c r="AF646">
        <v>53460</v>
      </c>
      <c r="AG646">
        <v>9720</v>
      </c>
      <c r="AH646">
        <v>4860</v>
      </c>
      <c r="AI646">
        <v>38880</v>
      </c>
      <c r="AJ646" t="s">
        <v>214</v>
      </c>
      <c r="AK646" t="s">
        <v>258</v>
      </c>
      <c r="AL646">
        <v>2009</v>
      </c>
      <c r="AM646" t="s">
        <v>82</v>
      </c>
      <c r="AN646" s="2">
        <f t="shared" si="70"/>
        <v>38.408207545136463</v>
      </c>
      <c r="AO646">
        <f t="shared" si="71"/>
        <v>-52069.11</v>
      </c>
      <c r="AP646" s="2">
        <f t="shared" si="72"/>
        <v>2.6016909522829729E-2</v>
      </c>
      <c r="AQ646" s="2">
        <f t="shared" si="76"/>
        <v>6</v>
      </c>
      <c r="AR646">
        <f t="shared" si="73"/>
        <v>254</v>
      </c>
      <c r="AS646" t="str">
        <f t="shared" si="74"/>
        <v>High Claim Ratio</v>
      </c>
      <c r="AT646" t="str">
        <f t="shared" si="75"/>
        <v>High Profit</v>
      </c>
    </row>
    <row r="647" spans="1:46" x14ac:dyDescent="0.2">
      <c r="A647">
        <v>249</v>
      </c>
      <c r="B647">
        <v>43</v>
      </c>
      <c r="C647">
        <v>577858</v>
      </c>
      <c r="D647" s="1">
        <v>33132</v>
      </c>
      <c r="E647" t="s">
        <v>39</v>
      </c>
      <c r="F647" t="s">
        <v>69</v>
      </c>
      <c r="G647">
        <v>2000</v>
      </c>
      <c r="H647">
        <v>1148.58</v>
      </c>
      <c r="I647">
        <v>0</v>
      </c>
      <c r="J647">
        <v>475524</v>
      </c>
      <c r="K647" t="s">
        <v>70</v>
      </c>
      <c r="L647" t="s">
        <v>42</v>
      </c>
      <c r="M647" t="s">
        <v>185</v>
      </c>
      <c r="N647" t="s">
        <v>112</v>
      </c>
      <c r="O647" t="s">
        <v>142</v>
      </c>
      <c r="P647">
        <v>0</v>
      </c>
      <c r="Q647">
        <v>-71200</v>
      </c>
      <c r="R647" s="1">
        <v>42051</v>
      </c>
      <c r="S647" t="s">
        <v>75</v>
      </c>
      <c r="T647" t="s">
        <v>76</v>
      </c>
      <c r="U647" t="s">
        <v>107</v>
      </c>
      <c r="V647" t="s">
        <v>99</v>
      </c>
      <c r="W647" t="s">
        <v>50</v>
      </c>
      <c r="X647" t="s">
        <v>87</v>
      </c>
      <c r="Y647" t="s">
        <v>824</v>
      </c>
      <c r="Z647">
        <v>4</v>
      </c>
      <c r="AA647">
        <v>3</v>
      </c>
      <c r="AB647" t="s">
        <v>53</v>
      </c>
      <c r="AC647">
        <v>2</v>
      </c>
      <c r="AD647">
        <v>1</v>
      </c>
      <c r="AE647" t="s">
        <v>53</v>
      </c>
      <c r="AF647">
        <v>57100</v>
      </c>
      <c r="AG647">
        <v>5710</v>
      </c>
      <c r="AH647">
        <v>5710</v>
      </c>
      <c r="AI647">
        <v>45680</v>
      </c>
      <c r="AJ647" t="s">
        <v>209</v>
      </c>
      <c r="AK647" t="s">
        <v>225</v>
      </c>
      <c r="AL647">
        <v>2014</v>
      </c>
      <c r="AM647" t="s">
        <v>82</v>
      </c>
      <c r="AN647" s="2">
        <f t="shared" si="70"/>
        <v>49.670314375685038</v>
      </c>
      <c r="AO647">
        <f t="shared" si="71"/>
        <v>-55951.42</v>
      </c>
      <c r="AP647" s="2">
        <f t="shared" si="72"/>
        <v>2.0114884152641808E-2</v>
      </c>
      <c r="AQ647" s="2">
        <f t="shared" si="76"/>
        <v>1</v>
      </c>
      <c r="AR647">
        <f t="shared" si="73"/>
        <v>249</v>
      </c>
      <c r="AS647" t="str">
        <f t="shared" si="74"/>
        <v>High Claim Ratio</v>
      </c>
      <c r="AT647" t="str">
        <f t="shared" si="75"/>
        <v>High Profit</v>
      </c>
    </row>
    <row r="648" spans="1:46" x14ac:dyDescent="0.2">
      <c r="A648">
        <v>169</v>
      </c>
      <c r="B648">
        <v>36</v>
      </c>
      <c r="C648">
        <v>607351</v>
      </c>
      <c r="D648" s="1">
        <v>36140</v>
      </c>
      <c r="E648" t="s">
        <v>57</v>
      </c>
      <c r="F648" t="s">
        <v>40</v>
      </c>
      <c r="G648">
        <v>500</v>
      </c>
      <c r="H648">
        <v>1616.26</v>
      </c>
      <c r="I648">
        <v>0</v>
      </c>
      <c r="J648">
        <v>617804</v>
      </c>
      <c r="K648" t="s">
        <v>41</v>
      </c>
      <c r="L648" t="s">
        <v>131</v>
      </c>
      <c r="M648" t="s">
        <v>125</v>
      </c>
      <c r="N648" t="s">
        <v>155</v>
      </c>
      <c r="O648" t="s">
        <v>85</v>
      </c>
      <c r="P648">
        <v>50700</v>
      </c>
      <c r="Q648">
        <v>-57600</v>
      </c>
      <c r="R648" s="1">
        <v>42044</v>
      </c>
      <c r="S648" t="s">
        <v>75</v>
      </c>
      <c r="T648" t="s">
        <v>86</v>
      </c>
      <c r="U648" t="s">
        <v>107</v>
      </c>
      <c r="V648" t="s">
        <v>136</v>
      </c>
      <c r="W648" t="s">
        <v>77</v>
      </c>
      <c r="X648" t="s">
        <v>102</v>
      </c>
      <c r="Y648" t="s">
        <v>825</v>
      </c>
      <c r="Z648">
        <v>0</v>
      </c>
      <c r="AA648">
        <v>3</v>
      </c>
      <c r="AB648" t="s">
        <v>79</v>
      </c>
      <c r="AC648">
        <v>2</v>
      </c>
      <c r="AD648">
        <v>3</v>
      </c>
      <c r="AE648" t="s">
        <v>62</v>
      </c>
      <c r="AF648">
        <v>77440</v>
      </c>
      <c r="AG648">
        <v>14080</v>
      </c>
      <c r="AH648">
        <v>7040</v>
      </c>
      <c r="AI648">
        <v>56320</v>
      </c>
      <c r="AJ648" t="s">
        <v>80</v>
      </c>
      <c r="AK648" t="s">
        <v>144</v>
      </c>
      <c r="AL648">
        <v>2004</v>
      </c>
      <c r="AM648" t="s">
        <v>82</v>
      </c>
      <c r="AN648" s="2">
        <f t="shared" si="70"/>
        <v>47.88345720539678</v>
      </c>
      <c r="AO648">
        <f t="shared" si="71"/>
        <v>-75823.740000000005</v>
      </c>
      <c r="AP648" s="2">
        <f t="shared" si="72"/>
        <v>2.0870856523030435E-2</v>
      </c>
      <c r="AQ648" s="2">
        <f t="shared" si="76"/>
        <v>11</v>
      </c>
      <c r="AR648">
        <f t="shared" si="73"/>
        <v>169</v>
      </c>
      <c r="AS648" t="str">
        <f t="shared" si="74"/>
        <v>High Claim Ratio</v>
      </c>
      <c r="AT648" t="str">
        <f t="shared" si="75"/>
        <v>High Profit</v>
      </c>
    </row>
    <row r="649" spans="1:46" x14ac:dyDescent="0.2">
      <c r="A649">
        <v>235</v>
      </c>
      <c r="B649">
        <v>40</v>
      </c>
      <c r="C649">
        <v>682754</v>
      </c>
      <c r="D649" s="1">
        <v>34981</v>
      </c>
      <c r="E649" t="s">
        <v>83</v>
      </c>
      <c r="F649" t="s">
        <v>91</v>
      </c>
      <c r="G649">
        <v>500</v>
      </c>
      <c r="H649">
        <v>1398.94</v>
      </c>
      <c r="I649">
        <v>0</v>
      </c>
      <c r="J649">
        <v>613399</v>
      </c>
      <c r="K649" t="s">
        <v>41</v>
      </c>
      <c r="L649" t="s">
        <v>141</v>
      </c>
      <c r="M649" t="s">
        <v>43</v>
      </c>
      <c r="N649" t="s">
        <v>98</v>
      </c>
      <c r="O649" t="s">
        <v>45</v>
      </c>
      <c r="P649">
        <v>0</v>
      </c>
      <c r="Q649">
        <v>0</v>
      </c>
      <c r="R649" s="1">
        <v>42028</v>
      </c>
      <c r="S649" t="s">
        <v>46</v>
      </c>
      <c r="T649" t="s">
        <v>47</v>
      </c>
      <c r="U649" t="s">
        <v>63</v>
      </c>
      <c r="V649" t="s">
        <v>136</v>
      </c>
      <c r="W649" t="s">
        <v>77</v>
      </c>
      <c r="X649" t="s">
        <v>65</v>
      </c>
      <c r="Y649" t="s">
        <v>826</v>
      </c>
      <c r="Z649">
        <v>11</v>
      </c>
      <c r="AA649">
        <v>1</v>
      </c>
      <c r="AB649" t="s">
        <v>79</v>
      </c>
      <c r="AC649">
        <v>1</v>
      </c>
      <c r="AD649">
        <v>2</v>
      </c>
      <c r="AE649" t="s">
        <v>79</v>
      </c>
      <c r="AF649">
        <v>68300</v>
      </c>
      <c r="AG649">
        <v>6830</v>
      </c>
      <c r="AH649">
        <v>13660</v>
      </c>
      <c r="AI649">
        <v>47810</v>
      </c>
      <c r="AJ649" t="s">
        <v>153</v>
      </c>
      <c r="AK649" t="s">
        <v>167</v>
      </c>
      <c r="AL649">
        <v>2003</v>
      </c>
      <c r="AM649" t="s">
        <v>82</v>
      </c>
      <c r="AN649" s="2">
        <f t="shared" si="70"/>
        <v>48.787805191651067</v>
      </c>
      <c r="AO649">
        <f t="shared" si="71"/>
        <v>-66901.06</v>
      </c>
      <c r="AP649" s="2">
        <f t="shared" si="72"/>
        <v>2.0481984158357856E-2</v>
      </c>
      <c r="AQ649" s="2">
        <f t="shared" si="76"/>
        <v>12</v>
      </c>
      <c r="AR649">
        <f t="shared" si="73"/>
        <v>235</v>
      </c>
      <c r="AS649" t="str">
        <f t="shared" si="74"/>
        <v>High Claim Ratio</v>
      </c>
      <c r="AT649" t="str">
        <f t="shared" si="75"/>
        <v>High Profit</v>
      </c>
    </row>
    <row r="650" spans="1:46" x14ac:dyDescent="0.2">
      <c r="A650">
        <v>112</v>
      </c>
      <c r="B650">
        <v>32</v>
      </c>
      <c r="C650">
        <v>757352</v>
      </c>
      <c r="D650" s="1">
        <v>36515</v>
      </c>
      <c r="E650" t="s">
        <v>39</v>
      </c>
      <c r="F650" t="s">
        <v>91</v>
      </c>
      <c r="G650">
        <v>1000</v>
      </c>
      <c r="H650">
        <v>1238.92</v>
      </c>
      <c r="I650">
        <v>0</v>
      </c>
      <c r="J650">
        <v>453400</v>
      </c>
      <c r="K650" t="s">
        <v>41</v>
      </c>
      <c r="L650" t="s">
        <v>92</v>
      </c>
      <c r="M650" t="s">
        <v>111</v>
      </c>
      <c r="N650" t="s">
        <v>106</v>
      </c>
      <c r="O650" t="s">
        <v>60</v>
      </c>
      <c r="P650">
        <v>57800</v>
      </c>
      <c r="Q650">
        <v>-53700</v>
      </c>
      <c r="R650" s="1">
        <v>42046</v>
      </c>
      <c r="S650" t="s">
        <v>138</v>
      </c>
      <c r="T650" t="s">
        <v>62</v>
      </c>
      <c r="U650" t="s">
        <v>212</v>
      </c>
      <c r="V650" t="s">
        <v>93</v>
      </c>
      <c r="W650" t="s">
        <v>77</v>
      </c>
      <c r="X650" t="s">
        <v>87</v>
      </c>
      <c r="Y650" t="s">
        <v>827</v>
      </c>
      <c r="Z650">
        <v>4</v>
      </c>
      <c r="AA650">
        <v>1</v>
      </c>
      <c r="AB650" t="s">
        <v>62</v>
      </c>
      <c r="AC650">
        <v>0</v>
      </c>
      <c r="AD650">
        <v>2</v>
      </c>
      <c r="AE650" t="s">
        <v>62</v>
      </c>
      <c r="AF650">
        <v>5060</v>
      </c>
      <c r="AG650">
        <v>460</v>
      </c>
      <c r="AH650">
        <v>920</v>
      </c>
      <c r="AI650">
        <v>3680</v>
      </c>
      <c r="AJ650" t="s">
        <v>209</v>
      </c>
      <c r="AK650" t="s">
        <v>225</v>
      </c>
      <c r="AL650">
        <v>2012</v>
      </c>
      <c r="AM650" t="s">
        <v>82</v>
      </c>
      <c r="AN650" s="2">
        <f t="shared" si="70"/>
        <v>4.0809084457061742</v>
      </c>
      <c r="AO650">
        <f t="shared" si="71"/>
        <v>-3821.08</v>
      </c>
      <c r="AP650" s="2">
        <f t="shared" si="72"/>
        <v>0.24479747085556217</v>
      </c>
      <c r="AQ650" s="2">
        <f t="shared" si="76"/>
        <v>3</v>
      </c>
      <c r="AR650">
        <f t="shared" si="73"/>
        <v>112</v>
      </c>
      <c r="AS650" t="str">
        <f t="shared" si="74"/>
        <v>Low Claim Ratio</v>
      </c>
      <c r="AT650" t="str">
        <f t="shared" si="75"/>
        <v>Low Profit</v>
      </c>
    </row>
    <row r="651" spans="1:46" x14ac:dyDescent="0.2">
      <c r="A651">
        <v>16</v>
      </c>
      <c r="B651">
        <v>32</v>
      </c>
      <c r="C651">
        <v>307469</v>
      </c>
      <c r="D651" s="1">
        <v>37465</v>
      </c>
      <c r="E651" t="s">
        <v>83</v>
      </c>
      <c r="F651" t="s">
        <v>69</v>
      </c>
      <c r="G651">
        <v>1000</v>
      </c>
      <c r="H651">
        <v>968.46</v>
      </c>
      <c r="I651">
        <v>0</v>
      </c>
      <c r="J651">
        <v>615767</v>
      </c>
      <c r="K651" t="s">
        <v>41</v>
      </c>
      <c r="L651" t="s">
        <v>42</v>
      </c>
      <c r="M651" t="s">
        <v>97</v>
      </c>
      <c r="N651" t="s">
        <v>168</v>
      </c>
      <c r="O651" t="s">
        <v>142</v>
      </c>
      <c r="P651">
        <v>50800</v>
      </c>
      <c r="Q651">
        <v>-66200</v>
      </c>
      <c r="R651" s="1">
        <v>42031</v>
      </c>
      <c r="S651" t="s">
        <v>75</v>
      </c>
      <c r="T651" t="s">
        <v>47</v>
      </c>
      <c r="U651" t="s">
        <v>107</v>
      </c>
      <c r="V651" t="s">
        <v>136</v>
      </c>
      <c r="W651" t="s">
        <v>113</v>
      </c>
      <c r="X651" t="s">
        <v>51</v>
      </c>
      <c r="Y651" t="s">
        <v>828</v>
      </c>
      <c r="Z651">
        <v>0</v>
      </c>
      <c r="AA651">
        <v>3</v>
      </c>
      <c r="AB651" t="s">
        <v>62</v>
      </c>
      <c r="AC651">
        <v>0</v>
      </c>
      <c r="AD651">
        <v>2</v>
      </c>
      <c r="AE651" t="s">
        <v>62</v>
      </c>
      <c r="AF651">
        <v>59400</v>
      </c>
      <c r="AG651">
        <v>6600</v>
      </c>
      <c r="AH651">
        <v>13200</v>
      </c>
      <c r="AI651">
        <v>39600</v>
      </c>
      <c r="AJ651" t="s">
        <v>80</v>
      </c>
      <c r="AK651" t="s">
        <v>81</v>
      </c>
      <c r="AL651">
        <v>1995</v>
      </c>
      <c r="AM651" t="s">
        <v>56</v>
      </c>
      <c r="AN651" s="2">
        <f t="shared" si="70"/>
        <v>61.271223155158538</v>
      </c>
      <c r="AO651">
        <f t="shared" si="71"/>
        <v>-58431.54</v>
      </c>
      <c r="AP651" s="2">
        <f t="shared" si="72"/>
        <v>1.6303765929866501E-2</v>
      </c>
      <c r="AQ651" s="2">
        <f t="shared" si="76"/>
        <v>20</v>
      </c>
      <c r="AR651">
        <f t="shared" si="73"/>
        <v>16</v>
      </c>
      <c r="AS651" t="str">
        <f t="shared" si="74"/>
        <v>High Claim Ratio</v>
      </c>
      <c r="AT651" t="str">
        <f t="shared" si="75"/>
        <v>High Profit</v>
      </c>
    </row>
    <row r="652" spans="1:46" x14ac:dyDescent="0.2">
      <c r="A652">
        <v>128</v>
      </c>
      <c r="B652">
        <v>31</v>
      </c>
      <c r="C652">
        <v>526296</v>
      </c>
      <c r="D652" s="1">
        <v>34184</v>
      </c>
      <c r="E652" t="s">
        <v>83</v>
      </c>
      <c r="F652" t="s">
        <v>69</v>
      </c>
      <c r="G652">
        <v>500</v>
      </c>
      <c r="H652">
        <v>1045.1199999999999</v>
      </c>
      <c r="I652">
        <v>0</v>
      </c>
      <c r="J652">
        <v>615311</v>
      </c>
      <c r="K652" t="s">
        <v>70</v>
      </c>
      <c r="L652" t="s">
        <v>131</v>
      </c>
      <c r="M652" t="s">
        <v>145</v>
      </c>
      <c r="N652" t="s">
        <v>242</v>
      </c>
      <c r="O652" t="s">
        <v>60</v>
      </c>
      <c r="P652">
        <v>0</v>
      </c>
      <c r="Q652">
        <v>-28300</v>
      </c>
      <c r="R652" s="1">
        <v>42023</v>
      </c>
      <c r="S652" t="s">
        <v>75</v>
      </c>
      <c r="T652" t="s">
        <v>47</v>
      </c>
      <c r="U652" t="s">
        <v>48</v>
      </c>
      <c r="V652" t="s">
        <v>136</v>
      </c>
      <c r="W652" t="s">
        <v>77</v>
      </c>
      <c r="X652" t="s">
        <v>102</v>
      </c>
      <c r="Y652" t="s">
        <v>829</v>
      </c>
      <c r="Z652">
        <v>2</v>
      </c>
      <c r="AA652">
        <v>3</v>
      </c>
      <c r="AB652" t="s">
        <v>79</v>
      </c>
      <c r="AC652">
        <v>0</v>
      </c>
      <c r="AD652">
        <v>2</v>
      </c>
      <c r="AE652" t="s">
        <v>62</v>
      </c>
      <c r="AF652">
        <v>69930</v>
      </c>
      <c r="AG652">
        <v>0</v>
      </c>
      <c r="AH652">
        <v>15540</v>
      </c>
      <c r="AI652">
        <v>54390</v>
      </c>
      <c r="AJ652" t="s">
        <v>129</v>
      </c>
      <c r="AK652" t="s">
        <v>172</v>
      </c>
      <c r="AL652">
        <v>2013</v>
      </c>
      <c r="AM652" t="s">
        <v>56</v>
      </c>
      <c r="AN652" s="2">
        <f t="shared" si="70"/>
        <v>66.847015638741254</v>
      </c>
      <c r="AO652">
        <f t="shared" si="71"/>
        <v>-68884.88</v>
      </c>
      <c r="AP652" s="2">
        <f t="shared" si="72"/>
        <v>1.4945017231270823E-2</v>
      </c>
      <c r="AQ652" s="2">
        <f t="shared" si="76"/>
        <v>2</v>
      </c>
      <c r="AR652">
        <f t="shared" si="73"/>
        <v>128</v>
      </c>
      <c r="AS652" t="str">
        <f t="shared" si="74"/>
        <v>High Claim Ratio</v>
      </c>
      <c r="AT652" t="str">
        <f t="shared" si="75"/>
        <v>High Profit</v>
      </c>
    </row>
    <row r="653" spans="1:46" x14ac:dyDescent="0.2">
      <c r="A653">
        <v>103</v>
      </c>
      <c r="B653">
        <v>27</v>
      </c>
      <c r="C653">
        <v>658816</v>
      </c>
      <c r="D653" s="1">
        <v>39432</v>
      </c>
      <c r="E653" t="s">
        <v>57</v>
      </c>
      <c r="F653" t="s">
        <v>69</v>
      </c>
      <c r="G653">
        <v>1000</v>
      </c>
      <c r="H653">
        <v>1537.33</v>
      </c>
      <c r="I653">
        <v>0</v>
      </c>
      <c r="J653">
        <v>468470</v>
      </c>
      <c r="K653" t="s">
        <v>70</v>
      </c>
      <c r="L653" t="s">
        <v>141</v>
      </c>
      <c r="M653" t="s">
        <v>159</v>
      </c>
      <c r="N653" t="s">
        <v>73</v>
      </c>
      <c r="O653" t="s">
        <v>45</v>
      </c>
      <c r="P653">
        <v>0</v>
      </c>
      <c r="Q653">
        <v>-74800</v>
      </c>
      <c r="R653" s="1">
        <v>42055</v>
      </c>
      <c r="S653" t="s">
        <v>75</v>
      </c>
      <c r="T653" t="s">
        <v>86</v>
      </c>
      <c r="U653" t="s">
        <v>63</v>
      </c>
      <c r="V653" t="s">
        <v>49</v>
      </c>
      <c r="W653" t="s">
        <v>77</v>
      </c>
      <c r="X653" t="s">
        <v>102</v>
      </c>
      <c r="Y653" t="s">
        <v>830</v>
      </c>
      <c r="Z653">
        <v>11</v>
      </c>
      <c r="AA653">
        <v>3</v>
      </c>
      <c r="AB653" t="s">
        <v>53</v>
      </c>
      <c r="AC653">
        <v>1</v>
      </c>
      <c r="AD653">
        <v>1</v>
      </c>
      <c r="AE653" t="s">
        <v>79</v>
      </c>
      <c r="AF653">
        <v>77700</v>
      </c>
      <c r="AG653">
        <v>7770</v>
      </c>
      <c r="AH653">
        <v>15540</v>
      </c>
      <c r="AI653">
        <v>54390</v>
      </c>
      <c r="AJ653" t="s">
        <v>197</v>
      </c>
      <c r="AK653" t="s">
        <v>198</v>
      </c>
      <c r="AL653">
        <v>2008</v>
      </c>
      <c r="AM653" t="s">
        <v>82</v>
      </c>
      <c r="AN653" s="2">
        <f t="shared" si="70"/>
        <v>50.509318546735749</v>
      </c>
      <c r="AO653">
        <f t="shared" si="71"/>
        <v>-76162.67</v>
      </c>
      <c r="AP653" s="2">
        <f t="shared" si="72"/>
        <v>1.9785202249649296E-2</v>
      </c>
      <c r="AQ653" s="2">
        <f t="shared" si="76"/>
        <v>7</v>
      </c>
      <c r="AR653">
        <f t="shared" si="73"/>
        <v>103</v>
      </c>
      <c r="AS653" t="str">
        <f t="shared" si="74"/>
        <v>High Claim Ratio</v>
      </c>
      <c r="AT653" t="str">
        <f t="shared" si="75"/>
        <v>High Profit</v>
      </c>
    </row>
    <row r="654" spans="1:46" x14ac:dyDescent="0.2">
      <c r="A654">
        <v>356</v>
      </c>
      <c r="B654">
        <v>54</v>
      </c>
      <c r="C654">
        <v>913337</v>
      </c>
      <c r="D654" s="1">
        <v>39488</v>
      </c>
      <c r="E654" t="s">
        <v>39</v>
      </c>
      <c r="F654" t="s">
        <v>91</v>
      </c>
      <c r="G654">
        <v>500</v>
      </c>
      <c r="H654">
        <v>912.3</v>
      </c>
      <c r="I654">
        <v>0</v>
      </c>
      <c r="J654">
        <v>461383</v>
      </c>
      <c r="K654" t="s">
        <v>41</v>
      </c>
      <c r="L654" t="s">
        <v>141</v>
      </c>
      <c r="M654" t="s">
        <v>101</v>
      </c>
      <c r="N654" t="s">
        <v>155</v>
      </c>
      <c r="O654" t="s">
        <v>119</v>
      </c>
      <c r="P654">
        <v>58500</v>
      </c>
      <c r="Q654">
        <v>-44000</v>
      </c>
      <c r="R654" s="1">
        <v>42014</v>
      </c>
      <c r="S654" t="s">
        <v>75</v>
      </c>
      <c r="T654" t="s">
        <v>86</v>
      </c>
      <c r="U654" t="s">
        <v>48</v>
      </c>
      <c r="V654" t="s">
        <v>120</v>
      </c>
      <c r="W654" t="s">
        <v>50</v>
      </c>
      <c r="X654" t="s">
        <v>127</v>
      </c>
      <c r="Y654" t="s">
        <v>831</v>
      </c>
      <c r="Z654">
        <v>23</v>
      </c>
      <c r="AA654">
        <v>3</v>
      </c>
      <c r="AB654" t="s">
        <v>79</v>
      </c>
      <c r="AC654">
        <v>2</v>
      </c>
      <c r="AD654">
        <v>1</v>
      </c>
      <c r="AE654" t="s">
        <v>62</v>
      </c>
      <c r="AF654">
        <v>68750</v>
      </c>
      <c r="AG654">
        <v>12500</v>
      </c>
      <c r="AH654">
        <v>12500</v>
      </c>
      <c r="AI654">
        <v>43750</v>
      </c>
      <c r="AJ654" t="s">
        <v>109</v>
      </c>
      <c r="AK654" t="s">
        <v>110</v>
      </c>
      <c r="AL654">
        <v>2007</v>
      </c>
      <c r="AM654" t="s">
        <v>56</v>
      </c>
      <c r="AN654" s="2">
        <f t="shared" si="70"/>
        <v>75.276469944158549</v>
      </c>
      <c r="AO654">
        <f t="shared" si="71"/>
        <v>-67837.7</v>
      </c>
      <c r="AP654" s="2">
        <f t="shared" si="72"/>
        <v>1.3269625169088448E-2</v>
      </c>
      <c r="AQ654" s="2">
        <f t="shared" si="76"/>
        <v>8</v>
      </c>
      <c r="AR654">
        <f t="shared" si="73"/>
        <v>356</v>
      </c>
      <c r="AS654" t="str">
        <f t="shared" si="74"/>
        <v>High Claim Ratio</v>
      </c>
      <c r="AT654" t="str">
        <f t="shared" si="75"/>
        <v>High Profit</v>
      </c>
    </row>
    <row r="655" spans="1:46" x14ac:dyDescent="0.2">
      <c r="A655">
        <v>109</v>
      </c>
      <c r="B655">
        <v>29</v>
      </c>
      <c r="C655">
        <v>488464</v>
      </c>
      <c r="D655" s="1">
        <v>38991</v>
      </c>
      <c r="E655" t="s">
        <v>39</v>
      </c>
      <c r="F655" t="s">
        <v>69</v>
      </c>
      <c r="G655">
        <v>2000</v>
      </c>
      <c r="H655">
        <v>1007.28</v>
      </c>
      <c r="I655">
        <v>6000000</v>
      </c>
      <c r="J655">
        <v>457727</v>
      </c>
      <c r="K655" t="s">
        <v>70</v>
      </c>
      <c r="L655" t="s">
        <v>131</v>
      </c>
      <c r="M655" t="s">
        <v>185</v>
      </c>
      <c r="N655" t="s">
        <v>146</v>
      </c>
      <c r="O655" t="s">
        <v>45</v>
      </c>
      <c r="P655">
        <v>0</v>
      </c>
      <c r="Q655">
        <v>0</v>
      </c>
      <c r="R655" s="1">
        <v>42056</v>
      </c>
      <c r="S655" t="s">
        <v>75</v>
      </c>
      <c r="T655" t="s">
        <v>47</v>
      </c>
      <c r="U655" t="s">
        <v>63</v>
      </c>
      <c r="V655" t="s">
        <v>49</v>
      </c>
      <c r="W655" t="s">
        <v>77</v>
      </c>
      <c r="X655" t="s">
        <v>65</v>
      </c>
      <c r="Y655" t="s">
        <v>832</v>
      </c>
      <c r="Z655">
        <v>17</v>
      </c>
      <c r="AA655">
        <v>3</v>
      </c>
      <c r="AB655" t="s">
        <v>79</v>
      </c>
      <c r="AC655">
        <v>1</v>
      </c>
      <c r="AD655">
        <v>3</v>
      </c>
      <c r="AE655" t="s">
        <v>53</v>
      </c>
      <c r="AF655">
        <v>91080</v>
      </c>
      <c r="AG655">
        <v>16560</v>
      </c>
      <c r="AH655">
        <v>16560</v>
      </c>
      <c r="AI655">
        <v>57960</v>
      </c>
      <c r="AJ655" t="s">
        <v>197</v>
      </c>
      <c r="AK655" t="s">
        <v>198</v>
      </c>
      <c r="AL655">
        <v>1995</v>
      </c>
      <c r="AM655" t="s">
        <v>82</v>
      </c>
      <c r="AN655" s="2">
        <f t="shared" si="70"/>
        <v>90.332050620859292</v>
      </c>
      <c r="AO655">
        <f t="shared" si="71"/>
        <v>-90072.72</v>
      </c>
      <c r="AP655" s="2">
        <f t="shared" si="72"/>
        <v>1.1059167114985563E-2</v>
      </c>
      <c r="AQ655" s="2">
        <f t="shared" si="76"/>
        <v>20</v>
      </c>
      <c r="AR655">
        <f t="shared" si="73"/>
        <v>109</v>
      </c>
      <c r="AS655" t="str">
        <f t="shared" si="74"/>
        <v>High Claim Ratio</v>
      </c>
      <c r="AT655" t="str">
        <f t="shared" si="75"/>
        <v>High Profit</v>
      </c>
    </row>
    <row r="656" spans="1:46" x14ac:dyDescent="0.2">
      <c r="A656">
        <v>2</v>
      </c>
      <c r="B656">
        <v>20</v>
      </c>
      <c r="C656">
        <v>480094</v>
      </c>
      <c r="D656" s="1">
        <v>37689</v>
      </c>
      <c r="E656" t="s">
        <v>57</v>
      </c>
      <c r="F656" t="s">
        <v>91</v>
      </c>
      <c r="G656">
        <v>1000</v>
      </c>
      <c r="H656">
        <v>1189.98</v>
      </c>
      <c r="I656">
        <v>4000000</v>
      </c>
      <c r="J656">
        <v>613327</v>
      </c>
      <c r="K656" t="s">
        <v>70</v>
      </c>
      <c r="L656" t="s">
        <v>131</v>
      </c>
      <c r="M656" t="s">
        <v>43</v>
      </c>
      <c r="N656" t="s">
        <v>112</v>
      </c>
      <c r="O656" t="s">
        <v>60</v>
      </c>
      <c r="P656">
        <v>0</v>
      </c>
      <c r="Q656">
        <v>-54700</v>
      </c>
      <c r="R656" s="1">
        <v>42036</v>
      </c>
      <c r="S656" t="s">
        <v>46</v>
      </c>
      <c r="T656" t="s">
        <v>47</v>
      </c>
      <c r="U656" t="s">
        <v>63</v>
      </c>
      <c r="V656" t="s">
        <v>120</v>
      </c>
      <c r="W656" t="s">
        <v>113</v>
      </c>
      <c r="X656" t="s">
        <v>51</v>
      </c>
      <c r="Y656" t="s">
        <v>833</v>
      </c>
      <c r="Z656">
        <v>22</v>
      </c>
      <c r="AA656">
        <v>1</v>
      </c>
      <c r="AB656" t="s">
        <v>79</v>
      </c>
      <c r="AC656">
        <v>1</v>
      </c>
      <c r="AD656">
        <v>3</v>
      </c>
      <c r="AE656" t="s">
        <v>53</v>
      </c>
      <c r="AF656">
        <v>48360</v>
      </c>
      <c r="AG656">
        <v>4030</v>
      </c>
      <c r="AH656">
        <v>8060</v>
      </c>
      <c r="AI656">
        <v>36270</v>
      </c>
      <c r="AJ656" t="s">
        <v>109</v>
      </c>
      <c r="AK656" t="s">
        <v>110</v>
      </c>
      <c r="AL656">
        <v>2000</v>
      </c>
      <c r="AM656" t="s">
        <v>82</v>
      </c>
      <c r="AN656" s="2">
        <f t="shared" si="70"/>
        <v>40.605215872642695</v>
      </c>
      <c r="AO656">
        <f t="shared" si="71"/>
        <v>-47170.02</v>
      </c>
      <c r="AP656" s="2">
        <f t="shared" si="72"/>
        <v>2.4606190938979755E-2</v>
      </c>
      <c r="AQ656" s="2">
        <f t="shared" si="76"/>
        <v>15</v>
      </c>
      <c r="AR656">
        <f t="shared" si="73"/>
        <v>2</v>
      </c>
      <c r="AS656" t="str">
        <f t="shared" si="74"/>
        <v>High Claim Ratio</v>
      </c>
      <c r="AT656" t="str">
        <f t="shared" si="75"/>
        <v>High Profit</v>
      </c>
    </row>
    <row r="657" spans="1:46" x14ac:dyDescent="0.2">
      <c r="A657">
        <v>198</v>
      </c>
      <c r="B657">
        <v>34</v>
      </c>
      <c r="C657">
        <v>263108</v>
      </c>
      <c r="D657" s="1">
        <v>37770</v>
      </c>
      <c r="E657" t="s">
        <v>39</v>
      </c>
      <c r="F657" t="s">
        <v>40</v>
      </c>
      <c r="G657">
        <v>1000</v>
      </c>
      <c r="H657">
        <v>1576.41</v>
      </c>
      <c r="I657">
        <v>0</v>
      </c>
      <c r="J657">
        <v>614941</v>
      </c>
      <c r="K657" t="s">
        <v>41</v>
      </c>
      <c r="L657" t="s">
        <v>92</v>
      </c>
      <c r="M657" t="s">
        <v>159</v>
      </c>
      <c r="N657" t="s">
        <v>170</v>
      </c>
      <c r="O657" t="s">
        <v>60</v>
      </c>
      <c r="P657">
        <v>0</v>
      </c>
      <c r="Q657">
        <v>-55100</v>
      </c>
      <c r="R657" s="1">
        <v>42060</v>
      </c>
      <c r="S657" t="s">
        <v>46</v>
      </c>
      <c r="T657" t="s">
        <v>47</v>
      </c>
      <c r="U657" t="s">
        <v>48</v>
      </c>
      <c r="V657" t="s">
        <v>120</v>
      </c>
      <c r="W657" t="s">
        <v>113</v>
      </c>
      <c r="X657" t="s">
        <v>122</v>
      </c>
      <c r="Y657" t="s">
        <v>834</v>
      </c>
      <c r="Z657">
        <v>18</v>
      </c>
      <c r="AA657">
        <v>1</v>
      </c>
      <c r="AB657" t="s">
        <v>53</v>
      </c>
      <c r="AC657">
        <v>1</v>
      </c>
      <c r="AD657">
        <v>1</v>
      </c>
      <c r="AE657" t="s">
        <v>53</v>
      </c>
      <c r="AF657">
        <v>95000</v>
      </c>
      <c r="AG657">
        <v>9500</v>
      </c>
      <c r="AH657">
        <v>9500</v>
      </c>
      <c r="AI657">
        <v>76000</v>
      </c>
      <c r="AJ657" t="s">
        <v>129</v>
      </c>
      <c r="AK657" t="s">
        <v>130</v>
      </c>
      <c r="AL657">
        <v>2001</v>
      </c>
      <c r="AM657" t="s">
        <v>82</v>
      </c>
      <c r="AN657" s="2">
        <f t="shared" si="70"/>
        <v>60.225306039647265</v>
      </c>
      <c r="AO657">
        <f t="shared" si="71"/>
        <v>-93423.59</v>
      </c>
      <c r="AP657" s="2">
        <f t="shared" si="72"/>
        <v>1.6593614804054694E-2</v>
      </c>
      <c r="AQ657" s="2">
        <f t="shared" si="76"/>
        <v>14</v>
      </c>
      <c r="AR657">
        <f t="shared" si="73"/>
        <v>198</v>
      </c>
      <c r="AS657" t="str">
        <f t="shared" si="74"/>
        <v>High Claim Ratio</v>
      </c>
      <c r="AT657" t="str">
        <f t="shared" si="75"/>
        <v>High Profit</v>
      </c>
    </row>
    <row r="658" spans="1:46" x14ac:dyDescent="0.2">
      <c r="A658">
        <v>107</v>
      </c>
      <c r="B658">
        <v>32</v>
      </c>
      <c r="C658">
        <v>298412</v>
      </c>
      <c r="D658" s="1">
        <v>37382</v>
      </c>
      <c r="E658" t="s">
        <v>39</v>
      </c>
      <c r="F658" t="s">
        <v>69</v>
      </c>
      <c r="G658">
        <v>500</v>
      </c>
      <c r="H658">
        <v>1172.82</v>
      </c>
      <c r="I658">
        <v>4000000</v>
      </c>
      <c r="J658">
        <v>440680</v>
      </c>
      <c r="K658" t="s">
        <v>41</v>
      </c>
      <c r="L658" t="s">
        <v>92</v>
      </c>
      <c r="M658" t="s">
        <v>58</v>
      </c>
      <c r="N658" t="s">
        <v>155</v>
      </c>
      <c r="O658" t="s">
        <v>60</v>
      </c>
      <c r="P658">
        <v>82100</v>
      </c>
      <c r="Q658">
        <v>0</v>
      </c>
      <c r="R658" s="1">
        <v>42059</v>
      </c>
      <c r="S658" t="s">
        <v>61</v>
      </c>
      <c r="T658" t="s">
        <v>62</v>
      </c>
      <c r="U658" t="s">
        <v>212</v>
      </c>
      <c r="V658" t="s">
        <v>49</v>
      </c>
      <c r="W658" t="s">
        <v>50</v>
      </c>
      <c r="X658" t="s">
        <v>87</v>
      </c>
      <c r="Y658" t="s">
        <v>835</v>
      </c>
      <c r="Z658">
        <v>8</v>
      </c>
      <c r="AA658">
        <v>1</v>
      </c>
      <c r="AB658" t="s">
        <v>62</v>
      </c>
      <c r="AC658">
        <v>1</v>
      </c>
      <c r="AD658">
        <v>3</v>
      </c>
      <c r="AE658" t="s">
        <v>79</v>
      </c>
      <c r="AF658">
        <v>3900</v>
      </c>
      <c r="AG658">
        <v>780</v>
      </c>
      <c r="AH658">
        <v>390</v>
      </c>
      <c r="AI658">
        <v>2730</v>
      </c>
      <c r="AJ658" t="s">
        <v>129</v>
      </c>
      <c r="AK658" t="s">
        <v>130</v>
      </c>
      <c r="AL658">
        <v>2010</v>
      </c>
      <c r="AM658" t="s">
        <v>82</v>
      </c>
      <c r="AN658" s="2">
        <f t="shared" si="70"/>
        <v>3.322485559966605</v>
      </c>
      <c r="AO658">
        <f t="shared" si="71"/>
        <v>-2727.1800000000003</v>
      </c>
      <c r="AP658" s="2">
        <f t="shared" si="72"/>
        <v>0.30064598820815175</v>
      </c>
      <c r="AQ658" s="2">
        <f t="shared" si="76"/>
        <v>5</v>
      </c>
      <c r="AR658">
        <f t="shared" si="73"/>
        <v>107</v>
      </c>
      <c r="AS658" t="str">
        <f t="shared" si="74"/>
        <v>Low Claim Ratio</v>
      </c>
      <c r="AT658" t="str">
        <f t="shared" si="75"/>
        <v>Low Profit</v>
      </c>
    </row>
    <row r="659" spans="1:46" x14ac:dyDescent="0.2">
      <c r="A659">
        <v>252</v>
      </c>
      <c r="B659">
        <v>39</v>
      </c>
      <c r="C659">
        <v>261905</v>
      </c>
      <c r="D659" s="1">
        <v>38045</v>
      </c>
      <c r="E659" t="s">
        <v>83</v>
      </c>
      <c r="F659" t="s">
        <v>91</v>
      </c>
      <c r="G659">
        <v>500</v>
      </c>
      <c r="H659">
        <v>1312.22</v>
      </c>
      <c r="I659">
        <v>9000000</v>
      </c>
      <c r="J659">
        <v>609949</v>
      </c>
      <c r="K659" t="s">
        <v>41</v>
      </c>
      <c r="L659" t="s">
        <v>131</v>
      </c>
      <c r="M659" t="s">
        <v>145</v>
      </c>
      <c r="N659" t="s">
        <v>242</v>
      </c>
      <c r="O659" t="s">
        <v>60</v>
      </c>
      <c r="P659">
        <v>0</v>
      </c>
      <c r="Q659">
        <v>-33300</v>
      </c>
      <c r="R659" s="1">
        <v>42056</v>
      </c>
      <c r="S659" t="s">
        <v>75</v>
      </c>
      <c r="T659" t="s">
        <v>86</v>
      </c>
      <c r="U659" t="s">
        <v>63</v>
      </c>
      <c r="V659" t="s">
        <v>120</v>
      </c>
      <c r="W659" t="s">
        <v>121</v>
      </c>
      <c r="X659" t="s">
        <v>65</v>
      </c>
      <c r="Y659" t="s">
        <v>836</v>
      </c>
      <c r="Z659">
        <v>15</v>
      </c>
      <c r="AA659">
        <v>3</v>
      </c>
      <c r="AB659" t="s">
        <v>62</v>
      </c>
      <c r="AC659">
        <v>0</v>
      </c>
      <c r="AD659">
        <v>3</v>
      </c>
      <c r="AE659" t="s">
        <v>79</v>
      </c>
      <c r="AF659">
        <v>59400</v>
      </c>
      <c r="AG659">
        <v>11880</v>
      </c>
      <c r="AH659">
        <v>5940</v>
      </c>
      <c r="AI659">
        <v>41580</v>
      </c>
      <c r="AJ659" t="s">
        <v>197</v>
      </c>
      <c r="AK659" t="s">
        <v>375</v>
      </c>
      <c r="AL659">
        <v>2010</v>
      </c>
      <c r="AM659" t="s">
        <v>56</v>
      </c>
      <c r="AN659" s="2">
        <f t="shared" si="70"/>
        <v>45.232329693425321</v>
      </c>
      <c r="AO659">
        <f t="shared" si="71"/>
        <v>-58087.78</v>
      </c>
      <c r="AP659" s="2">
        <f t="shared" si="72"/>
        <v>2.2090873891011935E-2</v>
      </c>
      <c r="AQ659" s="2">
        <f t="shared" si="76"/>
        <v>5</v>
      </c>
      <c r="AR659">
        <f t="shared" si="73"/>
        <v>252</v>
      </c>
      <c r="AS659" t="str">
        <f t="shared" si="74"/>
        <v>High Claim Ratio</v>
      </c>
      <c r="AT659" t="str">
        <f t="shared" si="75"/>
        <v>High Profit</v>
      </c>
    </row>
    <row r="660" spans="1:46" x14ac:dyDescent="0.2">
      <c r="A660">
        <v>303</v>
      </c>
      <c r="B660">
        <v>43</v>
      </c>
      <c r="C660">
        <v>674485</v>
      </c>
      <c r="D660" s="1">
        <v>36174</v>
      </c>
      <c r="E660" t="s">
        <v>39</v>
      </c>
      <c r="F660" t="s">
        <v>91</v>
      </c>
      <c r="G660">
        <v>1000</v>
      </c>
      <c r="H660">
        <v>671.01</v>
      </c>
      <c r="I660">
        <v>7000000</v>
      </c>
      <c r="J660">
        <v>479655</v>
      </c>
      <c r="K660" t="s">
        <v>70</v>
      </c>
      <c r="L660" t="s">
        <v>92</v>
      </c>
      <c r="M660" t="s">
        <v>58</v>
      </c>
      <c r="N660" t="s">
        <v>118</v>
      </c>
      <c r="O660" t="s">
        <v>60</v>
      </c>
      <c r="P660">
        <v>42900</v>
      </c>
      <c r="Q660">
        <v>-61500</v>
      </c>
      <c r="R660" s="1">
        <v>42012</v>
      </c>
      <c r="S660" t="s">
        <v>46</v>
      </c>
      <c r="T660" t="s">
        <v>76</v>
      </c>
      <c r="U660" t="s">
        <v>63</v>
      </c>
      <c r="V660" t="s">
        <v>99</v>
      </c>
      <c r="W660" t="s">
        <v>121</v>
      </c>
      <c r="X660" t="s">
        <v>102</v>
      </c>
      <c r="Y660" t="s">
        <v>837</v>
      </c>
      <c r="Z660">
        <v>20</v>
      </c>
      <c r="AA660">
        <v>1</v>
      </c>
      <c r="AB660" t="s">
        <v>62</v>
      </c>
      <c r="AC660">
        <v>2</v>
      </c>
      <c r="AD660">
        <v>0</v>
      </c>
      <c r="AE660" t="s">
        <v>62</v>
      </c>
      <c r="AF660">
        <v>60210</v>
      </c>
      <c r="AG660">
        <v>6690</v>
      </c>
      <c r="AH660">
        <v>6690</v>
      </c>
      <c r="AI660">
        <v>46830</v>
      </c>
      <c r="AJ660" t="s">
        <v>104</v>
      </c>
      <c r="AK660" t="s">
        <v>151</v>
      </c>
      <c r="AL660">
        <v>2013</v>
      </c>
      <c r="AM660" t="s">
        <v>82</v>
      </c>
      <c r="AN660" s="2">
        <f t="shared" si="70"/>
        <v>89.59688099879466</v>
      </c>
      <c r="AO660">
        <f t="shared" si="71"/>
        <v>-59538.99</v>
      </c>
      <c r="AP660" s="2">
        <f t="shared" si="72"/>
        <v>1.1144309179385827E-2</v>
      </c>
      <c r="AQ660" s="2">
        <f t="shared" si="76"/>
        <v>2</v>
      </c>
      <c r="AR660">
        <f t="shared" si="73"/>
        <v>303</v>
      </c>
      <c r="AS660" t="str">
        <f t="shared" si="74"/>
        <v>High Claim Ratio</v>
      </c>
      <c r="AT660" t="str">
        <f t="shared" si="75"/>
        <v>High Profit</v>
      </c>
    </row>
    <row r="661" spans="1:46" x14ac:dyDescent="0.2">
      <c r="A661">
        <v>101</v>
      </c>
      <c r="B661">
        <v>32</v>
      </c>
      <c r="C661">
        <v>223404</v>
      </c>
      <c r="D661" s="1">
        <v>37279</v>
      </c>
      <c r="E661" t="s">
        <v>83</v>
      </c>
      <c r="F661" t="s">
        <v>40</v>
      </c>
      <c r="G661">
        <v>500</v>
      </c>
      <c r="H661">
        <v>895.14</v>
      </c>
      <c r="I661">
        <v>0</v>
      </c>
      <c r="J661">
        <v>439964</v>
      </c>
      <c r="K661" t="s">
        <v>41</v>
      </c>
      <c r="L661" t="s">
        <v>161</v>
      </c>
      <c r="M661" t="s">
        <v>72</v>
      </c>
      <c r="N661" t="s">
        <v>181</v>
      </c>
      <c r="O661" t="s">
        <v>60</v>
      </c>
      <c r="P661">
        <v>52600</v>
      </c>
      <c r="Q661">
        <v>-30400</v>
      </c>
      <c r="R661" s="1">
        <v>42014</v>
      </c>
      <c r="S661" t="s">
        <v>46</v>
      </c>
      <c r="T661" t="s">
        <v>86</v>
      </c>
      <c r="U661" t="s">
        <v>63</v>
      </c>
      <c r="V661" t="s">
        <v>136</v>
      </c>
      <c r="W661" t="s">
        <v>50</v>
      </c>
      <c r="X661" t="s">
        <v>51</v>
      </c>
      <c r="Y661" t="s">
        <v>838</v>
      </c>
      <c r="Z661">
        <v>4</v>
      </c>
      <c r="AA661">
        <v>1</v>
      </c>
      <c r="AB661" t="s">
        <v>62</v>
      </c>
      <c r="AC661">
        <v>0</v>
      </c>
      <c r="AD661">
        <v>3</v>
      </c>
      <c r="AE661" t="s">
        <v>53</v>
      </c>
      <c r="AF661">
        <v>43600</v>
      </c>
      <c r="AG661">
        <v>8720</v>
      </c>
      <c r="AH661">
        <v>4360</v>
      </c>
      <c r="AI661">
        <v>30520</v>
      </c>
      <c r="AJ661" t="s">
        <v>153</v>
      </c>
      <c r="AK661" t="s">
        <v>154</v>
      </c>
      <c r="AL661">
        <v>2010</v>
      </c>
      <c r="AM661" t="s">
        <v>82</v>
      </c>
      <c r="AN661" s="2">
        <f t="shared" si="70"/>
        <v>48.653112236927264</v>
      </c>
      <c r="AO661">
        <f t="shared" si="71"/>
        <v>-42704.86</v>
      </c>
      <c r="AP661" s="2">
        <f t="shared" si="72"/>
        <v>2.0530263067360839E-2</v>
      </c>
      <c r="AQ661" s="2">
        <f t="shared" si="76"/>
        <v>5</v>
      </c>
      <c r="AR661">
        <f t="shared" si="73"/>
        <v>101</v>
      </c>
      <c r="AS661" t="str">
        <f t="shared" si="74"/>
        <v>High Claim Ratio</v>
      </c>
      <c r="AT661" t="str">
        <f t="shared" si="75"/>
        <v>High Profit</v>
      </c>
    </row>
    <row r="662" spans="1:46" x14ac:dyDescent="0.2">
      <c r="A662">
        <v>446</v>
      </c>
      <c r="B662">
        <v>57</v>
      </c>
      <c r="C662">
        <v>991480</v>
      </c>
      <c r="D662" s="1">
        <v>33947</v>
      </c>
      <c r="E662" t="s">
        <v>57</v>
      </c>
      <c r="F662" t="s">
        <v>69</v>
      </c>
      <c r="G662">
        <v>2000</v>
      </c>
      <c r="H662">
        <v>1373.21</v>
      </c>
      <c r="I662">
        <v>0</v>
      </c>
      <c r="J662">
        <v>478486</v>
      </c>
      <c r="K662" t="s">
        <v>41</v>
      </c>
      <c r="L662" t="s">
        <v>141</v>
      </c>
      <c r="M662" t="s">
        <v>185</v>
      </c>
      <c r="N662" t="s">
        <v>44</v>
      </c>
      <c r="O662" t="s">
        <v>85</v>
      </c>
      <c r="P662">
        <v>42700</v>
      </c>
      <c r="Q662">
        <v>-64900</v>
      </c>
      <c r="R662" s="1">
        <v>42049</v>
      </c>
      <c r="S662" t="s">
        <v>75</v>
      </c>
      <c r="T662" t="s">
        <v>86</v>
      </c>
      <c r="U662" t="s">
        <v>107</v>
      </c>
      <c r="V662" t="s">
        <v>49</v>
      </c>
      <c r="W662" t="s">
        <v>50</v>
      </c>
      <c r="X662" t="s">
        <v>156</v>
      </c>
      <c r="Y662" t="s">
        <v>839</v>
      </c>
      <c r="Z662">
        <v>10</v>
      </c>
      <c r="AA662">
        <v>3</v>
      </c>
      <c r="AB662" t="s">
        <v>79</v>
      </c>
      <c r="AC662">
        <v>0</v>
      </c>
      <c r="AD662">
        <v>0</v>
      </c>
      <c r="AE662" t="s">
        <v>79</v>
      </c>
      <c r="AF662">
        <v>62800</v>
      </c>
      <c r="AG662">
        <v>6280</v>
      </c>
      <c r="AH662">
        <v>12560</v>
      </c>
      <c r="AI662">
        <v>43960</v>
      </c>
      <c r="AJ662" t="s">
        <v>197</v>
      </c>
      <c r="AK662" t="s">
        <v>198</v>
      </c>
      <c r="AL662">
        <v>2012</v>
      </c>
      <c r="AM662" t="s">
        <v>82</v>
      </c>
      <c r="AN662" s="2">
        <f t="shared" si="70"/>
        <v>45.698983415926243</v>
      </c>
      <c r="AO662">
        <f t="shared" si="71"/>
        <v>-61426.79</v>
      </c>
      <c r="AP662" s="2">
        <f t="shared" si="72"/>
        <v>2.186605308832662E-2</v>
      </c>
      <c r="AQ662" s="2">
        <f t="shared" si="76"/>
        <v>3</v>
      </c>
      <c r="AR662">
        <f t="shared" si="73"/>
        <v>446</v>
      </c>
      <c r="AS662" t="str">
        <f t="shared" si="74"/>
        <v>High Claim Ratio</v>
      </c>
      <c r="AT662" t="str">
        <f t="shared" si="75"/>
        <v>High Profit</v>
      </c>
    </row>
    <row r="663" spans="1:46" x14ac:dyDescent="0.2">
      <c r="A663">
        <v>330</v>
      </c>
      <c r="B663">
        <v>48</v>
      </c>
      <c r="C663">
        <v>804219</v>
      </c>
      <c r="D663" s="1">
        <v>35970</v>
      </c>
      <c r="E663" t="s">
        <v>39</v>
      </c>
      <c r="F663" t="s">
        <v>40</v>
      </c>
      <c r="G663">
        <v>1000</v>
      </c>
      <c r="H663">
        <v>1625.65</v>
      </c>
      <c r="I663">
        <v>0</v>
      </c>
      <c r="J663">
        <v>466498</v>
      </c>
      <c r="K663" t="s">
        <v>41</v>
      </c>
      <c r="L663" t="s">
        <v>141</v>
      </c>
      <c r="M663" t="s">
        <v>189</v>
      </c>
      <c r="N663" t="s">
        <v>132</v>
      </c>
      <c r="O663" t="s">
        <v>45</v>
      </c>
      <c r="P663">
        <v>0</v>
      </c>
      <c r="Q663">
        <v>0</v>
      </c>
      <c r="R663" s="1">
        <v>42061</v>
      </c>
      <c r="S663" t="s">
        <v>46</v>
      </c>
      <c r="T663" t="s">
        <v>47</v>
      </c>
      <c r="U663" t="s">
        <v>48</v>
      </c>
      <c r="V663" t="s">
        <v>136</v>
      </c>
      <c r="W663" t="s">
        <v>64</v>
      </c>
      <c r="X663" t="s">
        <v>102</v>
      </c>
      <c r="Y663" t="s">
        <v>840</v>
      </c>
      <c r="Z663">
        <v>10</v>
      </c>
      <c r="AA663">
        <v>1</v>
      </c>
      <c r="AB663" t="s">
        <v>53</v>
      </c>
      <c r="AC663">
        <v>1</v>
      </c>
      <c r="AD663">
        <v>3</v>
      </c>
      <c r="AE663" t="s">
        <v>62</v>
      </c>
      <c r="AF663">
        <v>59500</v>
      </c>
      <c r="AG663">
        <v>11900</v>
      </c>
      <c r="AH663">
        <v>5950</v>
      </c>
      <c r="AI663">
        <v>41650</v>
      </c>
      <c r="AJ663" t="s">
        <v>80</v>
      </c>
      <c r="AK663" t="s">
        <v>144</v>
      </c>
      <c r="AL663">
        <v>2006</v>
      </c>
      <c r="AM663" t="s">
        <v>82</v>
      </c>
      <c r="AN663" s="2">
        <f t="shared" si="70"/>
        <v>36.578243629545383</v>
      </c>
      <c r="AO663">
        <f t="shared" si="71"/>
        <v>-57874.35</v>
      </c>
      <c r="AP663" s="2">
        <f t="shared" si="72"/>
        <v>2.7321389556478042E-2</v>
      </c>
      <c r="AQ663" s="2">
        <f t="shared" si="76"/>
        <v>9</v>
      </c>
      <c r="AR663">
        <f t="shared" si="73"/>
        <v>330</v>
      </c>
      <c r="AS663" t="str">
        <f t="shared" si="74"/>
        <v>High Claim Ratio</v>
      </c>
      <c r="AT663" t="str">
        <f t="shared" si="75"/>
        <v>High Profit</v>
      </c>
    </row>
    <row r="664" spans="1:46" x14ac:dyDescent="0.2">
      <c r="A664">
        <v>211</v>
      </c>
      <c r="B664">
        <v>37</v>
      </c>
      <c r="C664">
        <v>483088</v>
      </c>
      <c r="D664" s="1">
        <v>40549</v>
      </c>
      <c r="E664" t="s">
        <v>39</v>
      </c>
      <c r="F664" t="s">
        <v>40</v>
      </c>
      <c r="G664">
        <v>2000</v>
      </c>
      <c r="H664">
        <v>1295.6300000000001</v>
      </c>
      <c r="I664">
        <v>4000000</v>
      </c>
      <c r="J664">
        <v>430878</v>
      </c>
      <c r="K664" t="s">
        <v>70</v>
      </c>
      <c r="L664" t="s">
        <v>71</v>
      </c>
      <c r="M664" t="s">
        <v>84</v>
      </c>
      <c r="N664" t="s">
        <v>132</v>
      </c>
      <c r="O664" t="s">
        <v>142</v>
      </c>
      <c r="P664">
        <v>42200</v>
      </c>
      <c r="Q664">
        <v>-33800</v>
      </c>
      <c r="R664" s="1">
        <v>42034</v>
      </c>
      <c r="S664" t="s">
        <v>75</v>
      </c>
      <c r="T664" t="s">
        <v>86</v>
      </c>
      <c r="U664" t="s">
        <v>107</v>
      </c>
      <c r="V664" t="s">
        <v>49</v>
      </c>
      <c r="W664" t="s">
        <v>113</v>
      </c>
      <c r="X664" t="s">
        <v>127</v>
      </c>
      <c r="Y664" t="s">
        <v>841</v>
      </c>
      <c r="Z664">
        <v>22</v>
      </c>
      <c r="AA664">
        <v>3</v>
      </c>
      <c r="AB664" t="s">
        <v>53</v>
      </c>
      <c r="AC664">
        <v>1</v>
      </c>
      <c r="AD664">
        <v>0</v>
      </c>
      <c r="AE664" t="s">
        <v>62</v>
      </c>
      <c r="AF664">
        <v>53460</v>
      </c>
      <c r="AG664">
        <v>5940</v>
      </c>
      <c r="AH664">
        <v>5940</v>
      </c>
      <c r="AI664">
        <v>41580</v>
      </c>
      <c r="AJ664" t="s">
        <v>209</v>
      </c>
      <c r="AK664" t="s">
        <v>225</v>
      </c>
      <c r="AL664">
        <v>2009</v>
      </c>
      <c r="AM664" t="s">
        <v>82</v>
      </c>
      <c r="AN664" s="2">
        <f t="shared" si="70"/>
        <v>41.22995765947109</v>
      </c>
      <c r="AO664">
        <f t="shared" si="71"/>
        <v>-52164.37</v>
      </c>
      <c r="AP664" s="2">
        <f t="shared" si="72"/>
        <v>2.4235049849422947E-2</v>
      </c>
      <c r="AQ664" s="2">
        <f t="shared" si="76"/>
        <v>6</v>
      </c>
      <c r="AR664">
        <f t="shared" si="73"/>
        <v>211</v>
      </c>
      <c r="AS664" t="str">
        <f t="shared" si="74"/>
        <v>High Claim Ratio</v>
      </c>
      <c r="AT664" t="str">
        <f t="shared" si="75"/>
        <v>High Profit</v>
      </c>
    </row>
    <row r="665" spans="1:46" x14ac:dyDescent="0.2">
      <c r="A665">
        <v>172</v>
      </c>
      <c r="B665">
        <v>33</v>
      </c>
      <c r="C665">
        <v>100804</v>
      </c>
      <c r="D665" s="1">
        <v>40963</v>
      </c>
      <c r="E665" t="s">
        <v>83</v>
      </c>
      <c r="F665" t="s">
        <v>69</v>
      </c>
      <c r="G665">
        <v>1000</v>
      </c>
      <c r="H665">
        <v>1459.96</v>
      </c>
      <c r="I665">
        <v>6000000</v>
      </c>
      <c r="J665">
        <v>600127</v>
      </c>
      <c r="K665" t="s">
        <v>70</v>
      </c>
      <c r="L665" t="s">
        <v>131</v>
      </c>
      <c r="M665" t="s">
        <v>185</v>
      </c>
      <c r="N665" t="s">
        <v>59</v>
      </c>
      <c r="O665" t="s">
        <v>119</v>
      </c>
      <c r="P665">
        <v>41300</v>
      </c>
      <c r="Q665">
        <v>-42000</v>
      </c>
      <c r="R665" s="1">
        <v>42011</v>
      </c>
      <c r="S665" t="s">
        <v>75</v>
      </c>
      <c r="T665" t="s">
        <v>47</v>
      </c>
      <c r="U665" t="s">
        <v>107</v>
      </c>
      <c r="V665" t="s">
        <v>136</v>
      </c>
      <c r="W665" t="s">
        <v>77</v>
      </c>
      <c r="X665" t="s">
        <v>127</v>
      </c>
      <c r="Y665" t="s">
        <v>842</v>
      </c>
      <c r="Z665">
        <v>15</v>
      </c>
      <c r="AA665">
        <v>3</v>
      </c>
      <c r="AB665" t="s">
        <v>79</v>
      </c>
      <c r="AC665">
        <v>0</v>
      </c>
      <c r="AD665">
        <v>1</v>
      </c>
      <c r="AE665" t="s">
        <v>79</v>
      </c>
      <c r="AF665">
        <v>41690</v>
      </c>
      <c r="AG665">
        <v>7580</v>
      </c>
      <c r="AH665">
        <v>7580</v>
      </c>
      <c r="AI665">
        <v>26530</v>
      </c>
      <c r="AJ665" t="s">
        <v>54</v>
      </c>
      <c r="AK665">
        <v>95</v>
      </c>
      <c r="AL665">
        <v>1999</v>
      </c>
      <c r="AM665" t="s">
        <v>82</v>
      </c>
      <c r="AN665" s="2">
        <f t="shared" si="70"/>
        <v>28.536031102836489</v>
      </c>
      <c r="AO665">
        <f t="shared" si="71"/>
        <v>-40230.04</v>
      </c>
      <c r="AP665" s="2">
        <f t="shared" si="72"/>
        <v>3.5018589143939939E-2</v>
      </c>
      <c r="AQ665" s="2">
        <f t="shared" si="76"/>
        <v>16</v>
      </c>
      <c r="AR665">
        <f t="shared" si="73"/>
        <v>172</v>
      </c>
      <c r="AS665" t="str">
        <f t="shared" si="74"/>
        <v>High Claim Ratio</v>
      </c>
      <c r="AT665" t="str">
        <f t="shared" si="75"/>
        <v>High Profit</v>
      </c>
    </row>
    <row r="666" spans="1:46" x14ac:dyDescent="0.2">
      <c r="A666">
        <v>316</v>
      </c>
      <c r="B666">
        <v>46</v>
      </c>
      <c r="C666">
        <v>941807</v>
      </c>
      <c r="D666" s="1">
        <v>40719</v>
      </c>
      <c r="E666" t="s">
        <v>39</v>
      </c>
      <c r="F666" t="s">
        <v>69</v>
      </c>
      <c r="G666">
        <v>500</v>
      </c>
      <c r="H666">
        <v>1219.94</v>
      </c>
      <c r="I666">
        <v>7000000</v>
      </c>
      <c r="J666">
        <v>431968</v>
      </c>
      <c r="K666" t="s">
        <v>70</v>
      </c>
      <c r="L666" t="s">
        <v>124</v>
      </c>
      <c r="M666" t="s">
        <v>101</v>
      </c>
      <c r="N666" t="s">
        <v>165</v>
      </c>
      <c r="O666" t="s">
        <v>119</v>
      </c>
      <c r="P666">
        <v>0</v>
      </c>
      <c r="Q666">
        <v>-51000</v>
      </c>
      <c r="R666" s="1">
        <v>42062</v>
      </c>
      <c r="S666" t="s">
        <v>46</v>
      </c>
      <c r="T666" t="s">
        <v>47</v>
      </c>
      <c r="U666" t="s">
        <v>63</v>
      </c>
      <c r="V666" t="s">
        <v>136</v>
      </c>
      <c r="W666" t="s">
        <v>77</v>
      </c>
      <c r="X666" t="s">
        <v>87</v>
      </c>
      <c r="Y666" t="s">
        <v>843</v>
      </c>
      <c r="Z666">
        <v>13</v>
      </c>
      <c r="AA666">
        <v>1</v>
      </c>
      <c r="AB666" t="s">
        <v>62</v>
      </c>
      <c r="AC666">
        <v>0</v>
      </c>
      <c r="AD666">
        <v>1</v>
      </c>
      <c r="AE666" t="s">
        <v>53</v>
      </c>
      <c r="AF666">
        <v>63100</v>
      </c>
      <c r="AG666">
        <v>6310</v>
      </c>
      <c r="AH666">
        <v>12620</v>
      </c>
      <c r="AI666">
        <v>44170</v>
      </c>
      <c r="AJ666" t="s">
        <v>95</v>
      </c>
      <c r="AK666" t="s">
        <v>158</v>
      </c>
      <c r="AL666">
        <v>2000</v>
      </c>
      <c r="AM666" t="s">
        <v>82</v>
      </c>
      <c r="AN666" s="2">
        <f t="shared" si="70"/>
        <v>51.681491309974277</v>
      </c>
      <c r="AO666">
        <f t="shared" si="71"/>
        <v>-61880.06</v>
      </c>
      <c r="AP666" s="2">
        <f t="shared" si="72"/>
        <v>1.9333132596947751E-2</v>
      </c>
      <c r="AQ666" s="2">
        <f t="shared" si="76"/>
        <v>15</v>
      </c>
      <c r="AR666">
        <f t="shared" si="73"/>
        <v>316</v>
      </c>
      <c r="AS666" t="str">
        <f t="shared" si="74"/>
        <v>High Claim Ratio</v>
      </c>
      <c r="AT666" t="str">
        <f t="shared" si="75"/>
        <v>High Profit</v>
      </c>
    </row>
    <row r="667" spans="1:46" x14ac:dyDescent="0.2">
      <c r="A667">
        <v>435</v>
      </c>
      <c r="B667">
        <v>60</v>
      </c>
      <c r="C667">
        <v>593466</v>
      </c>
      <c r="D667" s="1">
        <v>39042</v>
      </c>
      <c r="E667" t="s">
        <v>39</v>
      </c>
      <c r="F667" t="s">
        <v>91</v>
      </c>
      <c r="G667">
        <v>500</v>
      </c>
      <c r="H667">
        <v>1064.49</v>
      </c>
      <c r="I667">
        <v>5000000</v>
      </c>
      <c r="J667">
        <v>462804</v>
      </c>
      <c r="K667" t="s">
        <v>41</v>
      </c>
      <c r="L667" t="s">
        <v>92</v>
      </c>
      <c r="M667" t="s">
        <v>117</v>
      </c>
      <c r="N667" t="s">
        <v>168</v>
      </c>
      <c r="O667" t="s">
        <v>60</v>
      </c>
      <c r="P667">
        <v>73500</v>
      </c>
      <c r="Q667">
        <v>-43300</v>
      </c>
      <c r="R667" s="1">
        <v>42048</v>
      </c>
      <c r="S667" t="s">
        <v>46</v>
      </c>
      <c r="T667" t="s">
        <v>86</v>
      </c>
      <c r="U667" t="s">
        <v>107</v>
      </c>
      <c r="V667" t="s">
        <v>136</v>
      </c>
      <c r="W667" t="s">
        <v>113</v>
      </c>
      <c r="X667" t="s">
        <v>87</v>
      </c>
      <c r="Y667" t="s">
        <v>844</v>
      </c>
      <c r="Z667">
        <v>23</v>
      </c>
      <c r="AA667">
        <v>1</v>
      </c>
      <c r="AB667" t="s">
        <v>79</v>
      </c>
      <c r="AC667">
        <v>2</v>
      </c>
      <c r="AD667">
        <v>1</v>
      </c>
      <c r="AE667" t="s">
        <v>62</v>
      </c>
      <c r="AF667">
        <v>62880</v>
      </c>
      <c r="AG667">
        <v>5240</v>
      </c>
      <c r="AH667">
        <v>10480</v>
      </c>
      <c r="AI667">
        <v>47160</v>
      </c>
      <c r="AJ667" t="s">
        <v>67</v>
      </c>
      <c r="AK667" t="s">
        <v>68</v>
      </c>
      <c r="AL667">
        <v>2007</v>
      </c>
      <c r="AM667" t="s">
        <v>56</v>
      </c>
      <c r="AN667" s="2">
        <f t="shared" si="70"/>
        <v>59.01510103332739</v>
      </c>
      <c r="AO667">
        <f t="shared" si="71"/>
        <v>-61815.51</v>
      </c>
      <c r="AP667" s="2">
        <f t="shared" si="72"/>
        <v>1.6928642992318825E-2</v>
      </c>
      <c r="AQ667" s="2">
        <f t="shared" si="76"/>
        <v>8</v>
      </c>
      <c r="AR667">
        <f t="shared" si="73"/>
        <v>435</v>
      </c>
      <c r="AS667" t="str">
        <f t="shared" si="74"/>
        <v>High Claim Ratio</v>
      </c>
      <c r="AT667" t="str">
        <f t="shared" si="75"/>
        <v>High Profit</v>
      </c>
    </row>
    <row r="668" spans="1:46" x14ac:dyDescent="0.2">
      <c r="A668">
        <v>344</v>
      </c>
      <c r="B668">
        <v>51</v>
      </c>
      <c r="C668">
        <v>437442</v>
      </c>
      <c r="D668" s="1">
        <v>39626</v>
      </c>
      <c r="E668" t="s">
        <v>83</v>
      </c>
      <c r="F668" t="s">
        <v>69</v>
      </c>
      <c r="G668">
        <v>1000</v>
      </c>
      <c r="H668">
        <v>959.83</v>
      </c>
      <c r="I668">
        <v>0</v>
      </c>
      <c r="J668">
        <v>435809</v>
      </c>
      <c r="K668" t="s">
        <v>70</v>
      </c>
      <c r="L668" t="s">
        <v>124</v>
      </c>
      <c r="M668" t="s">
        <v>72</v>
      </c>
      <c r="N668" t="s">
        <v>165</v>
      </c>
      <c r="O668" t="s">
        <v>142</v>
      </c>
      <c r="P668">
        <v>0</v>
      </c>
      <c r="Q668">
        <v>-38700</v>
      </c>
      <c r="R668" s="1">
        <v>42037</v>
      </c>
      <c r="S668" t="s">
        <v>75</v>
      </c>
      <c r="T668" t="s">
        <v>47</v>
      </c>
      <c r="U668" t="s">
        <v>48</v>
      </c>
      <c r="V668" t="s">
        <v>99</v>
      </c>
      <c r="W668" t="s">
        <v>77</v>
      </c>
      <c r="X668" t="s">
        <v>127</v>
      </c>
      <c r="Y668" t="s">
        <v>845</v>
      </c>
      <c r="Z668">
        <v>18</v>
      </c>
      <c r="AA668">
        <v>3</v>
      </c>
      <c r="AB668" t="s">
        <v>62</v>
      </c>
      <c r="AC668">
        <v>2</v>
      </c>
      <c r="AD668">
        <v>2</v>
      </c>
      <c r="AE668" t="s">
        <v>53</v>
      </c>
      <c r="AF668">
        <v>75400</v>
      </c>
      <c r="AG668">
        <v>17400</v>
      </c>
      <c r="AH668">
        <v>11600</v>
      </c>
      <c r="AI668">
        <v>46400</v>
      </c>
      <c r="AJ668" t="s">
        <v>187</v>
      </c>
      <c r="AK668" t="s">
        <v>238</v>
      </c>
      <c r="AL668">
        <v>2006</v>
      </c>
      <c r="AM668" t="s">
        <v>56</v>
      </c>
      <c r="AN668" s="2">
        <f t="shared" si="70"/>
        <v>78.473819510215122</v>
      </c>
      <c r="AO668">
        <f t="shared" si="71"/>
        <v>-74440.17</v>
      </c>
      <c r="AP668" s="2">
        <f t="shared" si="72"/>
        <v>1.2729672020264983E-2</v>
      </c>
      <c r="AQ668" s="2">
        <f t="shared" si="76"/>
        <v>9</v>
      </c>
      <c r="AR668">
        <f t="shared" si="73"/>
        <v>344</v>
      </c>
      <c r="AS668" t="str">
        <f t="shared" si="74"/>
        <v>High Claim Ratio</v>
      </c>
      <c r="AT668" t="str">
        <f t="shared" si="75"/>
        <v>High Profit</v>
      </c>
    </row>
    <row r="669" spans="1:46" x14ac:dyDescent="0.2">
      <c r="A669">
        <v>204</v>
      </c>
      <c r="B669">
        <v>40</v>
      </c>
      <c r="C669">
        <v>942106</v>
      </c>
      <c r="D669" s="1">
        <v>34211</v>
      </c>
      <c r="E669" t="s">
        <v>39</v>
      </c>
      <c r="F669" t="s">
        <v>40</v>
      </c>
      <c r="G669">
        <v>2000</v>
      </c>
      <c r="H669">
        <v>1767.02</v>
      </c>
      <c r="I669">
        <v>0</v>
      </c>
      <c r="J669">
        <v>453193</v>
      </c>
      <c r="K669" t="s">
        <v>41</v>
      </c>
      <c r="L669" t="s">
        <v>161</v>
      </c>
      <c r="M669" t="s">
        <v>58</v>
      </c>
      <c r="N669" t="s">
        <v>149</v>
      </c>
      <c r="O669" t="s">
        <v>45</v>
      </c>
      <c r="P669">
        <v>0</v>
      </c>
      <c r="Q669">
        <v>-49300</v>
      </c>
      <c r="R669" s="1">
        <v>42062</v>
      </c>
      <c r="S669" t="s">
        <v>46</v>
      </c>
      <c r="T669" t="s">
        <v>76</v>
      </c>
      <c r="U669" t="s">
        <v>107</v>
      </c>
      <c r="V669" t="s">
        <v>136</v>
      </c>
      <c r="W669" t="s">
        <v>50</v>
      </c>
      <c r="X669" t="s">
        <v>87</v>
      </c>
      <c r="Y669" t="s">
        <v>846</v>
      </c>
      <c r="Z669">
        <v>7</v>
      </c>
      <c r="AA669">
        <v>1</v>
      </c>
      <c r="AB669" t="s">
        <v>53</v>
      </c>
      <c r="AC669">
        <v>1</v>
      </c>
      <c r="AD669">
        <v>1</v>
      </c>
      <c r="AE669" t="s">
        <v>79</v>
      </c>
      <c r="AF669">
        <v>46200</v>
      </c>
      <c r="AG669">
        <v>4200</v>
      </c>
      <c r="AH669">
        <v>8400</v>
      </c>
      <c r="AI669">
        <v>33600</v>
      </c>
      <c r="AJ669" t="s">
        <v>109</v>
      </c>
      <c r="AK669" t="s">
        <v>110</v>
      </c>
      <c r="AL669">
        <v>1997</v>
      </c>
      <c r="AM669" t="s">
        <v>82</v>
      </c>
      <c r="AN669" s="2">
        <f t="shared" si="70"/>
        <v>26.13092612074524</v>
      </c>
      <c r="AO669">
        <f t="shared" si="71"/>
        <v>-44432.98</v>
      </c>
      <c r="AP669" s="2">
        <f t="shared" si="72"/>
        <v>3.8246358303932818E-2</v>
      </c>
      <c r="AQ669" s="2">
        <f t="shared" si="76"/>
        <v>18</v>
      </c>
      <c r="AR669">
        <f t="shared" si="73"/>
        <v>204</v>
      </c>
      <c r="AS669" t="str">
        <f t="shared" si="74"/>
        <v>High Claim Ratio</v>
      </c>
      <c r="AT669" t="str">
        <f t="shared" si="75"/>
        <v>High Profit</v>
      </c>
    </row>
    <row r="670" spans="1:46" x14ac:dyDescent="0.2">
      <c r="A670">
        <v>278</v>
      </c>
      <c r="B670">
        <v>47</v>
      </c>
      <c r="C670">
        <v>794951</v>
      </c>
      <c r="D670" s="1">
        <v>39559</v>
      </c>
      <c r="E670" t="s">
        <v>57</v>
      </c>
      <c r="F670" t="s">
        <v>91</v>
      </c>
      <c r="G670">
        <v>500</v>
      </c>
      <c r="H670">
        <v>1285.01</v>
      </c>
      <c r="I670">
        <v>0</v>
      </c>
      <c r="J670">
        <v>459630</v>
      </c>
      <c r="K670" t="s">
        <v>41</v>
      </c>
      <c r="L670" t="s">
        <v>124</v>
      </c>
      <c r="M670" t="s">
        <v>58</v>
      </c>
      <c r="N670" t="s">
        <v>44</v>
      </c>
      <c r="O670" t="s">
        <v>142</v>
      </c>
      <c r="P670">
        <v>0</v>
      </c>
      <c r="Q670">
        <v>-39800</v>
      </c>
      <c r="R670" s="1">
        <v>42037</v>
      </c>
      <c r="S670" t="s">
        <v>46</v>
      </c>
      <c r="T670" t="s">
        <v>76</v>
      </c>
      <c r="U670" t="s">
        <v>48</v>
      </c>
      <c r="V670" t="s">
        <v>136</v>
      </c>
      <c r="W670" t="s">
        <v>64</v>
      </c>
      <c r="X670" t="s">
        <v>122</v>
      </c>
      <c r="Y670" t="s">
        <v>847</v>
      </c>
      <c r="Z670">
        <v>21</v>
      </c>
      <c r="AA670">
        <v>1</v>
      </c>
      <c r="AB670" t="s">
        <v>79</v>
      </c>
      <c r="AC670">
        <v>2</v>
      </c>
      <c r="AD670">
        <v>2</v>
      </c>
      <c r="AE670" t="s">
        <v>53</v>
      </c>
      <c r="AF670">
        <v>58500</v>
      </c>
      <c r="AG670">
        <v>5850</v>
      </c>
      <c r="AH670">
        <v>5850</v>
      </c>
      <c r="AI670">
        <v>46800</v>
      </c>
      <c r="AJ670" t="s">
        <v>115</v>
      </c>
      <c r="AK670" t="s">
        <v>116</v>
      </c>
      <c r="AL670">
        <v>2010</v>
      </c>
      <c r="AM670" t="s">
        <v>82</v>
      </c>
      <c r="AN670" s="2">
        <f t="shared" si="70"/>
        <v>45.489537406396529</v>
      </c>
      <c r="AO670">
        <f t="shared" si="71"/>
        <v>-57214.99</v>
      </c>
      <c r="AP670" s="2">
        <f t="shared" si="72"/>
        <v>2.1965607425514094E-2</v>
      </c>
      <c r="AQ670" s="2">
        <f t="shared" si="76"/>
        <v>5</v>
      </c>
      <c r="AR670">
        <f t="shared" si="73"/>
        <v>278</v>
      </c>
      <c r="AS670" t="str">
        <f t="shared" si="74"/>
        <v>High Claim Ratio</v>
      </c>
      <c r="AT670" t="str">
        <f t="shared" si="75"/>
        <v>High Profit</v>
      </c>
    </row>
    <row r="671" spans="1:46" x14ac:dyDescent="0.2">
      <c r="A671">
        <v>434</v>
      </c>
      <c r="B671">
        <v>57</v>
      </c>
      <c r="C671">
        <v>182450</v>
      </c>
      <c r="D671" s="1">
        <v>36700</v>
      </c>
      <c r="E671" t="s">
        <v>39</v>
      </c>
      <c r="F671" t="s">
        <v>91</v>
      </c>
      <c r="G671">
        <v>2000</v>
      </c>
      <c r="H671">
        <v>1422.95</v>
      </c>
      <c r="I671">
        <v>0</v>
      </c>
      <c r="J671">
        <v>608982</v>
      </c>
      <c r="K671" t="s">
        <v>41</v>
      </c>
      <c r="L671" t="s">
        <v>161</v>
      </c>
      <c r="M671" t="s">
        <v>145</v>
      </c>
      <c r="N671" t="s">
        <v>98</v>
      </c>
      <c r="O671" t="s">
        <v>45</v>
      </c>
      <c r="P671">
        <v>0</v>
      </c>
      <c r="Q671">
        <v>0</v>
      </c>
      <c r="R671" s="1">
        <v>42021</v>
      </c>
      <c r="S671" t="s">
        <v>75</v>
      </c>
      <c r="T671" t="s">
        <v>76</v>
      </c>
      <c r="U671" t="s">
        <v>48</v>
      </c>
      <c r="V671" t="s">
        <v>120</v>
      </c>
      <c r="W671" t="s">
        <v>50</v>
      </c>
      <c r="X671" t="s">
        <v>51</v>
      </c>
      <c r="Y671" t="s">
        <v>848</v>
      </c>
      <c r="Z671">
        <v>15</v>
      </c>
      <c r="AA671">
        <v>3</v>
      </c>
      <c r="AB671" t="s">
        <v>79</v>
      </c>
      <c r="AC671">
        <v>1</v>
      </c>
      <c r="AD671">
        <v>3</v>
      </c>
      <c r="AE671" t="s">
        <v>79</v>
      </c>
      <c r="AF671">
        <v>66240</v>
      </c>
      <c r="AG671">
        <v>11040</v>
      </c>
      <c r="AH671">
        <v>11040</v>
      </c>
      <c r="AI671">
        <v>44160</v>
      </c>
      <c r="AJ671" t="s">
        <v>104</v>
      </c>
      <c r="AK671" t="s">
        <v>151</v>
      </c>
      <c r="AL671">
        <v>2003</v>
      </c>
      <c r="AM671" t="s">
        <v>82</v>
      </c>
      <c r="AN671" s="2">
        <f t="shared" si="70"/>
        <v>46.51848730643632</v>
      </c>
      <c r="AO671">
        <f t="shared" si="71"/>
        <v>-64817.05</v>
      </c>
      <c r="AP671" s="2">
        <f t="shared" si="72"/>
        <v>2.148140879515708E-2</v>
      </c>
      <c r="AQ671" s="2">
        <f t="shared" si="76"/>
        <v>12</v>
      </c>
      <c r="AR671">
        <f t="shared" si="73"/>
        <v>434</v>
      </c>
      <c r="AS671" t="str">
        <f t="shared" si="74"/>
        <v>High Claim Ratio</v>
      </c>
      <c r="AT671" t="str">
        <f t="shared" si="75"/>
        <v>High Profit</v>
      </c>
    </row>
    <row r="672" spans="1:46" x14ac:dyDescent="0.2">
      <c r="A672">
        <v>209</v>
      </c>
      <c r="B672">
        <v>36</v>
      </c>
      <c r="C672">
        <v>730973</v>
      </c>
      <c r="D672" s="1">
        <v>40189</v>
      </c>
      <c r="E672" t="s">
        <v>57</v>
      </c>
      <c r="F672" t="s">
        <v>69</v>
      </c>
      <c r="G672">
        <v>2000</v>
      </c>
      <c r="H672">
        <v>1223.3900000000001</v>
      </c>
      <c r="I672">
        <v>0</v>
      </c>
      <c r="J672">
        <v>452218</v>
      </c>
      <c r="K672" t="s">
        <v>70</v>
      </c>
      <c r="L672" t="s">
        <v>42</v>
      </c>
      <c r="M672" t="s">
        <v>43</v>
      </c>
      <c r="N672" t="s">
        <v>118</v>
      </c>
      <c r="O672" t="s">
        <v>119</v>
      </c>
      <c r="P672">
        <v>0</v>
      </c>
      <c r="Q672">
        <v>0</v>
      </c>
      <c r="R672" s="1">
        <v>42016</v>
      </c>
      <c r="S672" t="s">
        <v>75</v>
      </c>
      <c r="T672" t="s">
        <v>76</v>
      </c>
      <c r="U672" t="s">
        <v>107</v>
      </c>
      <c r="V672" t="s">
        <v>136</v>
      </c>
      <c r="W672" t="s">
        <v>175</v>
      </c>
      <c r="X672" t="s">
        <v>122</v>
      </c>
      <c r="Y672" t="s">
        <v>849</v>
      </c>
      <c r="Z672">
        <v>17</v>
      </c>
      <c r="AA672">
        <v>3</v>
      </c>
      <c r="AB672" t="s">
        <v>62</v>
      </c>
      <c r="AC672">
        <v>1</v>
      </c>
      <c r="AD672">
        <v>3</v>
      </c>
      <c r="AE672" t="s">
        <v>62</v>
      </c>
      <c r="AF672">
        <v>65440</v>
      </c>
      <c r="AG672">
        <v>8180</v>
      </c>
      <c r="AH672">
        <v>8180</v>
      </c>
      <c r="AI672">
        <v>49080</v>
      </c>
      <c r="AJ672" t="s">
        <v>197</v>
      </c>
      <c r="AK672" t="s">
        <v>198</v>
      </c>
      <c r="AL672">
        <v>2014</v>
      </c>
      <c r="AM672" t="s">
        <v>82</v>
      </c>
      <c r="AN672" s="2">
        <f t="shared" si="70"/>
        <v>53.447022599008484</v>
      </c>
      <c r="AO672">
        <f t="shared" si="71"/>
        <v>-64216.61</v>
      </c>
      <c r="AP672" s="2">
        <f t="shared" si="72"/>
        <v>1.869454928867224E-2</v>
      </c>
      <c r="AQ672" s="2">
        <f t="shared" si="76"/>
        <v>1</v>
      </c>
      <c r="AR672">
        <f t="shared" si="73"/>
        <v>209</v>
      </c>
      <c r="AS672" t="str">
        <f t="shared" si="74"/>
        <v>High Claim Ratio</v>
      </c>
      <c r="AT672" t="str">
        <f t="shared" si="75"/>
        <v>High Profit</v>
      </c>
    </row>
    <row r="673" spans="1:46" x14ac:dyDescent="0.2">
      <c r="A673">
        <v>250</v>
      </c>
      <c r="B673">
        <v>43</v>
      </c>
      <c r="C673">
        <v>687755</v>
      </c>
      <c r="D673" s="1">
        <v>32960</v>
      </c>
      <c r="E673" t="s">
        <v>83</v>
      </c>
      <c r="F673" t="s">
        <v>91</v>
      </c>
      <c r="G673">
        <v>2000</v>
      </c>
      <c r="H673">
        <v>1539.06</v>
      </c>
      <c r="I673">
        <v>0</v>
      </c>
      <c r="J673">
        <v>434150</v>
      </c>
      <c r="K673" t="s">
        <v>41</v>
      </c>
      <c r="L673" t="s">
        <v>124</v>
      </c>
      <c r="M673" t="s">
        <v>72</v>
      </c>
      <c r="N673" t="s">
        <v>264</v>
      </c>
      <c r="O673" t="s">
        <v>60</v>
      </c>
      <c r="P673">
        <v>37800</v>
      </c>
      <c r="Q673">
        <v>0</v>
      </c>
      <c r="R673" s="1">
        <v>42024</v>
      </c>
      <c r="S673" t="s">
        <v>46</v>
      </c>
      <c r="T673" t="s">
        <v>86</v>
      </c>
      <c r="U673" t="s">
        <v>63</v>
      </c>
      <c r="V673" t="s">
        <v>99</v>
      </c>
      <c r="W673" t="s">
        <v>50</v>
      </c>
      <c r="X673" t="s">
        <v>122</v>
      </c>
      <c r="Y673" t="s">
        <v>850</v>
      </c>
      <c r="Z673">
        <v>2</v>
      </c>
      <c r="AA673">
        <v>1</v>
      </c>
      <c r="AB673" t="s">
        <v>79</v>
      </c>
      <c r="AC673">
        <v>0</v>
      </c>
      <c r="AD673">
        <v>3</v>
      </c>
      <c r="AE673" t="s">
        <v>62</v>
      </c>
      <c r="AF673">
        <v>64200</v>
      </c>
      <c r="AG673">
        <v>10700</v>
      </c>
      <c r="AH673">
        <v>10700</v>
      </c>
      <c r="AI673">
        <v>42800</v>
      </c>
      <c r="AJ673" t="s">
        <v>129</v>
      </c>
      <c r="AK673" t="s">
        <v>130</v>
      </c>
      <c r="AL673">
        <v>2002</v>
      </c>
      <c r="AM673" t="s">
        <v>82</v>
      </c>
      <c r="AN673" s="2">
        <f t="shared" si="70"/>
        <v>41.686687531654613</v>
      </c>
      <c r="AO673">
        <f t="shared" si="71"/>
        <v>-62660.94</v>
      </c>
      <c r="AP673" s="2">
        <f t="shared" si="72"/>
        <v>2.3972523792464291E-2</v>
      </c>
      <c r="AQ673" s="2">
        <f t="shared" si="76"/>
        <v>13</v>
      </c>
      <c r="AR673">
        <f t="shared" si="73"/>
        <v>250</v>
      </c>
      <c r="AS673" t="str">
        <f t="shared" si="74"/>
        <v>High Claim Ratio</v>
      </c>
      <c r="AT673" t="str">
        <f t="shared" si="75"/>
        <v>High Profit</v>
      </c>
    </row>
    <row r="674" spans="1:46" x14ac:dyDescent="0.2">
      <c r="A674">
        <v>61</v>
      </c>
      <c r="B674">
        <v>25</v>
      </c>
      <c r="C674">
        <v>757644</v>
      </c>
      <c r="D674" s="1">
        <v>35824</v>
      </c>
      <c r="E674" t="s">
        <v>57</v>
      </c>
      <c r="F674" t="s">
        <v>69</v>
      </c>
      <c r="G674">
        <v>2000</v>
      </c>
      <c r="H674">
        <v>988.06</v>
      </c>
      <c r="I674">
        <v>0</v>
      </c>
      <c r="J674">
        <v>460579</v>
      </c>
      <c r="K674" t="s">
        <v>70</v>
      </c>
      <c r="L674" t="s">
        <v>124</v>
      </c>
      <c r="M674" t="s">
        <v>111</v>
      </c>
      <c r="N674" t="s">
        <v>126</v>
      </c>
      <c r="O674" t="s">
        <v>142</v>
      </c>
      <c r="P674">
        <v>0</v>
      </c>
      <c r="Q674">
        <v>0</v>
      </c>
      <c r="R674" s="1">
        <v>42040</v>
      </c>
      <c r="S674" t="s">
        <v>75</v>
      </c>
      <c r="T674" t="s">
        <v>76</v>
      </c>
      <c r="U674" t="s">
        <v>63</v>
      </c>
      <c r="V674" t="s">
        <v>136</v>
      </c>
      <c r="W674" t="s">
        <v>113</v>
      </c>
      <c r="X674" t="s">
        <v>127</v>
      </c>
      <c r="Y674" t="s">
        <v>851</v>
      </c>
      <c r="Z674">
        <v>1</v>
      </c>
      <c r="AA674">
        <v>3</v>
      </c>
      <c r="AB674" t="s">
        <v>53</v>
      </c>
      <c r="AC674">
        <v>1</v>
      </c>
      <c r="AD674">
        <v>0</v>
      </c>
      <c r="AE674" t="s">
        <v>79</v>
      </c>
      <c r="AF674">
        <v>32320</v>
      </c>
      <c r="AG674">
        <v>4040</v>
      </c>
      <c r="AH674">
        <v>4040</v>
      </c>
      <c r="AI674">
        <v>24240</v>
      </c>
      <c r="AJ674" t="s">
        <v>80</v>
      </c>
      <c r="AK674" t="s">
        <v>81</v>
      </c>
      <c r="AL674">
        <v>2000</v>
      </c>
      <c r="AM674" t="s">
        <v>82</v>
      </c>
      <c r="AN674" s="2">
        <f t="shared" si="70"/>
        <v>32.677491759852792</v>
      </c>
      <c r="AO674">
        <f t="shared" si="71"/>
        <v>-31331.94</v>
      </c>
      <c r="AP674" s="2">
        <f t="shared" si="72"/>
        <v>3.0570217505646483E-2</v>
      </c>
      <c r="AQ674" s="2">
        <f t="shared" si="76"/>
        <v>15</v>
      </c>
      <c r="AR674">
        <f t="shared" si="73"/>
        <v>61</v>
      </c>
      <c r="AS674" t="str">
        <f t="shared" si="74"/>
        <v>High Claim Ratio</v>
      </c>
      <c r="AT674" t="str">
        <f t="shared" si="75"/>
        <v>High Profit</v>
      </c>
    </row>
    <row r="675" spans="1:46" x14ac:dyDescent="0.2">
      <c r="A675">
        <v>80</v>
      </c>
      <c r="B675">
        <v>28</v>
      </c>
      <c r="C675">
        <v>998865</v>
      </c>
      <c r="D675" s="1">
        <v>41978</v>
      </c>
      <c r="E675" t="s">
        <v>83</v>
      </c>
      <c r="F675" t="s">
        <v>91</v>
      </c>
      <c r="G675">
        <v>1000</v>
      </c>
      <c r="H675">
        <v>1740.57</v>
      </c>
      <c r="I675">
        <v>0</v>
      </c>
      <c r="J675">
        <v>442142</v>
      </c>
      <c r="K675" t="s">
        <v>70</v>
      </c>
      <c r="L675" t="s">
        <v>141</v>
      </c>
      <c r="M675" t="s">
        <v>189</v>
      </c>
      <c r="N675" t="s">
        <v>112</v>
      </c>
      <c r="O675" t="s">
        <v>119</v>
      </c>
      <c r="P675">
        <v>0</v>
      </c>
      <c r="Q675">
        <v>-18600</v>
      </c>
      <c r="R675" s="1">
        <v>42024</v>
      </c>
      <c r="S675" t="s">
        <v>46</v>
      </c>
      <c r="T675" t="s">
        <v>76</v>
      </c>
      <c r="U675" t="s">
        <v>48</v>
      </c>
      <c r="V675" t="s">
        <v>49</v>
      </c>
      <c r="W675" t="s">
        <v>50</v>
      </c>
      <c r="X675" t="s">
        <v>127</v>
      </c>
      <c r="Y675" t="s">
        <v>852</v>
      </c>
      <c r="Z675">
        <v>3</v>
      </c>
      <c r="AA675">
        <v>1</v>
      </c>
      <c r="AB675" t="s">
        <v>62</v>
      </c>
      <c r="AC675">
        <v>0</v>
      </c>
      <c r="AD675">
        <v>1</v>
      </c>
      <c r="AE675" t="s">
        <v>62</v>
      </c>
      <c r="AF675">
        <v>33480</v>
      </c>
      <c r="AG675">
        <v>3720</v>
      </c>
      <c r="AH675">
        <v>3720</v>
      </c>
      <c r="AI675">
        <v>26040</v>
      </c>
      <c r="AJ675" t="s">
        <v>80</v>
      </c>
      <c r="AK675" t="s">
        <v>144</v>
      </c>
      <c r="AL675">
        <v>2011</v>
      </c>
      <c r="AM675" t="s">
        <v>82</v>
      </c>
      <c r="AN675" s="2">
        <f t="shared" si="70"/>
        <v>19.224033487026073</v>
      </c>
      <c r="AO675">
        <f t="shared" si="71"/>
        <v>-31739.43</v>
      </c>
      <c r="AP675" s="2">
        <f t="shared" si="72"/>
        <v>5.1986798482721544E-2</v>
      </c>
      <c r="AQ675" s="2">
        <f t="shared" si="76"/>
        <v>4</v>
      </c>
      <c r="AR675">
        <f t="shared" si="73"/>
        <v>80</v>
      </c>
      <c r="AS675" t="str">
        <f t="shared" si="74"/>
        <v>Medium Claim Ratio</v>
      </c>
      <c r="AT675" t="str">
        <f t="shared" si="75"/>
        <v>High Profit</v>
      </c>
    </row>
    <row r="676" spans="1:46" x14ac:dyDescent="0.2">
      <c r="A676">
        <v>25</v>
      </c>
      <c r="B676">
        <v>38</v>
      </c>
      <c r="C676">
        <v>944953</v>
      </c>
      <c r="D676" s="1">
        <v>35040</v>
      </c>
      <c r="E676" t="s">
        <v>39</v>
      </c>
      <c r="F676" t="s">
        <v>40</v>
      </c>
      <c r="G676">
        <v>1000</v>
      </c>
      <c r="H676">
        <v>1540.91</v>
      </c>
      <c r="I676">
        <v>7000000</v>
      </c>
      <c r="J676">
        <v>608807</v>
      </c>
      <c r="K676" t="s">
        <v>41</v>
      </c>
      <c r="L676" t="s">
        <v>141</v>
      </c>
      <c r="M676" t="s">
        <v>185</v>
      </c>
      <c r="N676" t="s">
        <v>173</v>
      </c>
      <c r="O676" t="s">
        <v>119</v>
      </c>
      <c r="P676">
        <v>40900</v>
      </c>
      <c r="Q676">
        <v>0</v>
      </c>
      <c r="R676" s="1">
        <v>42059</v>
      </c>
      <c r="S676" t="s">
        <v>61</v>
      </c>
      <c r="T676" t="s">
        <v>62</v>
      </c>
      <c r="U676" t="s">
        <v>212</v>
      </c>
      <c r="V676" t="s">
        <v>93</v>
      </c>
      <c r="W676" t="s">
        <v>64</v>
      </c>
      <c r="X676" t="s">
        <v>127</v>
      </c>
      <c r="Y676" t="s">
        <v>853</v>
      </c>
      <c r="Z676">
        <v>0</v>
      </c>
      <c r="AA676">
        <v>1</v>
      </c>
      <c r="AB676" t="s">
        <v>79</v>
      </c>
      <c r="AC676">
        <v>1</v>
      </c>
      <c r="AD676">
        <v>1</v>
      </c>
      <c r="AE676" t="s">
        <v>53</v>
      </c>
      <c r="AF676">
        <v>4320</v>
      </c>
      <c r="AG676">
        <v>480</v>
      </c>
      <c r="AH676">
        <v>960</v>
      </c>
      <c r="AI676">
        <v>2880</v>
      </c>
      <c r="AJ676" t="s">
        <v>115</v>
      </c>
      <c r="AK676" t="s">
        <v>183</v>
      </c>
      <c r="AL676">
        <v>1995</v>
      </c>
      <c r="AM676" t="s">
        <v>82</v>
      </c>
      <c r="AN676" s="2">
        <f t="shared" si="70"/>
        <v>2.8017199447438563</v>
      </c>
      <c r="AO676">
        <f t="shared" si="71"/>
        <v>-2779.09</v>
      </c>
      <c r="AP676" s="2">
        <f t="shared" si="72"/>
        <v>0.35660958111548252</v>
      </c>
      <c r="AQ676" s="2">
        <f t="shared" si="76"/>
        <v>20</v>
      </c>
      <c r="AR676">
        <f t="shared" si="73"/>
        <v>25</v>
      </c>
      <c r="AS676" t="str">
        <f t="shared" si="74"/>
        <v>Low Claim Ratio</v>
      </c>
      <c r="AT676" t="str">
        <f t="shared" si="75"/>
        <v>Low Profit</v>
      </c>
    </row>
    <row r="677" spans="1:46" x14ac:dyDescent="0.2">
      <c r="A677">
        <v>4</v>
      </c>
      <c r="B677">
        <v>29</v>
      </c>
      <c r="C677">
        <v>386429</v>
      </c>
      <c r="D677" s="1">
        <v>37403</v>
      </c>
      <c r="E677" t="s">
        <v>83</v>
      </c>
      <c r="F677" t="s">
        <v>40</v>
      </c>
      <c r="G677">
        <v>500</v>
      </c>
      <c r="H677">
        <v>1381.88</v>
      </c>
      <c r="I677">
        <v>5000000</v>
      </c>
      <c r="J677">
        <v>433153</v>
      </c>
      <c r="K677" t="s">
        <v>41</v>
      </c>
      <c r="L677" t="s">
        <v>131</v>
      </c>
      <c r="M677" t="s">
        <v>97</v>
      </c>
      <c r="N677" t="s">
        <v>264</v>
      </c>
      <c r="O677" t="s">
        <v>60</v>
      </c>
      <c r="P677">
        <v>0</v>
      </c>
      <c r="Q677">
        <v>-77800</v>
      </c>
      <c r="R677" s="1">
        <v>42056</v>
      </c>
      <c r="S677" t="s">
        <v>61</v>
      </c>
      <c r="T677" t="s">
        <v>62</v>
      </c>
      <c r="U677" t="s">
        <v>212</v>
      </c>
      <c r="V677" t="s">
        <v>49</v>
      </c>
      <c r="W677" t="s">
        <v>50</v>
      </c>
      <c r="X677" t="s">
        <v>122</v>
      </c>
      <c r="Y677" t="s">
        <v>854</v>
      </c>
      <c r="Z677">
        <v>4</v>
      </c>
      <c r="AA677">
        <v>1</v>
      </c>
      <c r="AB677" t="s">
        <v>79</v>
      </c>
      <c r="AC677">
        <v>0</v>
      </c>
      <c r="AD677">
        <v>2</v>
      </c>
      <c r="AE677" t="s">
        <v>62</v>
      </c>
      <c r="AF677">
        <v>4200</v>
      </c>
      <c r="AG677">
        <v>840</v>
      </c>
      <c r="AH677">
        <v>420</v>
      </c>
      <c r="AI677">
        <v>2940</v>
      </c>
      <c r="AJ677" t="s">
        <v>197</v>
      </c>
      <c r="AK677" t="s">
        <v>198</v>
      </c>
      <c r="AL677">
        <v>2008</v>
      </c>
      <c r="AM677" t="s">
        <v>82</v>
      </c>
      <c r="AN677" s="2">
        <f t="shared" si="70"/>
        <v>3.0371398819854214</v>
      </c>
      <c r="AO677">
        <f t="shared" si="71"/>
        <v>-2818.12</v>
      </c>
      <c r="AP677" s="2">
        <f t="shared" si="72"/>
        <v>0.32894072839800048</v>
      </c>
      <c r="AQ677" s="2">
        <f t="shared" si="76"/>
        <v>7</v>
      </c>
      <c r="AR677">
        <f t="shared" si="73"/>
        <v>4</v>
      </c>
      <c r="AS677" t="str">
        <f t="shared" si="74"/>
        <v>Low Claim Ratio</v>
      </c>
      <c r="AT677" t="str">
        <f t="shared" si="75"/>
        <v>Low Profit</v>
      </c>
    </row>
    <row r="678" spans="1:46" x14ac:dyDescent="0.2">
      <c r="A678">
        <v>32</v>
      </c>
      <c r="B678">
        <v>29</v>
      </c>
      <c r="C678">
        <v>108270</v>
      </c>
      <c r="D678" s="1">
        <v>37477</v>
      </c>
      <c r="E678" t="s">
        <v>39</v>
      </c>
      <c r="F678" t="s">
        <v>69</v>
      </c>
      <c r="G678">
        <v>500</v>
      </c>
      <c r="H678">
        <v>1446.98</v>
      </c>
      <c r="I678">
        <v>0</v>
      </c>
      <c r="J678">
        <v>436560</v>
      </c>
      <c r="K678" t="s">
        <v>41</v>
      </c>
      <c r="L678" t="s">
        <v>42</v>
      </c>
      <c r="M678" t="s">
        <v>185</v>
      </c>
      <c r="N678" t="s">
        <v>44</v>
      </c>
      <c r="O678" t="s">
        <v>74</v>
      </c>
      <c r="P678">
        <v>0</v>
      </c>
      <c r="Q678">
        <v>-45700</v>
      </c>
      <c r="R678" s="1">
        <v>42046</v>
      </c>
      <c r="S678" t="s">
        <v>75</v>
      </c>
      <c r="T678" t="s">
        <v>86</v>
      </c>
      <c r="U678" t="s">
        <v>63</v>
      </c>
      <c r="V678" t="s">
        <v>136</v>
      </c>
      <c r="W678" t="s">
        <v>77</v>
      </c>
      <c r="X678" t="s">
        <v>87</v>
      </c>
      <c r="Y678" t="s">
        <v>855</v>
      </c>
      <c r="Z678">
        <v>11</v>
      </c>
      <c r="AA678">
        <v>3</v>
      </c>
      <c r="AB678" t="s">
        <v>53</v>
      </c>
      <c r="AC678">
        <v>2</v>
      </c>
      <c r="AD678">
        <v>0</v>
      </c>
      <c r="AE678" t="s">
        <v>79</v>
      </c>
      <c r="AF678">
        <v>57970</v>
      </c>
      <c r="AG678">
        <v>10540</v>
      </c>
      <c r="AH678">
        <v>5270</v>
      </c>
      <c r="AI678">
        <v>42160</v>
      </c>
      <c r="AJ678" t="s">
        <v>54</v>
      </c>
      <c r="AK678">
        <v>93</v>
      </c>
      <c r="AL678">
        <v>2006</v>
      </c>
      <c r="AM678" t="s">
        <v>82</v>
      </c>
      <c r="AN678" s="2">
        <f t="shared" si="70"/>
        <v>40.035083357504938</v>
      </c>
      <c r="AO678">
        <f t="shared" si="71"/>
        <v>-56523.02</v>
      </c>
      <c r="AP678" s="2">
        <f t="shared" si="72"/>
        <v>2.4960411240102811E-2</v>
      </c>
      <c r="AQ678" s="2">
        <f t="shared" si="76"/>
        <v>9</v>
      </c>
      <c r="AR678">
        <f t="shared" si="73"/>
        <v>32</v>
      </c>
      <c r="AS678" t="str">
        <f t="shared" si="74"/>
        <v>High Claim Ratio</v>
      </c>
      <c r="AT678" t="str">
        <f t="shared" si="75"/>
        <v>High Profit</v>
      </c>
    </row>
    <row r="679" spans="1:46" x14ac:dyDescent="0.2">
      <c r="A679">
        <v>125</v>
      </c>
      <c r="B679">
        <v>31</v>
      </c>
      <c r="C679">
        <v>205134</v>
      </c>
      <c r="D679" s="1">
        <v>41245</v>
      </c>
      <c r="E679" t="s">
        <v>57</v>
      </c>
      <c r="F679" t="s">
        <v>91</v>
      </c>
      <c r="G679">
        <v>500</v>
      </c>
      <c r="H679">
        <v>1220.8599999999999</v>
      </c>
      <c r="I679">
        <v>0</v>
      </c>
      <c r="J679">
        <v>436784</v>
      </c>
      <c r="K679" t="s">
        <v>41</v>
      </c>
      <c r="L679" t="s">
        <v>161</v>
      </c>
      <c r="M679" t="s">
        <v>111</v>
      </c>
      <c r="N679" t="s">
        <v>165</v>
      </c>
      <c r="O679" t="s">
        <v>45</v>
      </c>
      <c r="P679">
        <v>55400</v>
      </c>
      <c r="Q679">
        <v>-40400</v>
      </c>
      <c r="R679" s="1">
        <v>42028</v>
      </c>
      <c r="S679" t="s">
        <v>138</v>
      </c>
      <c r="T679" t="s">
        <v>62</v>
      </c>
      <c r="U679" t="s">
        <v>212</v>
      </c>
      <c r="V679" t="s">
        <v>93</v>
      </c>
      <c r="W679" t="s">
        <v>77</v>
      </c>
      <c r="X679" t="s">
        <v>87</v>
      </c>
      <c r="Y679" t="s">
        <v>856</v>
      </c>
      <c r="Z679">
        <v>4</v>
      </c>
      <c r="AA679">
        <v>1</v>
      </c>
      <c r="AB679" t="s">
        <v>53</v>
      </c>
      <c r="AC679">
        <v>1</v>
      </c>
      <c r="AD679">
        <v>2</v>
      </c>
      <c r="AE679" t="s">
        <v>62</v>
      </c>
      <c r="AF679">
        <v>4320</v>
      </c>
      <c r="AG679">
        <v>0</v>
      </c>
      <c r="AH679">
        <v>960</v>
      </c>
      <c r="AI679">
        <v>3360</v>
      </c>
      <c r="AJ679" t="s">
        <v>54</v>
      </c>
      <c r="AK679">
        <v>93</v>
      </c>
      <c r="AL679">
        <v>2003</v>
      </c>
      <c r="AM679" t="s">
        <v>82</v>
      </c>
      <c r="AN679" s="2">
        <f t="shared" si="70"/>
        <v>3.5355932758253812</v>
      </c>
      <c r="AO679">
        <f t="shared" si="71"/>
        <v>-3099.1400000000003</v>
      </c>
      <c r="AP679" s="2">
        <f t="shared" si="72"/>
        <v>0.28254107845406151</v>
      </c>
      <c r="AQ679" s="2">
        <f t="shared" si="76"/>
        <v>12</v>
      </c>
      <c r="AR679">
        <f t="shared" si="73"/>
        <v>125</v>
      </c>
      <c r="AS679" t="str">
        <f t="shared" si="74"/>
        <v>Low Claim Ratio</v>
      </c>
      <c r="AT679" t="str">
        <f t="shared" si="75"/>
        <v>Low Profit</v>
      </c>
    </row>
    <row r="680" spans="1:46" x14ac:dyDescent="0.2">
      <c r="A680">
        <v>276</v>
      </c>
      <c r="B680">
        <v>45</v>
      </c>
      <c r="C680">
        <v>749325</v>
      </c>
      <c r="D680" s="1">
        <v>36607</v>
      </c>
      <c r="E680" t="s">
        <v>83</v>
      </c>
      <c r="F680" t="s">
        <v>91</v>
      </c>
      <c r="G680">
        <v>500</v>
      </c>
      <c r="H680">
        <v>948.1</v>
      </c>
      <c r="I680">
        <v>0</v>
      </c>
      <c r="J680">
        <v>430621</v>
      </c>
      <c r="K680" t="s">
        <v>70</v>
      </c>
      <c r="L680" t="s">
        <v>131</v>
      </c>
      <c r="M680" t="s">
        <v>58</v>
      </c>
      <c r="N680" t="s">
        <v>59</v>
      </c>
      <c r="O680" t="s">
        <v>119</v>
      </c>
      <c r="P680">
        <v>44500</v>
      </c>
      <c r="Q680">
        <v>-61400</v>
      </c>
      <c r="R680" s="1">
        <v>42010</v>
      </c>
      <c r="S680" t="s">
        <v>75</v>
      </c>
      <c r="T680" t="s">
        <v>86</v>
      </c>
      <c r="U680" t="s">
        <v>63</v>
      </c>
      <c r="V680" t="s">
        <v>99</v>
      </c>
      <c r="W680" t="s">
        <v>50</v>
      </c>
      <c r="X680" t="s">
        <v>51</v>
      </c>
      <c r="Y680" t="s">
        <v>857</v>
      </c>
      <c r="Z680">
        <v>11</v>
      </c>
      <c r="AA680">
        <v>3</v>
      </c>
      <c r="AB680" t="s">
        <v>62</v>
      </c>
      <c r="AC680">
        <v>0</v>
      </c>
      <c r="AD680">
        <v>2</v>
      </c>
      <c r="AE680" t="s">
        <v>62</v>
      </c>
      <c r="AF680">
        <v>69300</v>
      </c>
      <c r="AG680">
        <v>13860</v>
      </c>
      <c r="AH680">
        <v>6930</v>
      </c>
      <c r="AI680">
        <v>48510</v>
      </c>
      <c r="AJ680" t="s">
        <v>129</v>
      </c>
      <c r="AK680" t="s">
        <v>172</v>
      </c>
      <c r="AL680">
        <v>2010</v>
      </c>
      <c r="AM680" t="s">
        <v>82</v>
      </c>
      <c r="AN680" s="2">
        <f t="shared" si="70"/>
        <v>73.016541987145715</v>
      </c>
      <c r="AO680">
        <f t="shared" si="71"/>
        <v>-68351.899999999994</v>
      </c>
      <c r="AP680" s="2">
        <f t="shared" si="72"/>
        <v>1.3680899265522864E-2</v>
      </c>
      <c r="AQ680" s="2">
        <f t="shared" si="76"/>
        <v>5</v>
      </c>
      <c r="AR680">
        <f t="shared" si="73"/>
        <v>276</v>
      </c>
      <c r="AS680" t="str">
        <f t="shared" si="74"/>
        <v>High Claim Ratio</v>
      </c>
      <c r="AT680" t="str">
        <f t="shared" si="75"/>
        <v>High Profit</v>
      </c>
    </row>
    <row r="681" spans="1:46" x14ac:dyDescent="0.2">
      <c r="A681">
        <v>148</v>
      </c>
      <c r="B681">
        <v>30</v>
      </c>
      <c r="C681">
        <v>774303</v>
      </c>
      <c r="D681" s="1">
        <v>37359</v>
      </c>
      <c r="E681" t="s">
        <v>39</v>
      </c>
      <c r="F681" t="s">
        <v>69</v>
      </c>
      <c r="G681">
        <v>500</v>
      </c>
      <c r="H681">
        <v>1471.24</v>
      </c>
      <c r="I681">
        <v>0</v>
      </c>
      <c r="J681">
        <v>601574</v>
      </c>
      <c r="K681" t="s">
        <v>70</v>
      </c>
      <c r="L681" t="s">
        <v>124</v>
      </c>
      <c r="M681" t="s">
        <v>189</v>
      </c>
      <c r="N681" t="s">
        <v>118</v>
      </c>
      <c r="O681" t="s">
        <v>74</v>
      </c>
      <c r="P681">
        <v>57500</v>
      </c>
      <c r="Q681">
        <v>-93600</v>
      </c>
      <c r="R681" s="1">
        <v>42019</v>
      </c>
      <c r="S681" t="s">
        <v>75</v>
      </c>
      <c r="T681" t="s">
        <v>47</v>
      </c>
      <c r="U681" t="s">
        <v>63</v>
      </c>
      <c r="V681" t="s">
        <v>49</v>
      </c>
      <c r="W681" t="s">
        <v>121</v>
      </c>
      <c r="X681" t="s">
        <v>65</v>
      </c>
      <c r="Y681" t="s">
        <v>858</v>
      </c>
      <c r="Z681">
        <v>4</v>
      </c>
      <c r="AA681">
        <v>3</v>
      </c>
      <c r="AB681" t="s">
        <v>79</v>
      </c>
      <c r="AC681">
        <v>2</v>
      </c>
      <c r="AD681">
        <v>2</v>
      </c>
      <c r="AE681" t="s">
        <v>79</v>
      </c>
      <c r="AF681">
        <v>32480</v>
      </c>
      <c r="AG681">
        <v>4060</v>
      </c>
      <c r="AH681">
        <v>4060</v>
      </c>
      <c r="AI681">
        <v>24360</v>
      </c>
      <c r="AJ681" t="s">
        <v>80</v>
      </c>
      <c r="AK681" t="s">
        <v>144</v>
      </c>
      <c r="AL681">
        <v>1997</v>
      </c>
      <c r="AM681" t="s">
        <v>82</v>
      </c>
      <c r="AN681" s="2">
        <f t="shared" si="70"/>
        <v>22.06162038798022</v>
      </c>
      <c r="AO681">
        <f t="shared" si="71"/>
        <v>-31008.76</v>
      </c>
      <c r="AP681" s="2">
        <f t="shared" si="72"/>
        <v>4.5295403466642035E-2</v>
      </c>
      <c r="AQ681" s="2">
        <f t="shared" si="76"/>
        <v>18</v>
      </c>
      <c r="AR681">
        <f t="shared" si="73"/>
        <v>148</v>
      </c>
      <c r="AS681" t="str">
        <f t="shared" si="74"/>
        <v>High Claim Ratio</v>
      </c>
      <c r="AT681" t="str">
        <f t="shared" si="75"/>
        <v>High Profit</v>
      </c>
    </row>
    <row r="682" spans="1:46" x14ac:dyDescent="0.2">
      <c r="A682">
        <v>222</v>
      </c>
      <c r="B682">
        <v>38</v>
      </c>
      <c r="C682">
        <v>698470</v>
      </c>
      <c r="D682" s="1">
        <v>39616</v>
      </c>
      <c r="E682" t="s">
        <v>57</v>
      </c>
      <c r="F682" t="s">
        <v>69</v>
      </c>
      <c r="G682">
        <v>2000</v>
      </c>
      <c r="H682">
        <v>1157.97</v>
      </c>
      <c r="I682">
        <v>0</v>
      </c>
      <c r="J682">
        <v>433853</v>
      </c>
      <c r="K682" t="s">
        <v>41</v>
      </c>
      <c r="L682" t="s">
        <v>42</v>
      </c>
      <c r="M682" t="s">
        <v>58</v>
      </c>
      <c r="N682" t="s">
        <v>149</v>
      </c>
      <c r="O682" t="s">
        <v>142</v>
      </c>
      <c r="P682">
        <v>0</v>
      </c>
      <c r="Q682">
        <v>-64500</v>
      </c>
      <c r="R682" s="1">
        <v>42057</v>
      </c>
      <c r="S682" t="s">
        <v>46</v>
      </c>
      <c r="T682" t="s">
        <v>86</v>
      </c>
      <c r="U682" t="s">
        <v>107</v>
      </c>
      <c r="V682" t="s">
        <v>49</v>
      </c>
      <c r="W682" t="s">
        <v>77</v>
      </c>
      <c r="X682" t="s">
        <v>122</v>
      </c>
      <c r="Y682" t="s">
        <v>859</v>
      </c>
      <c r="Z682">
        <v>20</v>
      </c>
      <c r="AA682">
        <v>1</v>
      </c>
      <c r="AB682" t="s">
        <v>62</v>
      </c>
      <c r="AC682">
        <v>2</v>
      </c>
      <c r="AD682">
        <v>2</v>
      </c>
      <c r="AE682" t="s">
        <v>53</v>
      </c>
      <c r="AF682">
        <v>60480</v>
      </c>
      <c r="AG682">
        <v>6720</v>
      </c>
      <c r="AH682">
        <v>6720</v>
      </c>
      <c r="AI682">
        <v>47040</v>
      </c>
      <c r="AJ682" t="s">
        <v>95</v>
      </c>
      <c r="AK682" t="s">
        <v>158</v>
      </c>
      <c r="AL682">
        <v>2001</v>
      </c>
      <c r="AM682" t="s">
        <v>82</v>
      </c>
      <c r="AN682" s="2">
        <f t="shared" si="70"/>
        <v>52.184267064721261</v>
      </c>
      <c r="AO682">
        <f t="shared" si="71"/>
        <v>-59322.03</v>
      </c>
      <c r="AP682" s="2">
        <f t="shared" si="72"/>
        <v>1.914601279740745E-2</v>
      </c>
      <c r="AQ682" s="2">
        <f t="shared" si="76"/>
        <v>14</v>
      </c>
      <c r="AR682">
        <f t="shared" si="73"/>
        <v>222</v>
      </c>
      <c r="AS682" t="str">
        <f t="shared" si="74"/>
        <v>High Claim Ratio</v>
      </c>
      <c r="AT682" t="str">
        <f t="shared" si="75"/>
        <v>High Profit</v>
      </c>
    </row>
    <row r="683" spans="1:46" x14ac:dyDescent="0.2">
      <c r="A683">
        <v>32</v>
      </c>
      <c r="B683">
        <v>38</v>
      </c>
      <c r="C683">
        <v>719989</v>
      </c>
      <c r="D683" s="1">
        <v>34431</v>
      </c>
      <c r="E683" t="s">
        <v>83</v>
      </c>
      <c r="F683" t="s">
        <v>40</v>
      </c>
      <c r="G683">
        <v>2000</v>
      </c>
      <c r="H683">
        <v>566.11</v>
      </c>
      <c r="I683">
        <v>5000000</v>
      </c>
      <c r="J683">
        <v>453164</v>
      </c>
      <c r="K683" t="s">
        <v>41</v>
      </c>
      <c r="L683" t="s">
        <v>92</v>
      </c>
      <c r="M683" t="s">
        <v>84</v>
      </c>
      <c r="N683" t="s">
        <v>173</v>
      </c>
      <c r="O683" t="s">
        <v>85</v>
      </c>
      <c r="P683">
        <v>0</v>
      </c>
      <c r="Q683">
        <v>0</v>
      </c>
      <c r="R683" s="1">
        <v>42025</v>
      </c>
      <c r="S683" t="s">
        <v>138</v>
      </c>
      <c r="T683" t="s">
        <v>62</v>
      </c>
      <c r="U683" t="s">
        <v>212</v>
      </c>
      <c r="V683" t="s">
        <v>49</v>
      </c>
      <c r="W683" t="s">
        <v>121</v>
      </c>
      <c r="X683" t="s">
        <v>102</v>
      </c>
      <c r="Y683" t="s">
        <v>860</v>
      </c>
      <c r="Z683">
        <v>22</v>
      </c>
      <c r="AA683">
        <v>1</v>
      </c>
      <c r="AB683" t="s">
        <v>53</v>
      </c>
      <c r="AC683">
        <v>0</v>
      </c>
      <c r="AD683">
        <v>0</v>
      </c>
      <c r="AE683" t="s">
        <v>79</v>
      </c>
      <c r="AF683">
        <v>2640</v>
      </c>
      <c r="AG683">
        <v>440</v>
      </c>
      <c r="AH683">
        <v>440</v>
      </c>
      <c r="AI683">
        <v>1760</v>
      </c>
      <c r="AJ683" t="s">
        <v>209</v>
      </c>
      <c r="AK683" t="s">
        <v>225</v>
      </c>
      <c r="AL683">
        <v>2015</v>
      </c>
      <c r="AM683" t="s">
        <v>82</v>
      </c>
      <c r="AN683" s="2">
        <f t="shared" si="70"/>
        <v>4.6551815344465801</v>
      </c>
      <c r="AO683">
        <f t="shared" si="71"/>
        <v>-2073.89</v>
      </c>
      <c r="AP683" s="2">
        <f t="shared" si="72"/>
        <v>0.21435441120787582</v>
      </c>
      <c r="AQ683" s="2">
        <f t="shared" si="76"/>
        <v>0</v>
      </c>
      <c r="AR683">
        <f t="shared" si="73"/>
        <v>32</v>
      </c>
      <c r="AS683" t="str">
        <f t="shared" si="74"/>
        <v>Low Claim Ratio</v>
      </c>
      <c r="AT683" t="str">
        <f t="shared" si="75"/>
        <v>Low Profit</v>
      </c>
    </row>
    <row r="684" spans="1:46" x14ac:dyDescent="0.2">
      <c r="A684">
        <v>78</v>
      </c>
      <c r="B684">
        <v>27</v>
      </c>
      <c r="C684">
        <v>309323</v>
      </c>
      <c r="D684" s="1">
        <v>33663</v>
      </c>
      <c r="E684" t="s">
        <v>39</v>
      </c>
      <c r="F684" t="s">
        <v>91</v>
      </c>
      <c r="G684">
        <v>500</v>
      </c>
      <c r="H684">
        <v>1060.8800000000001</v>
      </c>
      <c r="I684">
        <v>0</v>
      </c>
      <c r="J684">
        <v>613931</v>
      </c>
      <c r="K684" t="s">
        <v>41</v>
      </c>
      <c r="L684" t="s">
        <v>161</v>
      </c>
      <c r="M684" t="s">
        <v>111</v>
      </c>
      <c r="N684" t="s">
        <v>132</v>
      </c>
      <c r="O684" t="s">
        <v>60</v>
      </c>
      <c r="P684">
        <v>0</v>
      </c>
      <c r="Q684">
        <v>-66500</v>
      </c>
      <c r="R684" s="1">
        <v>42038</v>
      </c>
      <c r="S684" t="s">
        <v>138</v>
      </c>
      <c r="T684" t="s">
        <v>62</v>
      </c>
      <c r="U684" t="s">
        <v>212</v>
      </c>
      <c r="V684" t="s">
        <v>49</v>
      </c>
      <c r="W684" t="s">
        <v>50</v>
      </c>
      <c r="X684" t="s">
        <v>127</v>
      </c>
      <c r="Y684" t="s">
        <v>861</v>
      </c>
      <c r="Z684">
        <v>4</v>
      </c>
      <c r="AA684">
        <v>1</v>
      </c>
      <c r="AB684" t="s">
        <v>79</v>
      </c>
      <c r="AC684">
        <v>0</v>
      </c>
      <c r="AD684">
        <v>3</v>
      </c>
      <c r="AE684" t="s">
        <v>79</v>
      </c>
      <c r="AF684">
        <v>6050</v>
      </c>
      <c r="AG684">
        <v>550</v>
      </c>
      <c r="AH684">
        <v>1100</v>
      </c>
      <c r="AI684">
        <v>4400</v>
      </c>
      <c r="AJ684" t="s">
        <v>214</v>
      </c>
      <c r="AK684" t="s">
        <v>215</v>
      </c>
      <c r="AL684">
        <v>2009</v>
      </c>
      <c r="AM684" t="s">
        <v>82</v>
      </c>
      <c r="AN684" s="2">
        <f t="shared" si="70"/>
        <v>5.697442272196481</v>
      </c>
      <c r="AO684">
        <f t="shared" si="71"/>
        <v>-4989.12</v>
      </c>
      <c r="AP684" s="2">
        <f t="shared" si="72"/>
        <v>0.17532308709304248</v>
      </c>
      <c r="AQ684" s="2">
        <f t="shared" si="76"/>
        <v>6</v>
      </c>
      <c r="AR684">
        <f t="shared" si="73"/>
        <v>78</v>
      </c>
      <c r="AS684" t="str">
        <f t="shared" si="74"/>
        <v>Medium Claim Ratio</v>
      </c>
      <c r="AT684" t="str">
        <f t="shared" si="75"/>
        <v>Low Profit</v>
      </c>
    </row>
    <row r="685" spans="1:46" x14ac:dyDescent="0.2">
      <c r="A685">
        <v>238</v>
      </c>
      <c r="B685">
        <v>43</v>
      </c>
      <c r="C685">
        <v>444035</v>
      </c>
      <c r="D685" s="1">
        <v>35196</v>
      </c>
      <c r="E685" t="s">
        <v>39</v>
      </c>
      <c r="F685" t="s">
        <v>40</v>
      </c>
      <c r="G685">
        <v>1000</v>
      </c>
      <c r="H685">
        <v>1524.45</v>
      </c>
      <c r="I685">
        <v>4000000</v>
      </c>
      <c r="J685">
        <v>607458</v>
      </c>
      <c r="K685" t="s">
        <v>41</v>
      </c>
      <c r="L685" t="s">
        <v>131</v>
      </c>
      <c r="M685" t="s">
        <v>159</v>
      </c>
      <c r="N685" t="s">
        <v>168</v>
      </c>
      <c r="O685" t="s">
        <v>119</v>
      </c>
      <c r="P685">
        <v>0</v>
      </c>
      <c r="Q685">
        <v>-44800</v>
      </c>
      <c r="R685" s="1">
        <v>42051</v>
      </c>
      <c r="S685" t="s">
        <v>75</v>
      </c>
      <c r="T685" t="s">
        <v>76</v>
      </c>
      <c r="U685" t="s">
        <v>107</v>
      </c>
      <c r="V685" t="s">
        <v>136</v>
      </c>
      <c r="W685" t="s">
        <v>121</v>
      </c>
      <c r="X685" t="s">
        <v>122</v>
      </c>
      <c r="Y685" t="s">
        <v>862</v>
      </c>
      <c r="Z685">
        <v>21</v>
      </c>
      <c r="AA685">
        <v>4</v>
      </c>
      <c r="AB685" t="s">
        <v>79</v>
      </c>
      <c r="AC685">
        <v>0</v>
      </c>
      <c r="AD685">
        <v>0</v>
      </c>
      <c r="AE685" t="s">
        <v>79</v>
      </c>
      <c r="AF685">
        <v>42700</v>
      </c>
      <c r="AG685">
        <v>4270</v>
      </c>
      <c r="AH685">
        <v>4270</v>
      </c>
      <c r="AI685">
        <v>34160</v>
      </c>
      <c r="AJ685" t="s">
        <v>54</v>
      </c>
      <c r="AK685" t="s">
        <v>55</v>
      </c>
      <c r="AL685">
        <v>1995</v>
      </c>
      <c r="AM685" t="s">
        <v>56</v>
      </c>
      <c r="AN685" s="2">
        <f t="shared" si="70"/>
        <v>27.991740142253104</v>
      </c>
      <c r="AO685">
        <f t="shared" si="71"/>
        <v>-41175.550000000003</v>
      </c>
      <c r="AP685" s="2">
        <f t="shared" si="72"/>
        <v>3.5700569073323814E-2</v>
      </c>
      <c r="AQ685" s="2">
        <f t="shared" si="76"/>
        <v>20</v>
      </c>
      <c r="AR685">
        <f t="shared" si="73"/>
        <v>238</v>
      </c>
      <c r="AS685" t="str">
        <f t="shared" si="74"/>
        <v>High Claim Ratio</v>
      </c>
      <c r="AT685" t="str">
        <f t="shared" si="75"/>
        <v>High Profit</v>
      </c>
    </row>
    <row r="686" spans="1:46" x14ac:dyDescent="0.2">
      <c r="A686">
        <v>313</v>
      </c>
      <c r="B686">
        <v>47</v>
      </c>
      <c r="C686">
        <v>431478</v>
      </c>
      <c r="D686" s="1">
        <v>41367</v>
      </c>
      <c r="E686" t="s">
        <v>57</v>
      </c>
      <c r="F686" t="s">
        <v>40</v>
      </c>
      <c r="G686">
        <v>1000</v>
      </c>
      <c r="H686">
        <v>1556.17</v>
      </c>
      <c r="I686">
        <v>0</v>
      </c>
      <c r="J686">
        <v>463835</v>
      </c>
      <c r="K686" t="s">
        <v>41</v>
      </c>
      <c r="L686" t="s">
        <v>141</v>
      </c>
      <c r="M686" t="s">
        <v>101</v>
      </c>
      <c r="N686" t="s">
        <v>59</v>
      </c>
      <c r="O686" t="s">
        <v>119</v>
      </c>
      <c r="P686">
        <v>63900</v>
      </c>
      <c r="Q686">
        <v>-53300</v>
      </c>
      <c r="R686" s="1">
        <v>42042</v>
      </c>
      <c r="S686" t="s">
        <v>46</v>
      </c>
      <c r="T686" t="s">
        <v>86</v>
      </c>
      <c r="U686" t="s">
        <v>48</v>
      </c>
      <c r="V686" t="s">
        <v>136</v>
      </c>
      <c r="W686" t="s">
        <v>50</v>
      </c>
      <c r="X686" t="s">
        <v>122</v>
      </c>
      <c r="Y686" t="s">
        <v>863</v>
      </c>
      <c r="Z686">
        <v>20</v>
      </c>
      <c r="AA686">
        <v>1</v>
      </c>
      <c r="AB686" t="s">
        <v>53</v>
      </c>
      <c r="AC686">
        <v>1</v>
      </c>
      <c r="AD686">
        <v>3</v>
      </c>
      <c r="AE686" t="s">
        <v>79</v>
      </c>
      <c r="AF686">
        <v>40260</v>
      </c>
      <c r="AG686">
        <v>3660</v>
      </c>
      <c r="AH686">
        <v>7320</v>
      </c>
      <c r="AI686">
        <v>29280</v>
      </c>
      <c r="AJ686" t="s">
        <v>95</v>
      </c>
      <c r="AK686" t="s">
        <v>148</v>
      </c>
      <c r="AL686">
        <v>1996</v>
      </c>
      <c r="AM686" t="s">
        <v>56</v>
      </c>
      <c r="AN686" s="2">
        <f t="shared" si="70"/>
        <v>25.854595195129626</v>
      </c>
      <c r="AO686">
        <f t="shared" si="71"/>
        <v>-38703.83</v>
      </c>
      <c r="AP686" s="2">
        <f t="shared" si="72"/>
        <v>3.8652045403740592E-2</v>
      </c>
      <c r="AQ686" s="2">
        <f t="shared" si="76"/>
        <v>19</v>
      </c>
      <c r="AR686">
        <f t="shared" si="73"/>
        <v>313</v>
      </c>
      <c r="AS686" t="str">
        <f t="shared" si="74"/>
        <v>High Claim Ratio</v>
      </c>
      <c r="AT686" t="str">
        <f t="shared" si="75"/>
        <v>High Profit</v>
      </c>
    </row>
    <row r="687" spans="1:46" x14ac:dyDescent="0.2">
      <c r="A687">
        <v>334</v>
      </c>
      <c r="B687">
        <v>50</v>
      </c>
      <c r="C687">
        <v>797634</v>
      </c>
      <c r="D687" s="1">
        <v>40129</v>
      </c>
      <c r="E687" t="s">
        <v>39</v>
      </c>
      <c r="F687" t="s">
        <v>91</v>
      </c>
      <c r="G687">
        <v>500</v>
      </c>
      <c r="H687">
        <v>1216.24</v>
      </c>
      <c r="I687">
        <v>0</v>
      </c>
      <c r="J687">
        <v>613945</v>
      </c>
      <c r="K687" t="s">
        <v>41</v>
      </c>
      <c r="L687" t="s">
        <v>124</v>
      </c>
      <c r="M687" t="s">
        <v>117</v>
      </c>
      <c r="N687" t="s">
        <v>173</v>
      </c>
      <c r="O687" t="s">
        <v>119</v>
      </c>
      <c r="P687">
        <v>26700</v>
      </c>
      <c r="Q687">
        <v>-47200</v>
      </c>
      <c r="R687" s="1">
        <v>42018</v>
      </c>
      <c r="S687" t="s">
        <v>46</v>
      </c>
      <c r="T687" t="s">
        <v>76</v>
      </c>
      <c r="U687" t="s">
        <v>48</v>
      </c>
      <c r="V687" t="s">
        <v>99</v>
      </c>
      <c r="W687" t="s">
        <v>77</v>
      </c>
      <c r="X687" t="s">
        <v>51</v>
      </c>
      <c r="Y687" t="s">
        <v>864</v>
      </c>
      <c r="Z687">
        <v>7</v>
      </c>
      <c r="AA687">
        <v>1</v>
      </c>
      <c r="AB687" t="s">
        <v>79</v>
      </c>
      <c r="AC687">
        <v>2</v>
      </c>
      <c r="AD687">
        <v>0</v>
      </c>
      <c r="AE687" t="s">
        <v>62</v>
      </c>
      <c r="AF687">
        <v>50000</v>
      </c>
      <c r="AG687">
        <v>5000</v>
      </c>
      <c r="AH687">
        <v>10000</v>
      </c>
      <c r="AI687">
        <v>35000</v>
      </c>
      <c r="AJ687" t="s">
        <v>89</v>
      </c>
      <c r="AK687" t="s">
        <v>223</v>
      </c>
      <c r="AL687">
        <v>2008</v>
      </c>
      <c r="AM687" t="s">
        <v>82</v>
      </c>
      <c r="AN687" s="2">
        <f t="shared" si="70"/>
        <v>41.076533797772008</v>
      </c>
      <c r="AO687">
        <f t="shared" si="71"/>
        <v>-48783.76</v>
      </c>
      <c r="AP687" s="2">
        <f t="shared" si="72"/>
        <v>2.4324313513729726E-2</v>
      </c>
      <c r="AQ687" s="2">
        <f t="shared" si="76"/>
        <v>7</v>
      </c>
      <c r="AR687">
        <f t="shared" si="73"/>
        <v>334</v>
      </c>
      <c r="AS687" t="str">
        <f t="shared" si="74"/>
        <v>High Claim Ratio</v>
      </c>
      <c r="AT687" t="str">
        <f t="shared" si="75"/>
        <v>High Profit</v>
      </c>
    </row>
    <row r="688" spans="1:46" x14ac:dyDescent="0.2">
      <c r="A688">
        <v>190</v>
      </c>
      <c r="B688">
        <v>35</v>
      </c>
      <c r="C688">
        <v>284836</v>
      </c>
      <c r="D688" s="1">
        <v>39757</v>
      </c>
      <c r="E688" t="s">
        <v>57</v>
      </c>
      <c r="F688" t="s">
        <v>40</v>
      </c>
      <c r="G688">
        <v>500</v>
      </c>
      <c r="H688">
        <v>1484.72</v>
      </c>
      <c r="I688">
        <v>5000000</v>
      </c>
      <c r="J688">
        <v>432699</v>
      </c>
      <c r="K688" t="s">
        <v>70</v>
      </c>
      <c r="L688" t="s">
        <v>131</v>
      </c>
      <c r="M688" t="s">
        <v>97</v>
      </c>
      <c r="N688" t="s">
        <v>112</v>
      </c>
      <c r="O688" t="s">
        <v>45</v>
      </c>
      <c r="P688">
        <v>0</v>
      </c>
      <c r="Q688">
        <v>0</v>
      </c>
      <c r="R688" s="1">
        <v>42037</v>
      </c>
      <c r="S688" t="s">
        <v>138</v>
      </c>
      <c r="T688" t="s">
        <v>62</v>
      </c>
      <c r="U688" t="s">
        <v>212</v>
      </c>
      <c r="V688" t="s">
        <v>93</v>
      </c>
      <c r="W688" t="s">
        <v>77</v>
      </c>
      <c r="X688" t="s">
        <v>65</v>
      </c>
      <c r="Y688" t="s">
        <v>865</v>
      </c>
      <c r="Z688">
        <v>4</v>
      </c>
      <c r="AA688">
        <v>1</v>
      </c>
      <c r="AB688" t="s">
        <v>79</v>
      </c>
      <c r="AC688">
        <v>0</v>
      </c>
      <c r="AD688">
        <v>1</v>
      </c>
      <c r="AE688" t="s">
        <v>79</v>
      </c>
      <c r="AF688">
        <v>3840</v>
      </c>
      <c r="AG688">
        <v>640</v>
      </c>
      <c r="AH688">
        <v>320</v>
      </c>
      <c r="AI688">
        <v>2880</v>
      </c>
      <c r="AJ688" t="s">
        <v>54</v>
      </c>
      <c r="AK688" t="s">
        <v>55</v>
      </c>
      <c r="AL688">
        <v>1998</v>
      </c>
      <c r="AM688" t="s">
        <v>82</v>
      </c>
      <c r="AN688" s="2">
        <f t="shared" si="70"/>
        <v>2.584605443825216</v>
      </c>
      <c r="AO688">
        <f t="shared" si="71"/>
        <v>-2355.2799999999997</v>
      </c>
      <c r="AP688" s="2">
        <f t="shared" si="72"/>
        <v>0.38654517052850823</v>
      </c>
      <c r="AQ688" s="2">
        <f t="shared" si="76"/>
        <v>17</v>
      </c>
      <c r="AR688">
        <f t="shared" si="73"/>
        <v>190</v>
      </c>
      <c r="AS688" t="str">
        <f t="shared" si="74"/>
        <v>Low Claim Ratio</v>
      </c>
      <c r="AT688" t="str">
        <f t="shared" si="75"/>
        <v>Low Profit</v>
      </c>
    </row>
    <row r="689" spans="1:46" x14ac:dyDescent="0.2">
      <c r="A689">
        <v>194</v>
      </c>
      <c r="B689">
        <v>41</v>
      </c>
      <c r="C689">
        <v>238196</v>
      </c>
      <c r="D689" s="1">
        <v>34015</v>
      </c>
      <c r="E689" t="s">
        <v>83</v>
      </c>
      <c r="F689" t="s">
        <v>40</v>
      </c>
      <c r="G689">
        <v>500</v>
      </c>
      <c r="H689">
        <v>1203.81</v>
      </c>
      <c r="I689">
        <v>0</v>
      </c>
      <c r="J689">
        <v>613119</v>
      </c>
      <c r="K689" t="s">
        <v>41</v>
      </c>
      <c r="L689" t="s">
        <v>161</v>
      </c>
      <c r="M689" t="s">
        <v>145</v>
      </c>
      <c r="N689" t="s">
        <v>181</v>
      </c>
      <c r="O689" t="s">
        <v>142</v>
      </c>
      <c r="P689">
        <v>52500</v>
      </c>
      <c r="Q689">
        <v>-51300</v>
      </c>
      <c r="R689" s="1">
        <v>42041</v>
      </c>
      <c r="S689" t="s">
        <v>75</v>
      </c>
      <c r="T689" t="s">
        <v>76</v>
      </c>
      <c r="U689" t="s">
        <v>63</v>
      </c>
      <c r="V689" t="s">
        <v>49</v>
      </c>
      <c r="W689" t="s">
        <v>113</v>
      </c>
      <c r="X689" t="s">
        <v>102</v>
      </c>
      <c r="Y689" t="s">
        <v>866</v>
      </c>
      <c r="Z689">
        <v>17</v>
      </c>
      <c r="AA689">
        <v>3</v>
      </c>
      <c r="AB689" t="s">
        <v>62</v>
      </c>
      <c r="AC689">
        <v>0</v>
      </c>
      <c r="AD689">
        <v>2</v>
      </c>
      <c r="AE689" t="s">
        <v>62</v>
      </c>
      <c r="AF689">
        <v>95900</v>
      </c>
      <c r="AG689">
        <v>13700</v>
      </c>
      <c r="AH689">
        <v>20550</v>
      </c>
      <c r="AI689">
        <v>61650</v>
      </c>
      <c r="AJ689" t="s">
        <v>54</v>
      </c>
      <c r="AK689">
        <v>95</v>
      </c>
      <c r="AL689">
        <v>1999</v>
      </c>
      <c r="AM689" t="s">
        <v>82</v>
      </c>
      <c r="AN689" s="2">
        <f t="shared" si="70"/>
        <v>79.597612901619343</v>
      </c>
      <c r="AO689">
        <f t="shared" si="71"/>
        <v>-94696.19</v>
      </c>
      <c r="AP689" s="2">
        <f t="shared" si="72"/>
        <v>1.2552632402164731E-2</v>
      </c>
      <c r="AQ689" s="2">
        <f t="shared" si="76"/>
        <v>16</v>
      </c>
      <c r="AR689">
        <f t="shared" si="73"/>
        <v>194</v>
      </c>
      <c r="AS689" t="str">
        <f t="shared" si="74"/>
        <v>High Claim Ratio</v>
      </c>
      <c r="AT689" t="str">
        <f t="shared" si="75"/>
        <v>High Profit</v>
      </c>
    </row>
    <row r="690" spans="1:46" x14ac:dyDescent="0.2">
      <c r="A690">
        <v>290</v>
      </c>
      <c r="B690">
        <v>47</v>
      </c>
      <c r="C690">
        <v>885789</v>
      </c>
      <c r="D690" s="1">
        <v>39650</v>
      </c>
      <c r="E690" t="s">
        <v>57</v>
      </c>
      <c r="F690" t="s">
        <v>40</v>
      </c>
      <c r="G690">
        <v>1000</v>
      </c>
      <c r="H690">
        <v>1393.34</v>
      </c>
      <c r="I690">
        <v>0</v>
      </c>
      <c r="J690">
        <v>472922</v>
      </c>
      <c r="K690" t="s">
        <v>41</v>
      </c>
      <c r="L690" t="s">
        <v>131</v>
      </c>
      <c r="M690" t="s">
        <v>125</v>
      </c>
      <c r="N690" t="s">
        <v>98</v>
      </c>
      <c r="O690" t="s">
        <v>60</v>
      </c>
      <c r="P690">
        <v>0</v>
      </c>
      <c r="Q690">
        <v>-61400</v>
      </c>
      <c r="R690" s="1">
        <v>42019</v>
      </c>
      <c r="S690" t="s">
        <v>75</v>
      </c>
      <c r="T690" t="s">
        <v>47</v>
      </c>
      <c r="U690" t="s">
        <v>63</v>
      </c>
      <c r="V690" t="s">
        <v>136</v>
      </c>
      <c r="W690" t="s">
        <v>113</v>
      </c>
      <c r="X690" t="s">
        <v>127</v>
      </c>
      <c r="Y690" t="s">
        <v>867</v>
      </c>
      <c r="Z690">
        <v>20</v>
      </c>
      <c r="AA690">
        <v>3</v>
      </c>
      <c r="AB690" t="s">
        <v>53</v>
      </c>
      <c r="AC690">
        <v>1</v>
      </c>
      <c r="AD690">
        <v>3</v>
      </c>
      <c r="AE690" t="s">
        <v>53</v>
      </c>
      <c r="AF690">
        <v>56160</v>
      </c>
      <c r="AG690">
        <v>6240</v>
      </c>
      <c r="AH690">
        <v>12480</v>
      </c>
      <c r="AI690">
        <v>37440</v>
      </c>
      <c r="AJ690" t="s">
        <v>109</v>
      </c>
      <c r="AK690" t="s">
        <v>110</v>
      </c>
      <c r="AL690">
        <v>2002</v>
      </c>
      <c r="AM690" t="s">
        <v>82</v>
      </c>
      <c r="AN690" s="2">
        <f t="shared" si="70"/>
        <v>40.277120358018848</v>
      </c>
      <c r="AO690">
        <f t="shared" si="71"/>
        <v>-54766.66</v>
      </c>
      <c r="AP690" s="2">
        <f t="shared" si="72"/>
        <v>2.480974341624971E-2</v>
      </c>
      <c r="AQ690" s="2">
        <f t="shared" si="76"/>
        <v>13</v>
      </c>
      <c r="AR690">
        <f t="shared" si="73"/>
        <v>290</v>
      </c>
      <c r="AS690" t="str">
        <f t="shared" si="74"/>
        <v>High Claim Ratio</v>
      </c>
      <c r="AT690" t="str">
        <f t="shared" si="75"/>
        <v>High Profit</v>
      </c>
    </row>
    <row r="691" spans="1:46" x14ac:dyDescent="0.2">
      <c r="A691">
        <v>26</v>
      </c>
      <c r="B691">
        <v>42</v>
      </c>
      <c r="C691">
        <v>287436</v>
      </c>
      <c r="D691" s="1">
        <v>40432</v>
      </c>
      <c r="E691" t="s">
        <v>39</v>
      </c>
      <c r="F691" t="s">
        <v>69</v>
      </c>
      <c r="G691">
        <v>1000</v>
      </c>
      <c r="H691">
        <v>1484.48</v>
      </c>
      <c r="I691">
        <v>0</v>
      </c>
      <c r="J691">
        <v>613849</v>
      </c>
      <c r="K691" t="s">
        <v>41</v>
      </c>
      <c r="L691" t="s">
        <v>71</v>
      </c>
      <c r="M691" t="s">
        <v>84</v>
      </c>
      <c r="N691" t="s">
        <v>44</v>
      </c>
      <c r="O691" t="s">
        <v>142</v>
      </c>
      <c r="P691">
        <v>50700</v>
      </c>
      <c r="Q691">
        <v>-36300</v>
      </c>
      <c r="R691" s="1">
        <v>42059</v>
      </c>
      <c r="S691" t="s">
        <v>46</v>
      </c>
      <c r="T691" t="s">
        <v>47</v>
      </c>
      <c r="U691" t="s">
        <v>48</v>
      </c>
      <c r="V691" t="s">
        <v>49</v>
      </c>
      <c r="W691" t="s">
        <v>50</v>
      </c>
      <c r="X691" t="s">
        <v>65</v>
      </c>
      <c r="Y691" t="s">
        <v>868</v>
      </c>
      <c r="Z691">
        <v>10</v>
      </c>
      <c r="AA691">
        <v>1</v>
      </c>
      <c r="AB691" t="s">
        <v>79</v>
      </c>
      <c r="AC691">
        <v>2</v>
      </c>
      <c r="AD691">
        <v>3</v>
      </c>
      <c r="AE691" t="s">
        <v>62</v>
      </c>
      <c r="AF691">
        <v>63030</v>
      </c>
      <c r="AG691">
        <v>5730</v>
      </c>
      <c r="AH691">
        <v>11460</v>
      </c>
      <c r="AI691">
        <v>45840</v>
      </c>
      <c r="AJ691" t="s">
        <v>54</v>
      </c>
      <c r="AK691" t="s">
        <v>55</v>
      </c>
      <c r="AL691">
        <v>1996</v>
      </c>
      <c r="AM691" t="s">
        <v>82</v>
      </c>
      <c r="AN691" s="2">
        <f t="shared" si="70"/>
        <v>42.430729461184264</v>
      </c>
      <c r="AO691">
        <f t="shared" si="71"/>
        <v>-61545.52</v>
      </c>
      <c r="AP691" s="2">
        <f t="shared" si="72"/>
        <v>2.3551585727657819E-2</v>
      </c>
      <c r="AQ691" s="2">
        <f t="shared" si="76"/>
        <v>19</v>
      </c>
      <c r="AR691">
        <f t="shared" si="73"/>
        <v>26</v>
      </c>
      <c r="AS691" t="str">
        <f t="shared" si="74"/>
        <v>High Claim Ratio</v>
      </c>
      <c r="AT691" t="str">
        <f t="shared" si="75"/>
        <v>High Profit</v>
      </c>
    </row>
    <row r="692" spans="1:46" x14ac:dyDescent="0.2">
      <c r="A692">
        <v>254</v>
      </c>
      <c r="B692">
        <v>41</v>
      </c>
      <c r="C692">
        <v>496067</v>
      </c>
      <c r="D692" s="1">
        <v>35055</v>
      </c>
      <c r="E692" t="s">
        <v>83</v>
      </c>
      <c r="F692" t="s">
        <v>40</v>
      </c>
      <c r="G692">
        <v>500</v>
      </c>
      <c r="H692">
        <v>1581.27</v>
      </c>
      <c r="I692">
        <v>5000000</v>
      </c>
      <c r="J692">
        <v>603827</v>
      </c>
      <c r="K692" t="s">
        <v>70</v>
      </c>
      <c r="L692" t="s">
        <v>71</v>
      </c>
      <c r="M692" t="s">
        <v>159</v>
      </c>
      <c r="N692" t="s">
        <v>132</v>
      </c>
      <c r="O692" t="s">
        <v>74</v>
      </c>
      <c r="P692">
        <v>42200</v>
      </c>
      <c r="Q692">
        <v>-48000</v>
      </c>
      <c r="R692" s="1">
        <v>42011</v>
      </c>
      <c r="S692" t="s">
        <v>46</v>
      </c>
      <c r="T692" t="s">
        <v>86</v>
      </c>
      <c r="U692" t="s">
        <v>63</v>
      </c>
      <c r="V692" t="s">
        <v>49</v>
      </c>
      <c r="W692" t="s">
        <v>77</v>
      </c>
      <c r="X692" t="s">
        <v>65</v>
      </c>
      <c r="Y692" t="s">
        <v>869</v>
      </c>
      <c r="Z692">
        <v>8</v>
      </c>
      <c r="AA692">
        <v>1</v>
      </c>
      <c r="AB692" t="s">
        <v>53</v>
      </c>
      <c r="AC692">
        <v>2</v>
      </c>
      <c r="AD692">
        <v>2</v>
      </c>
      <c r="AE692" t="s">
        <v>79</v>
      </c>
      <c r="AF692">
        <v>63470</v>
      </c>
      <c r="AG692">
        <v>5770</v>
      </c>
      <c r="AH692">
        <v>11540</v>
      </c>
      <c r="AI692">
        <v>46160</v>
      </c>
      <c r="AJ692" t="s">
        <v>187</v>
      </c>
      <c r="AK692" t="s">
        <v>238</v>
      </c>
      <c r="AL692">
        <v>1999</v>
      </c>
      <c r="AM692" t="s">
        <v>82</v>
      </c>
      <c r="AN692" s="2">
        <f t="shared" si="70"/>
        <v>40.113255007046838</v>
      </c>
      <c r="AO692">
        <f t="shared" si="71"/>
        <v>-61888.73</v>
      </c>
      <c r="AP692" s="2">
        <f t="shared" si="72"/>
        <v>2.4913267476485323E-2</v>
      </c>
      <c r="AQ692" s="2">
        <f t="shared" si="76"/>
        <v>16</v>
      </c>
      <c r="AR692">
        <f t="shared" si="73"/>
        <v>254</v>
      </c>
      <c r="AS692" t="str">
        <f t="shared" si="74"/>
        <v>High Claim Ratio</v>
      </c>
      <c r="AT692" t="str">
        <f t="shared" si="75"/>
        <v>High Profit</v>
      </c>
    </row>
    <row r="693" spans="1:46" x14ac:dyDescent="0.2">
      <c r="A693">
        <v>199</v>
      </c>
      <c r="B693">
        <v>38</v>
      </c>
      <c r="C693">
        <v>206004</v>
      </c>
      <c r="D693" s="1">
        <v>33507</v>
      </c>
      <c r="E693" t="s">
        <v>83</v>
      </c>
      <c r="F693" t="s">
        <v>40</v>
      </c>
      <c r="G693">
        <v>1000</v>
      </c>
      <c r="H693">
        <v>1281.25</v>
      </c>
      <c r="I693">
        <v>0</v>
      </c>
      <c r="J693">
        <v>467780</v>
      </c>
      <c r="K693" t="s">
        <v>70</v>
      </c>
      <c r="L693" t="s">
        <v>131</v>
      </c>
      <c r="M693" t="s">
        <v>97</v>
      </c>
      <c r="N693" t="s">
        <v>146</v>
      </c>
      <c r="O693" t="s">
        <v>60</v>
      </c>
      <c r="P693">
        <v>0</v>
      </c>
      <c r="Q693">
        <v>-53100</v>
      </c>
      <c r="R693" s="1">
        <v>42039</v>
      </c>
      <c r="S693" t="s">
        <v>46</v>
      </c>
      <c r="T693" t="s">
        <v>86</v>
      </c>
      <c r="U693" t="s">
        <v>48</v>
      </c>
      <c r="V693" t="s">
        <v>49</v>
      </c>
      <c r="W693" t="s">
        <v>113</v>
      </c>
      <c r="X693" t="s">
        <v>51</v>
      </c>
      <c r="Y693" t="s">
        <v>870</v>
      </c>
      <c r="Z693">
        <v>6</v>
      </c>
      <c r="AA693">
        <v>1</v>
      </c>
      <c r="AB693" t="s">
        <v>62</v>
      </c>
      <c r="AC693">
        <v>0</v>
      </c>
      <c r="AD693">
        <v>2</v>
      </c>
      <c r="AE693" t="s">
        <v>79</v>
      </c>
      <c r="AF693">
        <v>44440</v>
      </c>
      <c r="AG693">
        <v>8080</v>
      </c>
      <c r="AH693">
        <v>4040</v>
      </c>
      <c r="AI693">
        <v>32320</v>
      </c>
      <c r="AJ693" t="s">
        <v>187</v>
      </c>
      <c r="AK693" t="s">
        <v>238</v>
      </c>
      <c r="AL693">
        <v>2007</v>
      </c>
      <c r="AM693" t="s">
        <v>56</v>
      </c>
      <c r="AN693" s="2">
        <f t="shared" si="70"/>
        <v>34.657828036654315</v>
      </c>
      <c r="AO693">
        <f t="shared" si="71"/>
        <v>-43158.75</v>
      </c>
      <c r="AP693" s="2">
        <f t="shared" si="72"/>
        <v>2.8830359352849846E-2</v>
      </c>
      <c r="AQ693" s="2">
        <f t="shared" si="76"/>
        <v>8</v>
      </c>
      <c r="AR693">
        <f t="shared" si="73"/>
        <v>199</v>
      </c>
      <c r="AS693" t="str">
        <f t="shared" si="74"/>
        <v>High Claim Ratio</v>
      </c>
      <c r="AT693" t="str">
        <f t="shared" si="75"/>
        <v>High Profit</v>
      </c>
    </row>
    <row r="694" spans="1:46" x14ac:dyDescent="0.2">
      <c r="A694">
        <v>137</v>
      </c>
      <c r="B694">
        <v>35</v>
      </c>
      <c r="C694">
        <v>153027</v>
      </c>
      <c r="D694" s="1">
        <v>40248</v>
      </c>
      <c r="E694" t="s">
        <v>57</v>
      </c>
      <c r="F694" t="s">
        <v>40</v>
      </c>
      <c r="G694">
        <v>500</v>
      </c>
      <c r="H694">
        <v>1667.83</v>
      </c>
      <c r="I694">
        <v>0</v>
      </c>
      <c r="J694">
        <v>460586</v>
      </c>
      <c r="K694" t="s">
        <v>41</v>
      </c>
      <c r="L694" t="s">
        <v>161</v>
      </c>
      <c r="M694" t="s">
        <v>101</v>
      </c>
      <c r="N694" t="s">
        <v>165</v>
      </c>
      <c r="O694" t="s">
        <v>45</v>
      </c>
      <c r="P694">
        <v>48500</v>
      </c>
      <c r="Q694">
        <v>-67400</v>
      </c>
      <c r="R694" s="1">
        <v>42039</v>
      </c>
      <c r="S694" t="s">
        <v>138</v>
      </c>
      <c r="T694" t="s">
        <v>62</v>
      </c>
      <c r="U694" t="s">
        <v>63</v>
      </c>
      <c r="V694" t="s">
        <v>49</v>
      </c>
      <c r="W694" t="s">
        <v>113</v>
      </c>
      <c r="X694" t="s">
        <v>156</v>
      </c>
      <c r="Y694" t="s">
        <v>871</v>
      </c>
      <c r="Z694">
        <v>4</v>
      </c>
      <c r="AA694">
        <v>1</v>
      </c>
      <c r="AB694" t="s">
        <v>53</v>
      </c>
      <c r="AC694">
        <v>1</v>
      </c>
      <c r="AD694">
        <v>1</v>
      </c>
      <c r="AE694" t="s">
        <v>79</v>
      </c>
      <c r="AF694">
        <v>6600</v>
      </c>
      <c r="AG694">
        <v>1200</v>
      </c>
      <c r="AH694">
        <v>1200</v>
      </c>
      <c r="AI694">
        <v>4200</v>
      </c>
      <c r="AJ694" t="s">
        <v>197</v>
      </c>
      <c r="AK694" t="s">
        <v>375</v>
      </c>
      <c r="AL694">
        <v>2005</v>
      </c>
      <c r="AM694" t="s">
        <v>82</v>
      </c>
      <c r="AN694" s="2">
        <f t="shared" si="70"/>
        <v>3.9548665831750389</v>
      </c>
      <c r="AO694">
        <f t="shared" si="71"/>
        <v>-4932.17</v>
      </c>
      <c r="AP694" s="2">
        <f t="shared" si="72"/>
        <v>0.25266323284350856</v>
      </c>
      <c r="AQ694" s="2">
        <f t="shared" si="76"/>
        <v>10</v>
      </c>
      <c r="AR694">
        <f t="shared" si="73"/>
        <v>137</v>
      </c>
      <c r="AS694" t="str">
        <f t="shared" si="74"/>
        <v>Low Claim Ratio</v>
      </c>
      <c r="AT694" t="str">
        <f t="shared" si="75"/>
        <v>Low Profit</v>
      </c>
    </row>
    <row r="695" spans="1:46" x14ac:dyDescent="0.2">
      <c r="A695">
        <v>134</v>
      </c>
      <c r="B695">
        <v>36</v>
      </c>
      <c r="C695">
        <v>469426</v>
      </c>
      <c r="D695" s="1">
        <v>33069</v>
      </c>
      <c r="E695" t="s">
        <v>39</v>
      </c>
      <c r="F695" t="s">
        <v>40</v>
      </c>
      <c r="G695">
        <v>1000</v>
      </c>
      <c r="H695">
        <v>1497.41</v>
      </c>
      <c r="I695">
        <v>0</v>
      </c>
      <c r="J695">
        <v>613842</v>
      </c>
      <c r="K695" t="s">
        <v>41</v>
      </c>
      <c r="L695" t="s">
        <v>71</v>
      </c>
      <c r="M695" t="s">
        <v>58</v>
      </c>
      <c r="N695" t="s">
        <v>170</v>
      </c>
      <c r="O695" t="s">
        <v>45</v>
      </c>
      <c r="P695">
        <v>14100</v>
      </c>
      <c r="Q695">
        <v>-44500</v>
      </c>
      <c r="R695" s="1">
        <v>42029</v>
      </c>
      <c r="S695" t="s">
        <v>75</v>
      </c>
      <c r="T695" t="s">
        <v>47</v>
      </c>
      <c r="U695" t="s">
        <v>63</v>
      </c>
      <c r="V695" t="s">
        <v>136</v>
      </c>
      <c r="W695" t="s">
        <v>113</v>
      </c>
      <c r="X695" t="s">
        <v>156</v>
      </c>
      <c r="Y695" t="s">
        <v>872</v>
      </c>
      <c r="Z695">
        <v>17</v>
      </c>
      <c r="AA695">
        <v>3</v>
      </c>
      <c r="AB695" t="s">
        <v>79</v>
      </c>
      <c r="AC695">
        <v>2</v>
      </c>
      <c r="AD695">
        <v>0</v>
      </c>
      <c r="AE695" t="s">
        <v>53</v>
      </c>
      <c r="AF695">
        <v>77200</v>
      </c>
      <c r="AG695">
        <v>9650</v>
      </c>
      <c r="AH695">
        <v>9650</v>
      </c>
      <c r="AI695">
        <v>57900</v>
      </c>
      <c r="AJ695" t="s">
        <v>129</v>
      </c>
      <c r="AK695" t="s">
        <v>172</v>
      </c>
      <c r="AL695">
        <v>1996</v>
      </c>
      <c r="AM695" t="s">
        <v>82</v>
      </c>
      <c r="AN695" s="2">
        <f t="shared" si="70"/>
        <v>51.521279222642669</v>
      </c>
      <c r="AO695">
        <f t="shared" si="71"/>
        <v>-75702.59</v>
      </c>
      <c r="AP695" s="2">
        <f t="shared" si="72"/>
        <v>1.939625134389451E-2</v>
      </c>
      <c r="AQ695" s="2">
        <f t="shared" si="76"/>
        <v>19</v>
      </c>
      <c r="AR695">
        <f t="shared" si="73"/>
        <v>134</v>
      </c>
      <c r="AS695" t="str">
        <f t="shared" si="74"/>
        <v>High Claim Ratio</v>
      </c>
      <c r="AT695" t="str">
        <f t="shared" si="75"/>
        <v>High Profit</v>
      </c>
    </row>
    <row r="696" spans="1:46" x14ac:dyDescent="0.2">
      <c r="A696">
        <v>73</v>
      </c>
      <c r="B696">
        <v>30</v>
      </c>
      <c r="C696">
        <v>654974</v>
      </c>
      <c r="D696" s="1">
        <v>39943</v>
      </c>
      <c r="E696" t="s">
        <v>39</v>
      </c>
      <c r="F696" t="s">
        <v>69</v>
      </c>
      <c r="G696">
        <v>500</v>
      </c>
      <c r="H696">
        <v>803.36</v>
      </c>
      <c r="I696">
        <v>0</v>
      </c>
      <c r="J696">
        <v>435371</v>
      </c>
      <c r="K696" t="s">
        <v>70</v>
      </c>
      <c r="L696" t="s">
        <v>131</v>
      </c>
      <c r="M696" t="s">
        <v>135</v>
      </c>
      <c r="N696" t="s">
        <v>59</v>
      </c>
      <c r="O696" t="s">
        <v>45</v>
      </c>
      <c r="P696">
        <v>0</v>
      </c>
      <c r="Q696">
        <v>0</v>
      </c>
      <c r="R696" s="1">
        <v>42060</v>
      </c>
      <c r="S696" t="s">
        <v>75</v>
      </c>
      <c r="T696" t="s">
        <v>76</v>
      </c>
      <c r="U696" t="s">
        <v>107</v>
      </c>
      <c r="V696" t="s">
        <v>120</v>
      </c>
      <c r="W696" t="s">
        <v>113</v>
      </c>
      <c r="X696" t="s">
        <v>102</v>
      </c>
      <c r="Y696" t="s">
        <v>873</v>
      </c>
      <c r="Z696">
        <v>15</v>
      </c>
      <c r="AA696">
        <v>3</v>
      </c>
      <c r="AB696" t="s">
        <v>62</v>
      </c>
      <c r="AC696">
        <v>0</v>
      </c>
      <c r="AD696">
        <v>0</v>
      </c>
      <c r="AE696" t="s">
        <v>53</v>
      </c>
      <c r="AF696">
        <v>57000</v>
      </c>
      <c r="AG696">
        <v>0</v>
      </c>
      <c r="AH696">
        <v>11400</v>
      </c>
      <c r="AI696">
        <v>45600</v>
      </c>
      <c r="AJ696" t="s">
        <v>109</v>
      </c>
      <c r="AK696" t="s">
        <v>134</v>
      </c>
      <c r="AL696">
        <v>2013</v>
      </c>
      <c r="AM696" t="s">
        <v>82</v>
      </c>
      <c r="AN696" s="2">
        <f t="shared" si="70"/>
        <v>70.863792331791728</v>
      </c>
      <c r="AO696">
        <f t="shared" si="71"/>
        <v>-56196.639999999999</v>
      </c>
      <c r="AP696" s="2">
        <f t="shared" si="72"/>
        <v>1.4093787828283714E-2</v>
      </c>
      <c r="AQ696" s="2">
        <f t="shared" si="76"/>
        <v>2</v>
      </c>
      <c r="AR696">
        <f t="shared" si="73"/>
        <v>73</v>
      </c>
      <c r="AS696" t="str">
        <f t="shared" si="74"/>
        <v>High Claim Ratio</v>
      </c>
      <c r="AT696" t="str">
        <f t="shared" si="75"/>
        <v>High Profit</v>
      </c>
    </row>
    <row r="697" spans="1:46" x14ac:dyDescent="0.2">
      <c r="A697">
        <v>289</v>
      </c>
      <c r="B697">
        <v>45</v>
      </c>
      <c r="C697">
        <v>943425</v>
      </c>
      <c r="D697" s="1">
        <v>36461</v>
      </c>
      <c r="E697" t="s">
        <v>39</v>
      </c>
      <c r="F697" t="s">
        <v>40</v>
      </c>
      <c r="G697">
        <v>2000</v>
      </c>
      <c r="H697">
        <v>1221.4100000000001</v>
      </c>
      <c r="I697">
        <v>0</v>
      </c>
      <c r="J697">
        <v>466289</v>
      </c>
      <c r="K697" t="s">
        <v>70</v>
      </c>
      <c r="L697" t="s">
        <v>124</v>
      </c>
      <c r="M697" t="s">
        <v>189</v>
      </c>
      <c r="N697" t="s">
        <v>146</v>
      </c>
      <c r="O697" t="s">
        <v>119</v>
      </c>
      <c r="P697">
        <v>46700</v>
      </c>
      <c r="Q697">
        <v>-72500</v>
      </c>
      <c r="R697" s="1">
        <v>42062</v>
      </c>
      <c r="S697" t="s">
        <v>61</v>
      </c>
      <c r="T697" t="s">
        <v>62</v>
      </c>
      <c r="U697" t="s">
        <v>212</v>
      </c>
      <c r="V697" t="s">
        <v>49</v>
      </c>
      <c r="W697" t="s">
        <v>113</v>
      </c>
      <c r="X697" t="s">
        <v>65</v>
      </c>
      <c r="Y697" t="s">
        <v>874</v>
      </c>
      <c r="Z697">
        <v>9</v>
      </c>
      <c r="AA697">
        <v>1</v>
      </c>
      <c r="AB697" t="s">
        <v>79</v>
      </c>
      <c r="AC697">
        <v>2</v>
      </c>
      <c r="AD697">
        <v>1</v>
      </c>
      <c r="AE697" t="s">
        <v>79</v>
      </c>
      <c r="AF697">
        <v>2700</v>
      </c>
      <c r="AG697">
        <v>300</v>
      </c>
      <c r="AH697">
        <v>300</v>
      </c>
      <c r="AI697">
        <v>2100</v>
      </c>
      <c r="AJ697" t="s">
        <v>209</v>
      </c>
      <c r="AK697" t="s">
        <v>231</v>
      </c>
      <c r="AL697">
        <v>2006</v>
      </c>
      <c r="AM697" t="s">
        <v>82</v>
      </c>
      <c r="AN697" s="2">
        <f t="shared" si="70"/>
        <v>2.2087515645323581</v>
      </c>
      <c r="AO697">
        <f t="shared" si="71"/>
        <v>-1478.59</v>
      </c>
      <c r="AP697" s="2">
        <f t="shared" si="72"/>
        <v>0.45220659015179565</v>
      </c>
      <c r="AQ697" s="2">
        <f t="shared" si="76"/>
        <v>9</v>
      </c>
      <c r="AR697">
        <f t="shared" si="73"/>
        <v>289</v>
      </c>
      <c r="AS697" t="str">
        <f t="shared" si="74"/>
        <v>Low Claim Ratio</v>
      </c>
      <c r="AT697" t="str">
        <f t="shared" si="75"/>
        <v>Low Profit</v>
      </c>
    </row>
    <row r="698" spans="1:46" x14ac:dyDescent="0.2">
      <c r="A698">
        <v>176</v>
      </c>
      <c r="B698">
        <v>36</v>
      </c>
      <c r="C698">
        <v>641845</v>
      </c>
      <c r="D698" s="1">
        <v>34788</v>
      </c>
      <c r="E698" t="s">
        <v>39</v>
      </c>
      <c r="F698" t="s">
        <v>40</v>
      </c>
      <c r="G698">
        <v>500</v>
      </c>
      <c r="H698">
        <v>1865.83</v>
      </c>
      <c r="I698">
        <v>5000000</v>
      </c>
      <c r="J698">
        <v>436173</v>
      </c>
      <c r="K698" t="s">
        <v>41</v>
      </c>
      <c r="L698" t="s">
        <v>141</v>
      </c>
      <c r="M698" t="s">
        <v>145</v>
      </c>
      <c r="N698" t="s">
        <v>170</v>
      </c>
      <c r="O698" t="s">
        <v>85</v>
      </c>
      <c r="P698">
        <v>32800</v>
      </c>
      <c r="Q698">
        <v>-50600</v>
      </c>
      <c r="R698" s="1">
        <v>42046</v>
      </c>
      <c r="S698" t="s">
        <v>46</v>
      </c>
      <c r="T698" t="s">
        <v>76</v>
      </c>
      <c r="U698" t="s">
        <v>107</v>
      </c>
      <c r="V698" t="s">
        <v>49</v>
      </c>
      <c r="W698" t="s">
        <v>113</v>
      </c>
      <c r="X698" t="s">
        <v>122</v>
      </c>
      <c r="Y698" t="s">
        <v>875</v>
      </c>
      <c r="Z698">
        <v>17</v>
      </c>
      <c r="AA698">
        <v>1</v>
      </c>
      <c r="AB698" t="s">
        <v>62</v>
      </c>
      <c r="AC698">
        <v>2</v>
      </c>
      <c r="AD698">
        <v>1</v>
      </c>
      <c r="AE698" t="s">
        <v>53</v>
      </c>
      <c r="AF698">
        <v>47300</v>
      </c>
      <c r="AG698">
        <v>4300</v>
      </c>
      <c r="AH698">
        <v>8600</v>
      </c>
      <c r="AI698">
        <v>34400</v>
      </c>
      <c r="AJ698" t="s">
        <v>214</v>
      </c>
      <c r="AK698" t="s">
        <v>258</v>
      </c>
      <c r="AL698">
        <v>2006</v>
      </c>
      <c r="AM698" t="s">
        <v>82</v>
      </c>
      <c r="AN698" s="2">
        <f t="shared" si="70"/>
        <v>25.337068720772649</v>
      </c>
      <c r="AO698">
        <f t="shared" si="71"/>
        <v>-45434.17</v>
      </c>
      <c r="AP698" s="2">
        <f t="shared" si="72"/>
        <v>3.944588909325384E-2</v>
      </c>
      <c r="AQ698" s="2">
        <f t="shared" si="76"/>
        <v>9</v>
      </c>
      <c r="AR698">
        <f t="shared" si="73"/>
        <v>176</v>
      </c>
      <c r="AS698" t="str">
        <f t="shared" si="74"/>
        <v>High Claim Ratio</v>
      </c>
      <c r="AT698" t="str">
        <f t="shared" si="75"/>
        <v>High Profit</v>
      </c>
    </row>
    <row r="699" spans="1:46" x14ac:dyDescent="0.2">
      <c r="A699">
        <v>145</v>
      </c>
      <c r="B699">
        <v>37</v>
      </c>
      <c r="C699">
        <v>794534</v>
      </c>
      <c r="D699" s="1">
        <v>33586</v>
      </c>
      <c r="E699" t="s">
        <v>39</v>
      </c>
      <c r="F699" t="s">
        <v>40</v>
      </c>
      <c r="G699">
        <v>2000</v>
      </c>
      <c r="H699">
        <v>1434.27</v>
      </c>
      <c r="I699">
        <v>0</v>
      </c>
      <c r="J699">
        <v>457234</v>
      </c>
      <c r="K699" t="s">
        <v>70</v>
      </c>
      <c r="L699" t="s">
        <v>92</v>
      </c>
      <c r="M699" t="s">
        <v>97</v>
      </c>
      <c r="N699" t="s">
        <v>44</v>
      </c>
      <c r="O699" t="s">
        <v>85</v>
      </c>
      <c r="P699">
        <v>0</v>
      </c>
      <c r="Q699">
        <v>-35900</v>
      </c>
      <c r="R699" s="1">
        <v>42008</v>
      </c>
      <c r="S699" t="s">
        <v>46</v>
      </c>
      <c r="T699" t="s">
        <v>76</v>
      </c>
      <c r="U699" t="s">
        <v>48</v>
      </c>
      <c r="V699" t="s">
        <v>120</v>
      </c>
      <c r="W699" t="s">
        <v>64</v>
      </c>
      <c r="X699" t="s">
        <v>87</v>
      </c>
      <c r="Y699" t="s">
        <v>876</v>
      </c>
      <c r="Z699">
        <v>13</v>
      </c>
      <c r="AA699">
        <v>1</v>
      </c>
      <c r="AB699" t="s">
        <v>62</v>
      </c>
      <c r="AC699">
        <v>2</v>
      </c>
      <c r="AD699">
        <v>3</v>
      </c>
      <c r="AE699" t="s">
        <v>62</v>
      </c>
      <c r="AF699">
        <v>55110</v>
      </c>
      <c r="AG699">
        <v>5010</v>
      </c>
      <c r="AH699">
        <v>10020</v>
      </c>
      <c r="AI699">
        <v>40080</v>
      </c>
      <c r="AJ699" t="s">
        <v>104</v>
      </c>
      <c r="AK699" t="s">
        <v>151</v>
      </c>
      <c r="AL699">
        <v>2002</v>
      </c>
      <c r="AM699" t="s">
        <v>82</v>
      </c>
      <c r="AN699" s="2">
        <f t="shared" si="70"/>
        <v>38.396956670173559</v>
      </c>
      <c r="AO699">
        <f t="shared" si="71"/>
        <v>-53675.73</v>
      </c>
      <c r="AP699" s="2">
        <f t="shared" si="72"/>
        <v>2.602511295385676E-2</v>
      </c>
      <c r="AQ699" s="2">
        <f t="shared" si="76"/>
        <v>13</v>
      </c>
      <c r="AR699">
        <f t="shared" si="73"/>
        <v>145</v>
      </c>
      <c r="AS699" t="str">
        <f t="shared" si="74"/>
        <v>High Claim Ratio</v>
      </c>
      <c r="AT699" t="str">
        <f t="shared" si="75"/>
        <v>High Profit</v>
      </c>
    </row>
    <row r="700" spans="1:46" x14ac:dyDescent="0.2">
      <c r="A700">
        <v>164</v>
      </c>
      <c r="B700">
        <v>31</v>
      </c>
      <c r="C700">
        <v>357808</v>
      </c>
      <c r="D700" s="1">
        <v>40574</v>
      </c>
      <c r="E700" t="s">
        <v>57</v>
      </c>
      <c r="F700" t="s">
        <v>91</v>
      </c>
      <c r="G700">
        <v>500</v>
      </c>
      <c r="H700">
        <v>1114.68</v>
      </c>
      <c r="I700">
        <v>0</v>
      </c>
      <c r="J700">
        <v>474758</v>
      </c>
      <c r="K700" t="s">
        <v>70</v>
      </c>
      <c r="L700" t="s">
        <v>92</v>
      </c>
      <c r="M700" t="s">
        <v>111</v>
      </c>
      <c r="N700" t="s">
        <v>59</v>
      </c>
      <c r="O700" t="s">
        <v>45</v>
      </c>
      <c r="P700">
        <v>44500</v>
      </c>
      <c r="Q700">
        <v>-55900</v>
      </c>
      <c r="R700" s="1">
        <v>42030</v>
      </c>
      <c r="S700" t="s">
        <v>61</v>
      </c>
      <c r="T700" t="s">
        <v>62</v>
      </c>
      <c r="U700" t="s">
        <v>212</v>
      </c>
      <c r="V700" t="s">
        <v>49</v>
      </c>
      <c r="W700" t="s">
        <v>50</v>
      </c>
      <c r="X700" t="s">
        <v>102</v>
      </c>
      <c r="Y700" t="s">
        <v>877</v>
      </c>
      <c r="Z700">
        <v>5</v>
      </c>
      <c r="AA700">
        <v>1</v>
      </c>
      <c r="AB700" t="s">
        <v>53</v>
      </c>
      <c r="AC700">
        <v>1</v>
      </c>
      <c r="AD700">
        <v>0</v>
      </c>
      <c r="AE700" t="s">
        <v>79</v>
      </c>
      <c r="AF700">
        <v>4320</v>
      </c>
      <c r="AG700">
        <v>480</v>
      </c>
      <c r="AH700">
        <v>480</v>
      </c>
      <c r="AI700">
        <v>3360</v>
      </c>
      <c r="AJ700" t="s">
        <v>67</v>
      </c>
      <c r="AK700" t="s">
        <v>68</v>
      </c>
      <c r="AL700">
        <v>2002</v>
      </c>
      <c r="AM700" t="s">
        <v>82</v>
      </c>
      <c r="AN700" s="2">
        <f t="shared" si="70"/>
        <v>3.8720780152014913</v>
      </c>
      <c r="AO700">
        <f t="shared" si="71"/>
        <v>-3205.3199999999997</v>
      </c>
      <c r="AP700" s="2">
        <f t="shared" si="72"/>
        <v>0.25796806294839159</v>
      </c>
      <c r="AQ700" s="2">
        <f t="shared" si="76"/>
        <v>13</v>
      </c>
      <c r="AR700">
        <f t="shared" si="73"/>
        <v>164</v>
      </c>
      <c r="AS700" t="str">
        <f t="shared" si="74"/>
        <v>Low Claim Ratio</v>
      </c>
      <c r="AT700" t="str">
        <f t="shared" si="75"/>
        <v>Low Profit</v>
      </c>
    </row>
    <row r="701" spans="1:46" x14ac:dyDescent="0.2">
      <c r="A701">
        <v>186</v>
      </c>
      <c r="B701">
        <v>38</v>
      </c>
      <c r="C701">
        <v>536052</v>
      </c>
      <c r="D701" s="1">
        <v>38828</v>
      </c>
      <c r="E701" t="s">
        <v>39</v>
      </c>
      <c r="F701" t="s">
        <v>40</v>
      </c>
      <c r="G701">
        <v>2000</v>
      </c>
      <c r="H701">
        <v>1218.56</v>
      </c>
      <c r="I701">
        <v>0</v>
      </c>
      <c r="J701">
        <v>477373</v>
      </c>
      <c r="K701" t="s">
        <v>70</v>
      </c>
      <c r="L701" t="s">
        <v>124</v>
      </c>
      <c r="M701" t="s">
        <v>145</v>
      </c>
      <c r="N701" t="s">
        <v>181</v>
      </c>
      <c r="O701" t="s">
        <v>45</v>
      </c>
      <c r="P701">
        <v>39300</v>
      </c>
      <c r="Q701">
        <v>-60300</v>
      </c>
      <c r="R701" s="1">
        <v>42064</v>
      </c>
      <c r="S701" t="s">
        <v>75</v>
      </c>
      <c r="T701" t="s">
        <v>86</v>
      </c>
      <c r="U701" t="s">
        <v>107</v>
      </c>
      <c r="V701" t="s">
        <v>49</v>
      </c>
      <c r="W701" t="s">
        <v>64</v>
      </c>
      <c r="X701" t="s">
        <v>87</v>
      </c>
      <c r="Y701" t="s">
        <v>878</v>
      </c>
      <c r="Z701">
        <v>23</v>
      </c>
      <c r="AA701">
        <v>3</v>
      </c>
      <c r="AB701" t="s">
        <v>53</v>
      </c>
      <c r="AC701">
        <v>2</v>
      </c>
      <c r="AD701">
        <v>2</v>
      </c>
      <c r="AE701" t="s">
        <v>62</v>
      </c>
      <c r="AF701">
        <v>68760</v>
      </c>
      <c r="AG701">
        <v>11460</v>
      </c>
      <c r="AH701">
        <v>5730</v>
      </c>
      <c r="AI701">
        <v>51570</v>
      </c>
      <c r="AJ701" t="s">
        <v>54</v>
      </c>
      <c r="AK701">
        <v>95</v>
      </c>
      <c r="AL701">
        <v>1998</v>
      </c>
      <c r="AM701" t="s">
        <v>56</v>
      </c>
      <c r="AN701" s="2">
        <f t="shared" si="70"/>
        <v>56.380989865197286</v>
      </c>
      <c r="AO701">
        <f t="shared" si="71"/>
        <v>-67541.440000000002</v>
      </c>
      <c r="AP701" s="2">
        <f t="shared" si="72"/>
        <v>1.7721673623129389E-2</v>
      </c>
      <c r="AQ701" s="2">
        <f t="shared" si="76"/>
        <v>17</v>
      </c>
      <c r="AR701">
        <f t="shared" si="73"/>
        <v>186</v>
      </c>
      <c r="AS701" t="str">
        <f t="shared" si="74"/>
        <v>High Claim Ratio</v>
      </c>
      <c r="AT701" t="str">
        <f t="shared" si="75"/>
        <v>High Profit</v>
      </c>
    </row>
    <row r="702" spans="1:46" x14ac:dyDescent="0.2">
      <c r="A702">
        <v>85</v>
      </c>
      <c r="B702">
        <v>31</v>
      </c>
      <c r="C702">
        <v>873384</v>
      </c>
      <c r="D702" s="1">
        <v>38056</v>
      </c>
      <c r="E702" t="s">
        <v>83</v>
      </c>
      <c r="F702" t="s">
        <v>40</v>
      </c>
      <c r="G702">
        <v>2000</v>
      </c>
      <c r="H702">
        <v>1234.69</v>
      </c>
      <c r="I702">
        <v>9000000</v>
      </c>
      <c r="J702">
        <v>613471</v>
      </c>
      <c r="K702" t="s">
        <v>70</v>
      </c>
      <c r="L702" t="s">
        <v>42</v>
      </c>
      <c r="M702" t="s">
        <v>97</v>
      </c>
      <c r="N702" t="s">
        <v>165</v>
      </c>
      <c r="O702" t="s">
        <v>45</v>
      </c>
      <c r="P702">
        <v>0</v>
      </c>
      <c r="Q702">
        <v>0</v>
      </c>
      <c r="R702" s="1">
        <v>42041</v>
      </c>
      <c r="S702" t="s">
        <v>75</v>
      </c>
      <c r="T702" t="s">
        <v>86</v>
      </c>
      <c r="U702" t="s">
        <v>48</v>
      </c>
      <c r="V702" t="s">
        <v>120</v>
      </c>
      <c r="W702" t="s">
        <v>113</v>
      </c>
      <c r="X702" t="s">
        <v>87</v>
      </c>
      <c r="Y702" t="s">
        <v>879</v>
      </c>
      <c r="Z702">
        <v>1</v>
      </c>
      <c r="AA702">
        <v>2</v>
      </c>
      <c r="AB702" t="s">
        <v>79</v>
      </c>
      <c r="AC702">
        <v>2</v>
      </c>
      <c r="AD702">
        <v>1</v>
      </c>
      <c r="AE702" t="s">
        <v>62</v>
      </c>
      <c r="AF702">
        <v>74400</v>
      </c>
      <c r="AG702">
        <v>14880</v>
      </c>
      <c r="AH702">
        <v>7440</v>
      </c>
      <c r="AI702">
        <v>52080</v>
      </c>
      <c r="AJ702" t="s">
        <v>187</v>
      </c>
      <c r="AK702" t="s">
        <v>201</v>
      </c>
      <c r="AL702">
        <v>2003</v>
      </c>
      <c r="AM702" t="s">
        <v>56</v>
      </c>
      <c r="AN702" s="2">
        <f t="shared" si="70"/>
        <v>60.209275789235164</v>
      </c>
      <c r="AO702">
        <f t="shared" si="71"/>
        <v>-73165.31</v>
      </c>
      <c r="AP702" s="2">
        <f t="shared" si="72"/>
        <v>1.6595072646873026E-2</v>
      </c>
      <c r="AQ702" s="2">
        <f t="shared" si="76"/>
        <v>12</v>
      </c>
      <c r="AR702">
        <f t="shared" si="73"/>
        <v>85</v>
      </c>
      <c r="AS702" t="str">
        <f t="shared" si="74"/>
        <v>High Claim Ratio</v>
      </c>
      <c r="AT702" t="str">
        <f t="shared" si="75"/>
        <v>High Profit</v>
      </c>
    </row>
    <row r="703" spans="1:46" x14ac:dyDescent="0.2">
      <c r="A703">
        <v>162</v>
      </c>
      <c r="B703">
        <v>33</v>
      </c>
      <c r="C703">
        <v>790225</v>
      </c>
      <c r="D703" s="1">
        <v>33243</v>
      </c>
      <c r="E703" t="s">
        <v>39</v>
      </c>
      <c r="F703" t="s">
        <v>40</v>
      </c>
      <c r="G703">
        <v>500</v>
      </c>
      <c r="H703">
        <v>964.92</v>
      </c>
      <c r="I703">
        <v>0</v>
      </c>
      <c r="J703">
        <v>601581</v>
      </c>
      <c r="K703" t="s">
        <v>70</v>
      </c>
      <c r="L703" t="s">
        <v>92</v>
      </c>
      <c r="M703" t="s">
        <v>125</v>
      </c>
      <c r="N703" t="s">
        <v>106</v>
      </c>
      <c r="O703" t="s">
        <v>60</v>
      </c>
      <c r="P703">
        <v>45700</v>
      </c>
      <c r="Q703">
        <v>0</v>
      </c>
      <c r="R703" s="1">
        <v>42044</v>
      </c>
      <c r="S703" t="s">
        <v>75</v>
      </c>
      <c r="T703" t="s">
        <v>76</v>
      </c>
      <c r="U703" t="s">
        <v>48</v>
      </c>
      <c r="V703" t="s">
        <v>99</v>
      </c>
      <c r="W703" t="s">
        <v>77</v>
      </c>
      <c r="X703" t="s">
        <v>122</v>
      </c>
      <c r="Y703" t="s">
        <v>880</v>
      </c>
      <c r="Z703">
        <v>17</v>
      </c>
      <c r="AA703">
        <v>4</v>
      </c>
      <c r="AB703" t="s">
        <v>79</v>
      </c>
      <c r="AC703">
        <v>2</v>
      </c>
      <c r="AD703">
        <v>1</v>
      </c>
      <c r="AE703" t="s">
        <v>79</v>
      </c>
      <c r="AF703">
        <v>35300</v>
      </c>
      <c r="AG703">
        <v>3530</v>
      </c>
      <c r="AH703">
        <v>3530</v>
      </c>
      <c r="AI703">
        <v>28240</v>
      </c>
      <c r="AJ703" t="s">
        <v>67</v>
      </c>
      <c r="AK703" t="s">
        <v>68</v>
      </c>
      <c r="AL703">
        <v>1996</v>
      </c>
      <c r="AM703" t="s">
        <v>56</v>
      </c>
      <c r="AN703" s="2">
        <f t="shared" si="70"/>
        <v>36.545469604108</v>
      </c>
      <c r="AO703">
        <f t="shared" si="71"/>
        <v>-34335.08</v>
      </c>
      <c r="AP703" s="2">
        <f t="shared" si="72"/>
        <v>2.7334069856378006E-2</v>
      </c>
      <c r="AQ703" s="2">
        <f t="shared" si="76"/>
        <v>19</v>
      </c>
      <c r="AR703">
        <f t="shared" si="73"/>
        <v>162</v>
      </c>
      <c r="AS703" t="str">
        <f t="shared" si="74"/>
        <v>High Claim Ratio</v>
      </c>
      <c r="AT703" t="str">
        <f t="shared" si="75"/>
        <v>High Profit</v>
      </c>
    </row>
    <row r="704" spans="1:46" x14ac:dyDescent="0.2">
      <c r="A704">
        <v>396</v>
      </c>
      <c r="B704">
        <v>57</v>
      </c>
      <c r="C704">
        <v>587498</v>
      </c>
      <c r="D704" s="1">
        <v>35353</v>
      </c>
      <c r="E704" t="s">
        <v>83</v>
      </c>
      <c r="F704" t="s">
        <v>91</v>
      </c>
      <c r="G704">
        <v>500</v>
      </c>
      <c r="H704">
        <v>1351.72</v>
      </c>
      <c r="I704">
        <v>0</v>
      </c>
      <c r="J704">
        <v>612102</v>
      </c>
      <c r="K704" t="s">
        <v>41</v>
      </c>
      <c r="L704" t="s">
        <v>131</v>
      </c>
      <c r="M704" t="s">
        <v>97</v>
      </c>
      <c r="N704" t="s">
        <v>118</v>
      </c>
      <c r="O704" t="s">
        <v>119</v>
      </c>
      <c r="P704">
        <v>0</v>
      </c>
      <c r="Q704">
        <v>-49400</v>
      </c>
      <c r="R704" s="1">
        <v>42040</v>
      </c>
      <c r="S704" t="s">
        <v>138</v>
      </c>
      <c r="T704" t="s">
        <v>62</v>
      </c>
      <c r="U704" t="s">
        <v>63</v>
      </c>
      <c r="V704" t="s">
        <v>93</v>
      </c>
      <c r="W704" t="s">
        <v>77</v>
      </c>
      <c r="X704" t="s">
        <v>102</v>
      </c>
      <c r="Y704" t="s">
        <v>881</v>
      </c>
      <c r="Z704">
        <v>3</v>
      </c>
      <c r="AA704">
        <v>1</v>
      </c>
      <c r="AB704" t="s">
        <v>53</v>
      </c>
      <c r="AC704">
        <v>1</v>
      </c>
      <c r="AD704">
        <v>3</v>
      </c>
      <c r="AE704" t="s">
        <v>62</v>
      </c>
      <c r="AF704">
        <v>2640</v>
      </c>
      <c r="AG704">
        <v>480</v>
      </c>
      <c r="AH704">
        <v>480</v>
      </c>
      <c r="AI704">
        <v>1680</v>
      </c>
      <c r="AJ704" t="s">
        <v>214</v>
      </c>
      <c r="AK704" t="s">
        <v>215</v>
      </c>
      <c r="AL704">
        <v>2000</v>
      </c>
      <c r="AM704" t="s">
        <v>82</v>
      </c>
      <c r="AN704" s="2">
        <f t="shared" si="70"/>
        <v>1.9516233958247087</v>
      </c>
      <c r="AO704">
        <f t="shared" si="71"/>
        <v>-1288.28</v>
      </c>
      <c r="AP704" s="2">
        <f t="shared" si="72"/>
        <v>0.51182127981825065</v>
      </c>
      <c r="AQ704" s="2">
        <f t="shared" si="76"/>
        <v>15</v>
      </c>
      <c r="AR704">
        <f t="shared" si="73"/>
        <v>396</v>
      </c>
      <c r="AS704" t="str">
        <f t="shared" si="74"/>
        <v>Low Claim Ratio</v>
      </c>
      <c r="AT704" t="str">
        <f t="shared" si="75"/>
        <v>Low Profit</v>
      </c>
    </row>
    <row r="705" spans="1:46" x14ac:dyDescent="0.2">
      <c r="A705">
        <v>270</v>
      </c>
      <c r="B705">
        <v>41</v>
      </c>
      <c r="C705">
        <v>639027</v>
      </c>
      <c r="D705" s="1">
        <v>34506</v>
      </c>
      <c r="E705" t="s">
        <v>83</v>
      </c>
      <c r="F705" t="s">
        <v>40</v>
      </c>
      <c r="G705">
        <v>1000</v>
      </c>
      <c r="H705">
        <v>817.28</v>
      </c>
      <c r="I705">
        <v>0</v>
      </c>
      <c r="J705">
        <v>460263</v>
      </c>
      <c r="K705" t="s">
        <v>41</v>
      </c>
      <c r="L705" t="s">
        <v>131</v>
      </c>
      <c r="M705" t="s">
        <v>72</v>
      </c>
      <c r="N705" t="s">
        <v>242</v>
      </c>
      <c r="O705" t="s">
        <v>85</v>
      </c>
      <c r="P705">
        <v>62200</v>
      </c>
      <c r="Q705">
        <v>0</v>
      </c>
      <c r="R705" s="1">
        <v>42007</v>
      </c>
      <c r="S705" t="s">
        <v>75</v>
      </c>
      <c r="T705" t="s">
        <v>76</v>
      </c>
      <c r="U705" t="s">
        <v>107</v>
      </c>
      <c r="V705" t="s">
        <v>136</v>
      </c>
      <c r="W705" t="s">
        <v>50</v>
      </c>
      <c r="X705" t="s">
        <v>51</v>
      </c>
      <c r="Y705" t="s">
        <v>882</v>
      </c>
      <c r="Z705">
        <v>17</v>
      </c>
      <c r="AA705">
        <v>3</v>
      </c>
      <c r="AB705" t="s">
        <v>62</v>
      </c>
      <c r="AC705">
        <v>1</v>
      </c>
      <c r="AD705">
        <v>1</v>
      </c>
      <c r="AE705" t="s">
        <v>79</v>
      </c>
      <c r="AF705">
        <v>60190</v>
      </c>
      <c r="AG705">
        <v>4630</v>
      </c>
      <c r="AH705">
        <v>9260</v>
      </c>
      <c r="AI705">
        <v>46300</v>
      </c>
      <c r="AJ705" t="s">
        <v>67</v>
      </c>
      <c r="AK705" t="s">
        <v>271</v>
      </c>
      <c r="AL705">
        <v>2014</v>
      </c>
      <c r="AM705" t="s">
        <v>56</v>
      </c>
      <c r="AN705" s="2">
        <f t="shared" si="70"/>
        <v>73.556728748105783</v>
      </c>
      <c r="AO705">
        <f t="shared" si="71"/>
        <v>-59372.72</v>
      </c>
      <c r="AP705" s="2">
        <f t="shared" si="72"/>
        <v>1.3578109684172052E-2</v>
      </c>
      <c r="AQ705" s="2">
        <f t="shared" si="76"/>
        <v>1</v>
      </c>
      <c r="AR705">
        <f t="shared" si="73"/>
        <v>270</v>
      </c>
      <c r="AS705" t="str">
        <f t="shared" si="74"/>
        <v>High Claim Ratio</v>
      </c>
      <c r="AT705" t="str">
        <f t="shared" si="75"/>
        <v>High Profit</v>
      </c>
    </row>
    <row r="706" spans="1:46" x14ac:dyDescent="0.2">
      <c r="A706">
        <v>168</v>
      </c>
      <c r="B706">
        <v>39</v>
      </c>
      <c r="C706">
        <v>217899</v>
      </c>
      <c r="D706" s="1">
        <v>34498</v>
      </c>
      <c r="E706" t="s">
        <v>83</v>
      </c>
      <c r="F706" t="s">
        <v>91</v>
      </c>
      <c r="G706">
        <v>1000</v>
      </c>
      <c r="H706">
        <v>1389.59</v>
      </c>
      <c r="I706">
        <v>0</v>
      </c>
      <c r="J706">
        <v>479134</v>
      </c>
      <c r="K706" t="s">
        <v>70</v>
      </c>
      <c r="L706" t="s">
        <v>124</v>
      </c>
      <c r="M706" t="s">
        <v>58</v>
      </c>
      <c r="N706" t="s">
        <v>264</v>
      </c>
      <c r="O706" t="s">
        <v>74</v>
      </c>
      <c r="P706">
        <v>0</v>
      </c>
      <c r="Q706">
        <v>-42600</v>
      </c>
      <c r="R706" s="1">
        <v>42059</v>
      </c>
      <c r="S706" t="s">
        <v>75</v>
      </c>
      <c r="T706" t="s">
        <v>76</v>
      </c>
      <c r="U706" t="s">
        <v>48</v>
      </c>
      <c r="V706" t="s">
        <v>99</v>
      </c>
      <c r="W706" t="s">
        <v>77</v>
      </c>
      <c r="X706" t="s">
        <v>127</v>
      </c>
      <c r="Y706" t="s">
        <v>883</v>
      </c>
      <c r="Z706">
        <v>23</v>
      </c>
      <c r="AA706">
        <v>3</v>
      </c>
      <c r="AB706" t="s">
        <v>53</v>
      </c>
      <c r="AC706">
        <v>1</v>
      </c>
      <c r="AD706">
        <v>3</v>
      </c>
      <c r="AE706" t="s">
        <v>79</v>
      </c>
      <c r="AF706">
        <v>41580</v>
      </c>
      <c r="AG706">
        <v>3780</v>
      </c>
      <c r="AH706">
        <v>7560</v>
      </c>
      <c r="AI706">
        <v>30240</v>
      </c>
      <c r="AJ706" t="s">
        <v>89</v>
      </c>
      <c r="AK706" t="s">
        <v>245</v>
      </c>
      <c r="AL706">
        <v>2015</v>
      </c>
      <c r="AM706" t="s">
        <v>56</v>
      </c>
      <c r="AN706" s="2">
        <f t="shared" si="70"/>
        <v>29.900977283023753</v>
      </c>
      <c r="AO706">
        <f t="shared" si="71"/>
        <v>-40190.410000000003</v>
      </c>
      <c r="AP706" s="2">
        <f t="shared" si="72"/>
        <v>3.3418869195065051E-2</v>
      </c>
      <c r="AQ706" s="2">
        <f t="shared" si="76"/>
        <v>0</v>
      </c>
      <c r="AR706">
        <f t="shared" si="73"/>
        <v>168</v>
      </c>
      <c r="AS706" t="str">
        <f t="shared" si="74"/>
        <v>High Claim Ratio</v>
      </c>
      <c r="AT706" t="str">
        <f t="shared" si="75"/>
        <v>High Profit</v>
      </c>
    </row>
    <row r="707" spans="1:46" x14ac:dyDescent="0.2">
      <c r="A707">
        <v>274</v>
      </c>
      <c r="B707">
        <v>45</v>
      </c>
      <c r="C707">
        <v>589094</v>
      </c>
      <c r="D707" s="1">
        <v>37768</v>
      </c>
      <c r="E707" t="s">
        <v>57</v>
      </c>
      <c r="F707" t="s">
        <v>40</v>
      </c>
      <c r="G707">
        <v>1000</v>
      </c>
      <c r="H707">
        <v>1353.53</v>
      </c>
      <c r="I707">
        <v>0</v>
      </c>
      <c r="J707">
        <v>451467</v>
      </c>
      <c r="K707" t="s">
        <v>70</v>
      </c>
      <c r="L707" t="s">
        <v>161</v>
      </c>
      <c r="M707" t="s">
        <v>97</v>
      </c>
      <c r="N707" t="s">
        <v>242</v>
      </c>
      <c r="O707" t="s">
        <v>85</v>
      </c>
      <c r="P707">
        <v>54700</v>
      </c>
      <c r="Q707">
        <v>-47900</v>
      </c>
      <c r="R707" s="1">
        <v>42018</v>
      </c>
      <c r="S707" t="s">
        <v>46</v>
      </c>
      <c r="T707" t="s">
        <v>47</v>
      </c>
      <c r="U707" t="s">
        <v>63</v>
      </c>
      <c r="V707" t="s">
        <v>136</v>
      </c>
      <c r="W707" t="s">
        <v>77</v>
      </c>
      <c r="X707" t="s">
        <v>51</v>
      </c>
      <c r="Y707" t="s">
        <v>884</v>
      </c>
      <c r="Z707">
        <v>13</v>
      </c>
      <c r="AA707">
        <v>1</v>
      </c>
      <c r="AB707" t="s">
        <v>53</v>
      </c>
      <c r="AC707">
        <v>0</v>
      </c>
      <c r="AD707">
        <v>0</v>
      </c>
      <c r="AE707" t="s">
        <v>79</v>
      </c>
      <c r="AF707">
        <v>58500</v>
      </c>
      <c r="AG707">
        <v>11700</v>
      </c>
      <c r="AH707">
        <v>0</v>
      </c>
      <c r="AI707">
        <v>46800</v>
      </c>
      <c r="AJ707" t="s">
        <v>95</v>
      </c>
      <c r="AK707" t="s">
        <v>148</v>
      </c>
      <c r="AL707">
        <v>1995</v>
      </c>
      <c r="AM707" t="s">
        <v>56</v>
      </c>
      <c r="AN707" s="2">
        <f t="shared" ref="AN707:AN770" si="77">AF707/(H707+1)</f>
        <v>43.188412216783682</v>
      </c>
      <c r="AO707">
        <f t="shared" ref="AO707:AO770" si="78">H707-AF707</f>
        <v>-57146.47</v>
      </c>
      <c r="AP707" s="2">
        <f t="shared" ref="AP707:AP770" si="79">H707/(AF707+1)</f>
        <v>2.3136869455222989E-2</v>
      </c>
      <c r="AQ707" s="2">
        <f t="shared" si="76"/>
        <v>20</v>
      </c>
      <c r="AR707">
        <f t="shared" ref="AR707:AR770" si="80">A707</f>
        <v>274</v>
      </c>
      <c r="AS707" t="str">
        <f t="shared" ref="AS707:AS770" si="81">IF(AN707&lt;5,"Low Claim Ratio",
 IF(AN707&lt;20,"Medium Claim Ratio",
 "High Claim Ratio"))</f>
        <v>High Claim Ratio</v>
      </c>
      <c r="AT707" t="str">
        <f t="shared" ref="AT707:AT770" si="82">IF(-AO707&lt;0,"Loss Making",
 IF(-AO707&lt;5000,"Low Profit",
 "High Profit"))</f>
        <v>High Profit</v>
      </c>
    </row>
    <row r="708" spans="1:46" x14ac:dyDescent="0.2">
      <c r="A708">
        <v>263</v>
      </c>
      <c r="B708">
        <v>43</v>
      </c>
      <c r="C708">
        <v>458829</v>
      </c>
      <c r="D708" s="1">
        <v>35252</v>
      </c>
      <c r="E708" t="s">
        <v>57</v>
      </c>
      <c r="F708" t="s">
        <v>91</v>
      </c>
      <c r="G708">
        <v>1000</v>
      </c>
      <c r="H708">
        <v>1294.04</v>
      </c>
      <c r="I708">
        <v>0</v>
      </c>
      <c r="J708">
        <v>602670</v>
      </c>
      <c r="K708" t="s">
        <v>70</v>
      </c>
      <c r="L708" t="s">
        <v>124</v>
      </c>
      <c r="M708" t="s">
        <v>159</v>
      </c>
      <c r="N708" t="s">
        <v>146</v>
      </c>
      <c r="O708" t="s">
        <v>142</v>
      </c>
      <c r="P708">
        <v>0</v>
      </c>
      <c r="Q708">
        <v>0</v>
      </c>
      <c r="R708" s="1">
        <v>42012</v>
      </c>
      <c r="S708" t="s">
        <v>46</v>
      </c>
      <c r="T708" t="s">
        <v>76</v>
      </c>
      <c r="U708" t="s">
        <v>63</v>
      </c>
      <c r="V708" t="s">
        <v>99</v>
      </c>
      <c r="W708" t="s">
        <v>50</v>
      </c>
      <c r="X708" t="s">
        <v>65</v>
      </c>
      <c r="Y708" t="s">
        <v>885</v>
      </c>
      <c r="Z708">
        <v>17</v>
      </c>
      <c r="AA708">
        <v>1</v>
      </c>
      <c r="AB708" t="s">
        <v>53</v>
      </c>
      <c r="AC708">
        <v>2</v>
      </c>
      <c r="AD708">
        <v>3</v>
      </c>
      <c r="AE708" t="s">
        <v>53</v>
      </c>
      <c r="AF708">
        <v>79320</v>
      </c>
      <c r="AG708">
        <v>13220</v>
      </c>
      <c r="AH708">
        <v>6610</v>
      </c>
      <c r="AI708">
        <v>59490</v>
      </c>
      <c r="AJ708" t="s">
        <v>104</v>
      </c>
      <c r="AK708" t="s">
        <v>287</v>
      </c>
      <c r="AL708">
        <v>1997</v>
      </c>
      <c r="AM708" t="s">
        <v>82</v>
      </c>
      <c r="AN708" s="2">
        <f t="shared" si="77"/>
        <v>61.249073387694587</v>
      </c>
      <c r="AO708">
        <f t="shared" si="78"/>
        <v>-78025.960000000006</v>
      </c>
      <c r="AP708" s="2">
        <f t="shared" si="79"/>
        <v>1.631396477603661E-2</v>
      </c>
      <c r="AQ708" s="2">
        <f t="shared" ref="AQ708:AQ771" si="83">YEAR(R708)-(AL708)</f>
        <v>18</v>
      </c>
      <c r="AR708">
        <f t="shared" si="80"/>
        <v>263</v>
      </c>
      <c r="AS708" t="str">
        <f t="shared" si="81"/>
        <v>High Claim Ratio</v>
      </c>
      <c r="AT708" t="str">
        <f t="shared" si="82"/>
        <v>High Profit</v>
      </c>
    </row>
    <row r="709" spans="1:46" x14ac:dyDescent="0.2">
      <c r="A709">
        <v>152</v>
      </c>
      <c r="B709">
        <v>33</v>
      </c>
      <c r="C709">
        <v>626208</v>
      </c>
      <c r="D709" s="1">
        <v>38480</v>
      </c>
      <c r="E709" t="s">
        <v>39</v>
      </c>
      <c r="F709" t="s">
        <v>69</v>
      </c>
      <c r="G709">
        <v>1000</v>
      </c>
      <c r="H709">
        <v>840.81</v>
      </c>
      <c r="I709">
        <v>0</v>
      </c>
      <c r="J709">
        <v>613607</v>
      </c>
      <c r="K709" t="s">
        <v>70</v>
      </c>
      <c r="L709" t="s">
        <v>131</v>
      </c>
      <c r="M709" t="s">
        <v>189</v>
      </c>
      <c r="N709" t="s">
        <v>168</v>
      </c>
      <c r="O709" t="s">
        <v>45</v>
      </c>
      <c r="P709">
        <v>0</v>
      </c>
      <c r="Q709">
        <v>0</v>
      </c>
      <c r="R709" s="1">
        <v>42049</v>
      </c>
      <c r="S709" t="s">
        <v>46</v>
      </c>
      <c r="T709" t="s">
        <v>76</v>
      </c>
      <c r="U709" t="s">
        <v>63</v>
      </c>
      <c r="V709" t="s">
        <v>136</v>
      </c>
      <c r="W709" t="s">
        <v>77</v>
      </c>
      <c r="X709" t="s">
        <v>87</v>
      </c>
      <c r="Y709" t="s">
        <v>886</v>
      </c>
      <c r="Z709">
        <v>2</v>
      </c>
      <c r="AA709">
        <v>1</v>
      </c>
      <c r="AB709" t="s">
        <v>53</v>
      </c>
      <c r="AC709">
        <v>0</v>
      </c>
      <c r="AD709">
        <v>2</v>
      </c>
      <c r="AE709" t="s">
        <v>62</v>
      </c>
      <c r="AF709">
        <v>82610</v>
      </c>
      <c r="AG709">
        <v>7510</v>
      </c>
      <c r="AH709">
        <v>7510</v>
      </c>
      <c r="AI709">
        <v>67590</v>
      </c>
      <c r="AJ709" t="s">
        <v>129</v>
      </c>
      <c r="AK709" t="s">
        <v>172</v>
      </c>
      <c r="AL709">
        <v>2002</v>
      </c>
      <c r="AM709" t="s">
        <v>56</v>
      </c>
      <c r="AN709" s="2">
        <f t="shared" si="77"/>
        <v>98.133783157719677</v>
      </c>
      <c r="AO709">
        <f t="shared" si="78"/>
        <v>-81769.19</v>
      </c>
      <c r="AP709" s="2">
        <f t="shared" si="79"/>
        <v>1.0177942404764499E-2</v>
      </c>
      <c r="AQ709" s="2">
        <f t="shared" si="83"/>
        <v>13</v>
      </c>
      <c r="AR709">
        <f t="shared" si="80"/>
        <v>152</v>
      </c>
      <c r="AS709" t="str">
        <f t="shared" si="81"/>
        <v>High Claim Ratio</v>
      </c>
      <c r="AT709" t="str">
        <f t="shared" si="82"/>
        <v>High Profit</v>
      </c>
    </row>
    <row r="710" spans="1:46" x14ac:dyDescent="0.2">
      <c r="A710">
        <v>46</v>
      </c>
      <c r="B710">
        <v>41</v>
      </c>
      <c r="C710">
        <v>315041</v>
      </c>
      <c r="D710" s="1">
        <v>40484</v>
      </c>
      <c r="E710" t="s">
        <v>39</v>
      </c>
      <c r="F710" t="s">
        <v>69</v>
      </c>
      <c r="G710">
        <v>2000</v>
      </c>
      <c r="H710">
        <v>998.19</v>
      </c>
      <c r="I710">
        <v>0</v>
      </c>
      <c r="J710">
        <v>611556</v>
      </c>
      <c r="K710" t="s">
        <v>70</v>
      </c>
      <c r="L710" t="s">
        <v>42</v>
      </c>
      <c r="M710" t="s">
        <v>117</v>
      </c>
      <c r="N710" t="s">
        <v>181</v>
      </c>
      <c r="O710" t="s">
        <v>45</v>
      </c>
      <c r="P710">
        <v>43700</v>
      </c>
      <c r="Q710">
        <v>-66300</v>
      </c>
      <c r="R710" s="1">
        <v>42027</v>
      </c>
      <c r="S710" t="s">
        <v>75</v>
      </c>
      <c r="T710" t="s">
        <v>76</v>
      </c>
      <c r="U710" t="s">
        <v>107</v>
      </c>
      <c r="V710" t="s">
        <v>136</v>
      </c>
      <c r="W710" t="s">
        <v>50</v>
      </c>
      <c r="X710" t="s">
        <v>122</v>
      </c>
      <c r="Y710" t="s">
        <v>887</v>
      </c>
      <c r="Z710">
        <v>23</v>
      </c>
      <c r="AA710">
        <v>3</v>
      </c>
      <c r="AB710" t="s">
        <v>79</v>
      </c>
      <c r="AC710">
        <v>1</v>
      </c>
      <c r="AD710">
        <v>3</v>
      </c>
      <c r="AE710" t="s">
        <v>62</v>
      </c>
      <c r="AF710">
        <v>78600</v>
      </c>
      <c r="AG710">
        <v>13100</v>
      </c>
      <c r="AH710">
        <v>19650</v>
      </c>
      <c r="AI710">
        <v>45850</v>
      </c>
      <c r="AJ710" t="s">
        <v>80</v>
      </c>
      <c r="AK710" t="s">
        <v>81</v>
      </c>
      <c r="AL710">
        <v>2004</v>
      </c>
      <c r="AM710" t="s">
        <v>56</v>
      </c>
      <c r="AN710" s="2">
        <f t="shared" si="77"/>
        <v>78.663717611265128</v>
      </c>
      <c r="AO710">
        <f t="shared" si="78"/>
        <v>-77601.81</v>
      </c>
      <c r="AP710" s="2">
        <f t="shared" si="79"/>
        <v>1.2699456749914123E-2</v>
      </c>
      <c r="AQ710" s="2">
        <f t="shared" si="83"/>
        <v>11</v>
      </c>
      <c r="AR710">
        <f t="shared" si="80"/>
        <v>46</v>
      </c>
      <c r="AS710" t="str">
        <f t="shared" si="81"/>
        <v>High Claim Ratio</v>
      </c>
      <c r="AT710" t="str">
        <f t="shared" si="82"/>
        <v>High Profit</v>
      </c>
    </row>
    <row r="711" spans="1:46" x14ac:dyDescent="0.2">
      <c r="A711">
        <v>276</v>
      </c>
      <c r="B711">
        <v>46</v>
      </c>
      <c r="C711">
        <v>283267</v>
      </c>
      <c r="D711" s="1">
        <v>41119</v>
      </c>
      <c r="E711" t="s">
        <v>39</v>
      </c>
      <c r="F711" t="s">
        <v>69</v>
      </c>
      <c r="G711">
        <v>2000</v>
      </c>
      <c r="H711">
        <v>1090.32</v>
      </c>
      <c r="I711">
        <v>0</v>
      </c>
      <c r="J711">
        <v>435518</v>
      </c>
      <c r="K711" t="s">
        <v>41</v>
      </c>
      <c r="L711" t="s">
        <v>141</v>
      </c>
      <c r="M711" t="s">
        <v>159</v>
      </c>
      <c r="N711" t="s">
        <v>168</v>
      </c>
      <c r="O711" t="s">
        <v>45</v>
      </c>
      <c r="P711">
        <v>0</v>
      </c>
      <c r="Q711">
        <v>-70400</v>
      </c>
      <c r="R711" s="1">
        <v>42009</v>
      </c>
      <c r="S711" t="s">
        <v>46</v>
      </c>
      <c r="T711" t="s">
        <v>86</v>
      </c>
      <c r="U711" t="s">
        <v>63</v>
      </c>
      <c r="V711" t="s">
        <v>136</v>
      </c>
      <c r="W711" t="s">
        <v>50</v>
      </c>
      <c r="X711" t="s">
        <v>51</v>
      </c>
      <c r="Y711" t="s">
        <v>888</v>
      </c>
      <c r="Z711">
        <v>17</v>
      </c>
      <c r="AA711">
        <v>1</v>
      </c>
      <c r="AB711" t="s">
        <v>79</v>
      </c>
      <c r="AC711">
        <v>1</v>
      </c>
      <c r="AD711">
        <v>2</v>
      </c>
      <c r="AE711" t="s">
        <v>62</v>
      </c>
      <c r="AF711">
        <v>51390</v>
      </c>
      <c r="AG711">
        <v>5710</v>
      </c>
      <c r="AH711">
        <v>5710</v>
      </c>
      <c r="AI711">
        <v>39970</v>
      </c>
      <c r="AJ711" t="s">
        <v>214</v>
      </c>
      <c r="AK711" t="s">
        <v>258</v>
      </c>
      <c r="AL711">
        <v>2007</v>
      </c>
      <c r="AM711" t="s">
        <v>56</v>
      </c>
      <c r="AN711" s="2">
        <f t="shared" si="77"/>
        <v>47.089762855990912</v>
      </c>
      <c r="AO711">
        <f t="shared" si="78"/>
        <v>-50299.68</v>
      </c>
      <c r="AP711" s="2">
        <f t="shared" si="79"/>
        <v>2.1216166254791693E-2</v>
      </c>
      <c r="AQ711" s="2">
        <f t="shared" si="83"/>
        <v>8</v>
      </c>
      <c r="AR711">
        <f t="shared" si="80"/>
        <v>276</v>
      </c>
      <c r="AS711" t="str">
        <f t="shared" si="81"/>
        <v>High Claim Ratio</v>
      </c>
      <c r="AT711" t="str">
        <f t="shared" si="82"/>
        <v>High Profit</v>
      </c>
    </row>
    <row r="712" spans="1:46" x14ac:dyDescent="0.2">
      <c r="A712">
        <v>234</v>
      </c>
      <c r="B712">
        <v>44</v>
      </c>
      <c r="C712">
        <v>442494</v>
      </c>
      <c r="D712" s="1">
        <v>37413</v>
      </c>
      <c r="E712" t="s">
        <v>57</v>
      </c>
      <c r="F712" t="s">
        <v>91</v>
      </c>
      <c r="G712">
        <v>500</v>
      </c>
      <c r="H712">
        <v>1780.67</v>
      </c>
      <c r="I712">
        <v>0</v>
      </c>
      <c r="J712">
        <v>465942</v>
      </c>
      <c r="K712" t="s">
        <v>41</v>
      </c>
      <c r="L712" t="s">
        <v>92</v>
      </c>
      <c r="M712" t="s">
        <v>111</v>
      </c>
      <c r="N712" t="s">
        <v>264</v>
      </c>
      <c r="O712" t="s">
        <v>60</v>
      </c>
      <c r="P712">
        <v>0</v>
      </c>
      <c r="Q712">
        <v>0</v>
      </c>
      <c r="R712" s="1">
        <v>42054</v>
      </c>
      <c r="S712" t="s">
        <v>46</v>
      </c>
      <c r="T712" t="s">
        <v>47</v>
      </c>
      <c r="U712" t="s">
        <v>48</v>
      </c>
      <c r="V712" t="s">
        <v>136</v>
      </c>
      <c r="W712" t="s">
        <v>121</v>
      </c>
      <c r="X712" t="s">
        <v>102</v>
      </c>
      <c r="Y712" t="s">
        <v>889</v>
      </c>
      <c r="Z712">
        <v>3</v>
      </c>
      <c r="AA712">
        <v>1</v>
      </c>
      <c r="AB712" t="s">
        <v>79</v>
      </c>
      <c r="AC712">
        <v>1</v>
      </c>
      <c r="AD712">
        <v>0</v>
      </c>
      <c r="AE712" t="s">
        <v>79</v>
      </c>
      <c r="AF712">
        <v>70200</v>
      </c>
      <c r="AG712">
        <v>7020</v>
      </c>
      <c r="AH712">
        <v>7020</v>
      </c>
      <c r="AI712">
        <v>56160</v>
      </c>
      <c r="AJ712" t="s">
        <v>129</v>
      </c>
      <c r="AK712" t="s">
        <v>130</v>
      </c>
      <c r="AL712">
        <v>2012</v>
      </c>
      <c r="AM712" t="s">
        <v>56</v>
      </c>
      <c r="AN712" s="2">
        <f t="shared" si="77"/>
        <v>39.401235919109595</v>
      </c>
      <c r="AO712">
        <f t="shared" si="78"/>
        <v>-68419.33</v>
      </c>
      <c r="AP712" s="2">
        <f t="shared" si="79"/>
        <v>2.5365308186493071E-2</v>
      </c>
      <c r="AQ712" s="2">
        <f t="shared" si="83"/>
        <v>3</v>
      </c>
      <c r="AR712">
        <f t="shared" si="80"/>
        <v>234</v>
      </c>
      <c r="AS712" t="str">
        <f t="shared" si="81"/>
        <v>High Claim Ratio</v>
      </c>
      <c r="AT712" t="str">
        <f t="shared" si="82"/>
        <v>High Profit</v>
      </c>
    </row>
    <row r="713" spans="1:46" x14ac:dyDescent="0.2">
      <c r="A713">
        <v>64</v>
      </c>
      <c r="B713">
        <v>30</v>
      </c>
      <c r="C713">
        <v>159243</v>
      </c>
      <c r="D713" s="1">
        <v>33500</v>
      </c>
      <c r="E713" t="s">
        <v>83</v>
      </c>
      <c r="F713" t="s">
        <v>40</v>
      </c>
      <c r="G713">
        <v>2000</v>
      </c>
      <c r="H713">
        <v>1681.01</v>
      </c>
      <c r="I713">
        <v>0</v>
      </c>
      <c r="J713">
        <v>446174</v>
      </c>
      <c r="K713" t="s">
        <v>41</v>
      </c>
      <c r="L713" t="s">
        <v>161</v>
      </c>
      <c r="M713" t="s">
        <v>135</v>
      </c>
      <c r="N713" t="s">
        <v>106</v>
      </c>
      <c r="O713" t="s">
        <v>74</v>
      </c>
      <c r="P713">
        <v>0</v>
      </c>
      <c r="Q713">
        <v>-51100</v>
      </c>
      <c r="R713" s="1">
        <v>42042</v>
      </c>
      <c r="S713" t="s">
        <v>138</v>
      </c>
      <c r="T713" t="s">
        <v>62</v>
      </c>
      <c r="U713" t="s">
        <v>63</v>
      </c>
      <c r="V713" t="s">
        <v>93</v>
      </c>
      <c r="W713" t="s">
        <v>50</v>
      </c>
      <c r="X713" t="s">
        <v>65</v>
      </c>
      <c r="Y713" t="s">
        <v>890</v>
      </c>
      <c r="Z713">
        <v>16</v>
      </c>
      <c r="AA713">
        <v>1</v>
      </c>
      <c r="AB713" t="s">
        <v>79</v>
      </c>
      <c r="AC713">
        <v>2</v>
      </c>
      <c r="AD713">
        <v>1</v>
      </c>
      <c r="AE713" t="s">
        <v>79</v>
      </c>
      <c r="AF713">
        <v>4900</v>
      </c>
      <c r="AG713">
        <v>490</v>
      </c>
      <c r="AH713">
        <v>1470</v>
      </c>
      <c r="AI713">
        <v>2940</v>
      </c>
      <c r="AJ713" t="s">
        <v>197</v>
      </c>
      <c r="AK713" t="s">
        <v>198</v>
      </c>
      <c r="AL713">
        <v>2015</v>
      </c>
      <c r="AM713" t="s">
        <v>82</v>
      </c>
      <c r="AN713" s="2">
        <f t="shared" si="77"/>
        <v>2.9131812533813712</v>
      </c>
      <c r="AO713">
        <f t="shared" si="78"/>
        <v>-3218.99</v>
      </c>
      <c r="AP713" s="2">
        <f t="shared" si="79"/>
        <v>0.3429932666802693</v>
      </c>
      <c r="AQ713" s="2">
        <f t="shared" si="83"/>
        <v>0</v>
      </c>
      <c r="AR713">
        <f t="shared" si="80"/>
        <v>64</v>
      </c>
      <c r="AS713" t="str">
        <f t="shared" si="81"/>
        <v>Low Claim Ratio</v>
      </c>
      <c r="AT713" t="str">
        <f t="shared" si="82"/>
        <v>Low Profit</v>
      </c>
    </row>
    <row r="714" spans="1:46" x14ac:dyDescent="0.2">
      <c r="A714">
        <v>456</v>
      </c>
      <c r="B714">
        <v>62</v>
      </c>
      <c r="C714">
        <v>669800</v>
      </c>
      <c r="D714" s="1">
        <v>39988</v>
      </c>
      <c r="E714" t="s">
        <v>39</v>
      </c>
      <c r="F714" t="s">
        <v>40</v>
      </c>
      <c r="G714">
        <v>1000</v>
      </c>
      <c r="H714">
        <v>1395.77</v>
      </c>
      <c r="I714">
        <v>0</v>
      </c>
      <c r="J714">
        <v>611651</v>
      </c>
      <c r="K714" t="s">
        <v>70</v>
      </c>
      <c r="L714" t="s">
        <v>42</v>
      </c>
      <c r="M714" t="s">
        <v>135</v>
      </c>
      <c r="N714" t="s">
        <v>168</v>
      </c>
      <c r="O714" t="s">
        <v>74</v>
      </c>
      <c r="P714">
        <v>82600</v>
      </c>
      <c r="Q714">
        <v>-49500</v>
      </c>
      <c r="R714" s="1">
        <v>42042</v>
      </c>
      <c r="S714" t="s">
        <v>75</v>
      </c>
      <c r="T714" t="s">
        <v>47</v>
      </c>
      <c r="U714" t="s">
        <v>48</v>
      </c>
      <c r="V714" t="s">
        <v>120</v>
      </c>
      <c r="W714" t="s">
        <v>175</v>
      </c>
      <c r="X714" t="s">
        <v>122</v>
      </c>
      <c r="Y714" t="s">
        <v>891</v>
      </c>
      <c r="Z714">
        <v>13</v>
      </c>
      <c r="AA714">
        <v>3</v>
      </c>
      <c r="AB714" t="s">
        <v>62</v>
      </c>
      <c r="AC714">
        <v>1</v>
      </c>
      <c r="AD714">
        <v>3</v>
      </c>
      <c r="AE714" t="s">
        <v>79</v>
      </c>
      <c r="AF714">
        <v>66480</v>
      </c>
      <c r="AG714">
        <v>5540</v>
      </c>
      <c r="AH714">
        <v>11080</v>
      </c>
      <c r="AI714">
        <v>49860</v>
      </c>
      <c r="AJ714" t="s">
        <v>54</v>
      </c>
      <c r="AK714" t="s">
        <v>55</v>
      </c>
      <c r="AL714">
        <v>2012</v>
      </c>
      <c r="AM714" t="s">
        <v>56</v>
      </c>
      <c r="AN714" s="2">
        <f t="shared" si="77"/>
        <v>47.595523958847913</v>
      </c>
      <c r="AO714">
        <f t="shared" si="78"/>
        <v>-65084.23</v>
      </c>
      <c r="AP714" s="2">
        <f t="shared" si="79"/>
        <v>2.0995021133857792E-2</v>
      </c>
      <c r="AQ714" s="2">
        <f t="shared" si="83"/>
        <v>3</v>
      </c>
      <c r="AR714">
        <f t="shared" si="80"/>
        <v>456</v>
      </c>
      <c r="AS714" t="str">
        <f t="shared" si="81"/>
        <v>High Claim Ratio</v>
      </c>
      <c r="AT714" t="str">
        <f t="shared" si="82"/>
        <v>High Profit</v>
      </c>
    </row>
    <row r="715" spans="1:46" x14ac:dyDescent="0.2">
      <c r="A715">
        <v>58</v>
      </c>
      <c r="B715">
        <v>23</v>
      </c>
      <c r="C715">
        <v>520179</v>
      </c>
      <c r="D715" s="1">
        <v>33753</v>
      </c>
      <c r="E715" t="s">
        <v>39</v>
      </c>
      <c r="F715" t="s">
        <v>91</v>
      </c>
      <c r="G715">
        <v>2000</v>
      </c>
      <c r="H715">
        <v>1471.44</v>
      </c>
      <c r="I715">
        <v>5000000</v>
      </c>
      <c r="J715">
        <v>446657</v>
      </c>
      <c r="K715" t="s">
        <v>41</v>
      </c>
      <c r="L715" t="s">
        <v>131</v>
      </c>
      <c r="M715" t="s">
        <v>145</v>
      </c>
      <c r="N715" t="s">
        <v>59</v>
      </c>
      <c r="O715" t="s">
        <v>74</v>
      </c>
      <c r="P715">
        <v>57500</v>
      </c>
      <c r="Q715">
        <v>0</v>
      </c>
      <c r="R715" s="1">
        <v>42024</v>
      </c>
      <c r="S715" t="s">
        <v>46</v>
      </c>
      <c r="T715" t="s">
        <v>76</v>
      </c>
      <c r="U715" t="s">
        <v>48</v>
      </c>
      <c r="V715" t="s">
        <v>99</v>
      </c>
      <c r="W715" t="s">
        <v>121</v>
      </c>
      <c r="X715" t="s">
        <v>65</v>
      </c>
      <c r="Y715" t="s">
        <v>892</v>
      </c>
      <c r="Z715">
        <v>8</v>
      </c>
      <c r="AA715">
        <v>1</v>
      </c>
      <c r="AB715" t="s">
        <v>79</v>
      </c>
      <c r="AC715">
        <v>2</v>
      </c>
      <c r="AD715">
        <v>1</v>
      </c>
      <c r="AE715" t="s">
        <v>79</v>
      </c>
      <c r="AF715">
        <v>50380</v>
      </c>
      <c r="AG715">
        <v>4580</v>
      </c>
      <c r="AH715">
        <v>9160</v>
      </c>
      <c r="AI715">
        <v>36640</v>
      </c>
      <c r="AJ715" t="s">
        <v>89</v>
      </c>
      <c r="AK715" t="s">
        <v>90</v>
      </c>
      <c r="AL715">
        <v>2007</v>
      </c>
      <c r="AM715" t="s">
        <v>56</v>
      </c>
      <c r="AN715" s="2">
        <f t="shared" si="77"/>
        <v>34.215316073999617</v>
      </c>
      <c r="AO715">
        <f t="shared" si="78"/>
        <v>-48908.56</v>
      </c>
      <c r="AP715" s="2">
        <f t="shared" si="79"/>
        <v>2.9206248387288861E-2</v>
      </c>
      <c r="AQ715" s="2">
        <f t="shared" si="83"/>
        <v>8</v>
      </c>
      <c r="AR715">
        <f t="shared" si="80"/>
        <v>58</v>
      </c>
      <c r="AS715" t="str">
        <f t="shared" si="81"/>
        <v>High Claim Ratio</v>
      </c>
      <c r="AT715" t="str">
        <f t="shared" si="82"/>
        <v>High Profit</v>
      </c>
    </row>
    <row r="716" spans="1:46" x14ac:dyDescent="0.2">
      <c r="A716">
        <v>475</v>
      </c>
      <c r="B716">
        <v>61</v>
      </c>
      <c r="C716">
        <v>607974</v>
      </c>
      <c r="D716" s="1">
        <v>38211</v>
      </c>
      <c r="E716" t="s">
        <v>83</v>
      </c>
      <c r="F716" t="s">
        <v>91</v>
      </c>
      <c r="G716">
        <v>500</v>
      </c>
      <c r="H716">
        <v>1265.72</v>
      </c>
      <c r="I716">
        <v>0</v>
      </c>
      <c r="J716">
        <v>612506</v>
      </c>
      <c r="K716" t="s">
        <v>70</v>
      </c>
      <c r="L716" t="s">
        <v>124</v>
      </c>
      <c r="M716" t="s">
        <v>159</v>
      </c>
      <c r="N716" t="s">
        <v>165</v>
      </c>
      <c r="O716" t="s">
        <v>119</v>
      </c>
      <c r="P716">
        <v>0</v>
      </c>
      <c r="Q716">
        <v>-59500</v>
      </c>
      <c r="R716" s="1">
        <v>42053</v>
      </c>
      <c r="S716" t="s">
        <v>46</v>
      </c>
      <c r="T716" t="s">
        <v>86</v>
      </c>
      <c r="U716" t="s">
        <v>48</v>
      </c>
      <c r="V716" t="s">
        <v>99</v>
      </c>
      <c r="W716" t="s">
        <v>50</v>
      </c>
      <c r="X716" t="s">
        <v>51</v>
      </c>
      <c r="Y716" t="s">
        <v>893</v>
      </c>
      <c r="Z716">
        <v>23</v>
      </c>
      <c r="AA716">
        <v>1</v>
      </c>
      <c r="AB716" t="s">
        <v>53</v>
      </c>
      <c r="AC716">
        <v>0</v>
      </c>
      <c r="AD716">
        <v>2</v>
      </c>
      <c r="AE716" t="s">
        <v>62</v>
      </c>
      <c r="AF716">
        <v>64350</v>
      </c>
      <c r="AG716">
        <v>9900</v>
      </c>
      <c r="AH716">
        <v>9900</v>
      </c>
      <c r="AI716">
        <v>44550</v>
      </c>
      <c r="AJ716" t="s">
        <v>67</v>
      </c>
      <c r="AK716" t="s">
        <v>68</v>
      </c>
      <c r="AL716">
        <v>1998</v>
      </c>
      <c r="AM716" t="s">
        <v>82</v>
      </c>
      <c r="AN716" s="2">
        <f t="shared" si="77"/>
        <v>50.800492610837438</v>
      </c>
      <c r="AO716">
        <f t="shared" si="78"/>
        <v>-63084.28</v>
      </c>
      <c r="AP716" s="2">
        <f t="shared" si="79"/>
        <v>1.9669002812699104E-2</v>
      </c>
      <c r="AQ716" s="2">
        <f t="shared" si="83"/>
        <v>17</v>
      </c>
      <c r="AR716">
        <f t="shared" si="80"/>
        <v>475</v>
      </c>
      <c r="AS716" t="str">
        <f t="shared" si="81"/>
        <v>High Claim Ratio</v>
      </c>
      <c r="AT716" t="str">
        <f t="shared" si="82"/>
        <v>High Profit</v>
      </c>
    </row>
    <row r="717" spans="1:46" x14ac:dyDescent="0.2">
      <c r="A717">
        <v>96</v>
      </c>
      <c r="B717">
        <v>29</v>
      </c>
      <c r="C717">
        <v>465065</v>
      </c>
      <c r="D717" s="1">
        <v>39075</v>
      </c>
      <c r="E717" t="s">
        <v>57</v>
      </c>
      <c r="F717" t="s">
        <v>40</v>
      </c>
      <c r="G717">
        <v>1000</v>
      </c>
      <c r="H717">
        <v>1274.7</v>
      </c>
      <c r="I717">
        <v>5000000</v>
      </c>
      <c r="J717">
        <v>618493</v>
      </c>
      <c r="K717" t="s">
        <v>41</v>
      </c>
      <c r="L717" t="s">
        <v>141</v>
      </c>
      <c r="M717" t="s">
        <v>101</v>
      </c>
      <c r="N717" t="s">
        <v>149</v>
      </c>
      <c r="O717" t="s">
        <v>60</v>
      </c>
      <c r="P717">
        <v>47500</v>
      </c>
      <c r="Q717">
        <v>-58700</v>
      </c>
      <c r="R717" s="1">
        <v>42015</v>
      </c>
      <c r="S717" t="s">
        <v>75</v>
      </c>
      <c r="T717" t="s">
        <v>76</v>
      </c>
      <c r="U717" t="s">
        <v>48</v>
      </c>
      <c r="V717" t="s">
        <v>136</v>
      </c>
      <c r="W717" t="s">
        <v>121</v>
      </c>
      <c r="X717" t="s">
        <v>102</v>
      </c>
      <c r="Y717" t="s">
        <v>894</v>
      </c>
      <c r="Z717">
        <v>15</v>
      </c>
      <c r="AA717">
        <v>3</v>
      </c>
      <c r="AB717" t="s">
        <v>53</v>
      </c>
      <c r="AC717">
        <v>2</v>
      </c>
      <c r="AD717">
        <v>3</v>
      </c>
      <c r="AE717" t="s">
        <v>53</v>
      </c>
      <c r="AF717">
        <v>55400</v>
      </c>
      <c r="AG717">
        <v>5540</v>
      </c>
      <c r="AH717">
        <v>11080</v>
      </c>
      <c r="AI717">
        <v>38780</v>
      </c>
      <c r="AJ717" t="s">
        <v>89</v>
      </c>
      <c r="AK717" t="s">
        <v>223</v>
      </c>
      <c r="AL717">
        <v>2004</v>
      </c>
      <c r="AM717" t="s">
        <v>56</v>
      </c>
      <c r="AN717" s="2">
        <f t="shared" si="77"/>
        <v>43.427138041859372</v>
      </c>
      <c r="AO717">
        <f t="shared" si="78"/>
        <v>-54125.3</v>
      </c>
      <c r="AP717" s="2">
        <f t="shared" si="79"/>
        <v>2.3008609952888937E-2</v>
      </c>
      <c r="AQ717" s="2">
        <f t="shared" si="83"/>
        <v>11</v>
      </c>
      <c r="AR717">
        <f t="shared" si="80"/>
        <v>96</v>
      </c>
      <c r="AS717" t="str">
        <f t="shared" si="81"/>
        <v>High Claim Ratio</v>
      </c>
      <c r="AT717" t="str">
        <f t="shared" si="82"/>
        <v>High Profit</v>
      </c>
    </row>
    <row r="718" spans="1:46" x14ac:dyDescent="0.2">
      <c r="A718">
        <v>99</v>
      </c>
      <c r="B718">
        <v>28</v>
      </c>
      <c r="C718">
        <v>369941</v>
      </c>
      <c r="D718" s="1">
        <v>39287</v>
      </c>
      <c r="E718" t="s">
        <v>39</v>
      </c>
      <c r="F718" t="s">
        <v>69</v>
      </c>
      <c r="G718">
        <v>500</v>
      </c>
      <c r="H718">
        <v>1330.39</v>
      </c>
      <c r="I718">
        <v>0</v>
      </c>
      <c r="J718">
        <v>612664</v>
      </c>
      <c r="K718" t="s">
        <v>41</v>
      </c>
      <c r="L718" t="s">
        <v>42</v>
      </c>
      <c r="M718" t="s">
        <v>101</v>
      </c>
      <c r="N718" t="s">
        <v>179</v>
      </c>
      <c r="O718" t="s">
        <v>119</v>
      </c>
      <c r="P718">
        <v>0</v>
      </c>
      <c r="Q718">
        <v>0</v>
      </c>
      <c r="R718" s="1">
        <v>42026</v>
      </c>
      <c r="S718" t="s">
        <v>46</v>
      </c>
      <c r="T718" t="s">
        <v>86</v>
      </c>
      <c r="U718" t="s">
        <v>107</v>
      </c>
      <c r="V718" t="s">
        <v>120</v>
      </c>
      <c r="W718" t="s">
        <v>77</v>
      </c>
      <c r="X718" t="s">
        <v>51</v>
      </c>
      <c r="Y718" t="s">
        <v>895</v>
      </c>
      <c r="Z718">
        <v>3</v>
      </c>
      <c r="AA718">
        <v>1</v>
      </c>
      <c r="AB718" t="s">
        <v>79</v>
      </c>
      <c r="AC718">
        <v>2</v>
      </c>
      <c r="AD718">
        <v>2</v>
      </c>
      <c r="AE718" t="s">
        <v>53</v>
      </c>
      <c r="AF718">
        <v>49900</v>
      </c>
      <c r="AG718">
        <v>4990</v>
      </c>
      <c r="AH718">
        <v>9980</v>
      </c>
      <c r="AI718">
        <v>34930</v>
      </c>
      <c r="AJ718" t="s">
        <v>80</v>
      </c>
      <c r="AK718" t="s">
        <v>144</v>
      </c>
      <c r="AL718">
        <v>1998</v>
      </c>
      <c r="AM718" t="s">
        <v>82</v>
      </c>
      <c r="AN718" s="2">
        <f t="shared" si="77"/>
        <v>37.47962655570494</v>
      </c>
      <c r="AO718">
        <f t="shared" si="78"/>
        <v>-48569.61</v>
      </c>
      <c r="AP718" s="2">
        <f t="shared" si="79"/>
        <v>2.6660587964169057E-2</v>
      </c>
      <c r="AQ718" s="2">
        <f t="shared" si="83"/>
        <v>17</v>
      </c>
      <c r="AR718">
        <f t="shared" si="80"/>
        <v>99</v>
      </c>
      <c r="AS718" t="str">
        <f t="shared" si="81"/>
        <v>High Claim Ratio</v>
      </c>
      <c r="AT718" t="str">
        <f t="shared" si="82"/>
        <v>High Profit</v>
      </c>
    </row>
    <row r="719" spans="1:46" x14ac:dyDescent="0.2">
      <c r="A719">
        <v>38</v>
      </c>
      <c r="B719">
        <v>28</v>
      </c>
      <c r="C719">
        <v>447226</v>
      </c>
      <c r="D719" s="1">
        <v>34563</v>
      </c>
      <c r="E719" t="s">
        <v>39</v>
      </c>
      <c r="F719" t="s">
        <v>91</v>
      </c>
      <c r="G719">
        <v>500</v>
      </c>
      <c r="H719">
        <v>1122.95</v>
      </c>
      <c r="I719">
        <v>4000000</v>
      </c>
      <c r="J719">
        <v>473653</v>
      </c>
      <c r="K719" t="s">
        <v>41</v>
      </c>
      <c r="L719" t="s">
        <v>124</v>
      </c>
      <c r="M719" t="s">
        <v>117</v>
      </c>
      <c r="N719" t="s">
        <v>112</v>
      </c>
      <c r="O719" t="s">
        <v>60</v>
      </c>
      <c r="P719">
        <v>78000</v>
      </c>
      <c r="Q719">
        <v>0</v>
      </c>
      <c r="R719" s="1">
        <v>42058</v>
      </c>
      <c r="S719" t="s">
        <v>75</v>
      </c>
      <c r="T719" t="s">
        <v>47</v>
      </c>
      <c r="U719" t="s">
        <v>63</v>
      </c>
      <c r="V719" t="s">
        <v>136</v>
      </c>
      <c r="W719" t="s">
        <v>113</v>
      </c>
      <c r="X719" t="s">
        <v>156</v>
      </c>
      <c r="Y719" t="s">
        <v>896</v>
      </c>
      <c r="Z719">
        <v>4</v>
      </c>
      <c r="AA719">
        <v>3</v>
      </c>
      <c r="AB719" t="s">
        <v>79</v>
      </c>
      <c r="AC719">
        <v>0</v>
      </c>
      <c r="AD719">
        <v>3</v>
      </c>
      <c r="AE719" t="s">
        <v>53</v>
      </c>
      <c r="AF719">
        <v>74880</v>
      </c>
      <c r="AG719">
        <v>12480</v>
      </c>
      <c r="AH719">
        <v>12480</v>
      </c>
      <c r="AI719">
        <v>49920</v>
      </c>
      <c r="AJ719" t="s">
        <v>95</v>
      </c>
      <c r="AK719" t="s">
        <v>158</v>
      </c>
      <c r="AL719">
        <v>2000</v>
      </c>
      <c r="AM719" t="s">
        <v>82</v>
      </c>
      <c r="AN719" s="2">
        <f t="shared" si="77"/>
        <v>66.622180701988526</v>
      </c>
      <c r="AO719">
        <f t="shared" si="78"/>
        <v>-73757.05</v>
      </c>
      <c r="AP719" s="2">
        <f t="shared" si="79"/>
        <v>1.4996461051535103E-2</v>
      </c>
      <c r="AQ719" s="2">
        <f t="shared" si="83"/>
        <v>15</v>
      </c>
      <c r="AR719">
        <f t="shared" si="80"/>
        <v>38</v>
      </c>
      <c r="AS719" t="str">
        <f t="shared" si="81"/>
        <v>High Claim Ratio</v>
      </c>
      <c r="AT719" t="str">
        <f t="shared" si="82"/>
        <v>High Profit</v>
      </c>
    </row>
    <row r="720" spans="1:46" x14ac:dyDescent="0.2">
      <c r="A720">
        <v>259</v>
      </c>
      <c r="B720">
        <v>44</v>
      </c>
      <c r="C720">
        <v>831668</v>
      </c>
      <c r="D720" s="1">
        <v>35165</v>
      </c>
      <c r="E720" t="s">
        <v>39</v>
      </c>
      <c r="F720" t="s">
        <v>40</v>
      </c>
      <c r="G720">
        <v>2000</v>
      </c>
      <c r="H720">
        <v>1655.79</v>
      </c>
      <c r="I720">
        <v>0</v>
      </c>
      <c r="J720">
        <v>454529</v>
      </c>
      <c r="K720" t="s">
        <v>70</v>
      </c>
      <c r="L720" t="s">
        <v>124</v>
      </c>
      <c r="M720" t="s">
        <v>125</v>
      </c>
      <c r="N720" t="s">
        <v>264</v>
      </c>
      <c r="O720" t="s">
        <v>45</v>
      </c>
      <c r="P720">
        <v>0</v>
      </c>
      <c r="Q720">
        <v>0</v>
      </c>
      <c r="R720" s="1">
        <v>42019</v>
      </c>
      <c r="S720" t="s">
        <v>46</v>
      </c>
      <c r="T720" t="s">
        <v>86</v>
      </c>
      <c r="U720" t="s">
        <v>63</v>
      </c>
      <c r="V720" t="s">
        <v>120</v>
      </c>
      <c r="W720" t="s">
        <v>77</v>
      </c>
      <c r="X720" t="s">
        <v>127</v>
      </c>
      <c r="Y720" t="s">
        <v>897</v>
      </c>
      <c r="Z720">
        <v>8</v>
      </c>
      <c r="AA720">
        <v>1</v>
      </c>
      <c r="AB720" t="s">
        <v>53</v>
      </c>
      <c r="AC720">
        <v>0</v>
      </c>
      <c r="AD720">
        <v>0</v>
      </c>
      <c r="AE720" t="s">
        <v>53</v>
      </c>
      <c r="AF720">
        <v>105820</v>
      </c>
      <c r="AG720">
        <v>16280</v>
      </c>
      <c r="AH720">
        <v>16280</v>
      </c>
      <c r="AI720">
        <v>73260</v>
      </c>
      <c r="AJ720" t="s">
        <v>109</v>
      </c>
      <c r="AK720" t="s">
        <v>134</v>
      </c>
      <c r="AL720">
        <v>2002</v>
      </c>
      <c r="AM720" t="s">
        <v>82</v>
      </c>
      <c r="AN720" s="2">
        <f t="shared" si="77"/>
        <v>63.870496562630144</v>
      </c>
      <c r="AO720">
        <f t="shared" si="78"/>
        <v>-104164.21</v>
      </c>
      <c r="AP720" s="2">
        <f t="shared" si="79"/>
        <v>1.5647083282146264E-2</v>
      </c>
      <c r="AQ720" s="2">
        <f t="shared" si="83"/>
        <v>13</v>
      </c>
      <c r="AR720">
        <f t="shared" si="80"/>
        <v>259</v>
      </c>
      <c r="AS720" t="str">
        <f t="shared" si="81"/>
        <v>High Claim Ratio</v>
      </c>
      <c r="AT720" t="str">
        <f t="shared" si="82"/>
        <v>High Profit</v>
      </c>
    </row>
    <row r="721" spans="1:46" x14ac:dyDescent="0.2">
      <c r="A721">
        <v>241</v>
      </c>
      <c r="B721">
        <v>43</v>
      </c>
      <c r="C721">
        <v>922937</v>
      </c>
      <c r="D721" s="1">
        <v>33949</v>
      </c>
      <c r="E721" t="s">
        <v>57</v>
      </c>
      <c r="F721" t="s">
        <v>40</v>
      </c>
      <c r="G721">
        <v>1000</v>
      </c>
      <c r="H721">
        <v>935.77</v>
      </c>
      <c r="I721">
        <v>0</v>
      </c>
      <c r="J721">
        <v>437422</v>
      </c>
      <c r="K721" t="s">
        <v>41</v>
      </c>
      <c r="L721" t="s">
        <v>92</v>
      </c>
      <c r="M721" t="s">
        <v>101</v>
      </c>
      <c r="N721" t="s">
        <v>112</v>
      </c>
      <c r="O721" t="s">
        <v>74</v>
      </c>
      <c r="P721">
        <v>0</v>
      </c>
      <c r="Q721">
        <v>-36000</v>
      </c>
      <c r="R721" s="1">
        <v>42055</v>
      </c>
      <c r="S721" t="s">
        <v>61</v>
      </c>
      <c r="T721" t="s">
        <v>62</v>
      </c>
      <c r="U721" t="s">
        <v>212</v>
      </c>
      <c r="V721" t="s">
        <v>49</v>
      </c>
      <c r="W721" t="s">
        <v>175</v>
      </c>
      <c r="X721" t="s">
        <v>127</v>
      </c>
      <c r="Y721" t="s">
        <v>898</v>
      </c>
      <c r="Z721">
        <v>21</v>
      </c>
      <c r="AA721">
        <v>1</v>
      </c>
      <c r="AB721" t="s">
        <v>79</v>
      </c>
      <c r="AC721">
        <v>1</v>
      </c>
      <c r="AD721">
        <v>0</v>
      </c>
      <c r="AE721" t="s">
        <v>53</v>
      </c>
      <c r="AF721">
        <v>7150</v>
      </c>
      <c r="AG721">
        <v>1300</v>
      </c>
      <c r="AH721">
        <v>650</v>
      </c>
      <c r="AI721">
        <v>5200</v>
      </c>
      <c r="AJ721" t="s">
        <v>214</v>
      </c>
      <c r="AK721" t="s">
        <v>258</v>
      </c>
      <c r="AL721">
        <v>2003</v>
      </c>
      <c r="AM721" t="s">
        <v>82</v>
      </c>
      <c r="AN721" s="2">
        <f t="shared" si="77"/>
        <v>7.6326099255953972</v>
      </c>
      <c r="AO721">
        <f t="shared" si="78"/>
        <v>-6214.23</v>
      </c>
      <c r="AP721" s="2">
        <f t="shared" si="79"/>
        <v>0.13085862117186406</v>
      </c>
      <c r="AQ721" s="2">
        <f t="shared" si="83"/>
        <v>12</v>
      </c>
      <c r="AR721">
        <f t="shared" si="80"/>
        <v>241</v>
      </c>
      <c r="AS721" t="str">
        <f t="shared" si="81"/>
        <v>Medium Claim Ratio</v>
      </c>
      <c r="AT721" t="str">
        <f t="shared" si="82"/>
        <v>High Profit</v>
      </c>
    </row>
    <row r="722" spans="1:46" x14ac:dyDescent="0.2">
      <c r="A722">
        <v>437</v>
      </c>
      <c r="B722">
        <v>58</v>
      </c>
      <c r="C722">
        <v>640474</v>
      </c>
      <c r="D722" s="1">
        <v>40391</v>
      </c>
      <c r="E722" t="s">
        <v>57</v>
      </c>
      <c r="F722" t="s">
        <v>91</v>
      </c>
      <c r="G722">
        <v>2000</v>
      </c>
      <c r="H722">
        <v>1192.04</v>
      </c>
      <c r="I722">
        <v>0</v>
      </c>
      <c r="J722">
        <v>619470</v>
      </c>
      <c r="K722" t="s">
        <v>41</v>
      </c>
      <c r="L722" t="s">
        <v>92</v>
      </c>
      <c r="M722" t="s">
        <v>43</v>
      </c>
      <c r="N722" t="s">
        <v>126</v>
      </c>
      <c r="O722" t="s">
        <v>74</v>
      </c>
      <c r="P722">
        <v>66100</v>
      </c>
      <c r="Q722">
        <v>-31400</v>
      </c>
      <c r="R722" s="1">
        <v>42023</v>
      </c>
      <c r="S722" t="s">
        <v>46</v>
      </c>
      <c r="T722" t="s">
        <v>86</v>
      </c>
      <c r="U722" t="s">
        <v>107</v>
      </c>
      <c r="V722" t="s">
        <v>136</v>
      </c>
      <c r="W722" t="s">
        <v>50</v>
      </c>
      <c r="X722" t="s">
        <v>156</v>
      </c>
      <c r="Y722" t="s">
        <v>899</v>
      </c>
      <c r="Z722">
        <v>23</v>
      </c>
      <c r="AA722">
        <v>1</v>
      </c>
      <c r="AB722" t="s">
        <v>53</v>
      </c>
      <c r="AC722">
        <v>0</v>
      </c>
      <c r="AD722">
        <v>0</v>
      </c>
      <c r="AE722" t="s">
        <v>79</v>
      </c>
      <c r="AF722">
        <v>55800</v>
      </c>
      <c r="AG722">
        <v>11160</v>
      </c>
      <c r="AH722">
        <v>11160</v>
      </c>
      <c r="AI722">
        <v>33480</v>
      </c>
      <c r="AJ722" t="s">
        <v>80</v>
      </c>
      <c r="AK722" t="s">
        <v>81</v>
      </c>
      <c r="AL722">
        <v>2004</v>
      </c>
      <c r="AM722" t="s">
        <v>82</v>
      </c>
      <c r="AN722" s="2">
        <f t="shared" si="77"/>
        <v>46.771273385636697</v>
      </c>
      <c r="AO722">
        <f t="shared" si="78"/>
        <v>-54607.96</v>
      </c>
      <c r="AP722" s="2">
        <f t="shared" si="79"/>
        <v>2.1362341176681419E-2</v>
      </c>
      <c r="AQ722" s="2">
        <f t="shared" si="83"/>
        <v>11</v>
      </c>
      <c r="AR722">
        <f t="shared" si="80"/>
        <v>437</v>
      </c>
      <c r="AS722" t="str">
        <f t="shared" si="81"/>
        <v>High Claim Ratio</v>
      </c>
      <c r="AT722" t="str">
        <f t="shared" si="82"/>
        <v>High Profit</v>
      </c>
    </row>
    <row r="723" spans="1:46" x14ac:dyDescent="0.2">
      <c r="A723">
        <v>130</v>
      </c>
      <c r="B723">
        <v>34</v>
      </c>
      <c r="C723">
        <v>153298</v>
      </c>
      <c r="D723" s="1">
        <v>39895</v>
      </c>
      <c r="E723" t="s">
        <v>39</v>
      </c>
      <c r="F723" t="s">
        <v>69</v>
      </c>
      <c r="G723">
        <v>500</v>
      </c>
      <c r="H723">
        <v>990.11</v>
      </c>
      <c r="I723">
        <v>0</v>
      </c>
      <c r="J723">
        <v>442666</v>
      </c>
      <c r="K723" t="s">
        <v>41</v>
      </c>
      <c r="L723" t="s">
        <v>124</v>
      </c>
      <c r="M723" t="s">
        <v>72</v>
      </c>
      <c r="N723" t="s">
        <v>170</v>
      </c>
      <c r="O723" t="s">
        <v>60</v>
      </c>
      <c r="P723">
        <v>0</v>
      </c>
      <c r="Q723">
        <v>-41200</v>
      </c>
      <c r="R723" s="1">
        <v>42014</v>
      </c>
      <c r="S723" t="s">
        <v>138</v>
      </c>
      <c r="T723" t="s">
        <v>62</v>
      </c>
      <c r="U723" t="s">
        <v>212</v>
      </c>
      <c r="V723" t="s">
        <v>93</v>
      </c>
      <c r="W723" t="s">
        <v>77</v>
      </c>
      <c r="X723" t="s">
        <v>65</v>
      </c>
      <c r="Y723" t="s">
        <v>900</v>
      </c>
      <c r="Z723">
        <v>8</v>
      </c>
      <c r="AA723">
        <v>1</v>
      </c>
      <c r="AB723" t="s">
        <v>62</v>
      </c>
      <c r="AC723">
        <v>1</v>
      </c>
      <c r="AD723">
        <v>3</v>
      </c>
      <c r="AE723" t="s">
        <v>53</v>
      </c>
      <c r="AF723">
        <v>5830</v>
      </c>
      <c r="AG723">
        <v>1060</v>
      </c>
      <c r="AH723">
        <v>1060</v>
      </c>
      <c r="AI723">
        <v>3710</v>
      </c>
      <c r="AJ723" t="s">
        <v>80</v>
      </c>
      <c r="AK723" t="s">
        <v>81</v>
      </c>
      <c r="AL723">
        <v>2015</v>
      </c>
      <c r="AM723" t="s">
        <v>82</v>
      </c>
      <c r="AN723" s="2">
        <f t="shared" si="77"/>
        <v>5.8822935900152356</v>
      </c>
      <c r="AO723">
        <f t="shared" si="78"/>
        <v>-4839.8900000000003</v>
      </c>
      <c r="AP723" s="2">
        <f t="shared" si="79"/>
        <v>0.16980106328245584</v>
      </c>
      <c r="AQ723" s="2">
        <f t="shared" si="83"/>
        <v>0</v>
      </c>
      <c r="AR723">
        <f t="shared" si="80"/>
        <v>130</v>
      </c>
      <c r="AS723" t="str">
        <f t="shared" si="81"/>
        <v>Medium Claim Ratio</v>
      </c>
      <c r="AT723" t="str">
        <f t="shared" si="82"/>
        <v>Low Profit</v>
      </c>
    </row>
    <row r="724" spans="1:46" x14ac:dyDescent="0.2">
      <c r="A724">
        <v>269</v>
      </c>
      <c r="B724">
        <v>41</v>
      </c>
      <c r="C724">
        <v>334749</v>
      </c>
      <c r="D724" s="1">
        <v>35275</v>
      </c>
      <c r="E724" t="s">
        <v>39</v>
      </c>
      <c r="F724" t="s">
        <v>69</v>
      </c>
      <c r="G724">
        <v>2000</v>
      </c>
      <c r="H724">
        <v>1422.21</v>
      </c>
      <c r="I724">
        <v>0</v>
      </c>
      <c r="J724">
        <v>620507</v>
      </c>
      <c r="K724" t="s">
        <v>70</v>
      </c>
      <c r="L724" t="s">
        <v>92</v>
      </c>
      <c r="M724" t="s">
        <v>159</v>
      </c>
      <c r="N724" t="s">
        <v>173</v>
      </c>
      <c r="O724" t="s">
        <v>85</v>
      </c>
      <c r="P724">
        <v>0</v>
      </c>
      <c r="Q724">
        <v>-46400</v>
      </c>
      <c r="R724" s="1">
        <v>42020</v>
      </c>
      <c r="S724" t="s">
        <v>46</v>
      </c>
      <c r="T724" t="s">
        <v>47</v>
      </c>
      <c r="U724" t="s">
        <v>48</v>
      </c>
      <c r="V724" t="s">
        <v>136</v>
      </c>
      <c r="W724" t="s">
        <v>113</v>
      </c>
      <c r="X724" t="s">
        <v>65</v>
      </c>
      <c r="Y724" t="s">
        <v>901</v>
      </c>
      <c r="Z724">
        <v>21</v>
      </c>
      <c r="AA724">
        <v>1</v>
      </c>
      <c r="AB724" t="s">
        <v>53</v>
      </c>
      <c r="AC724">
        <v>2</v>
      </c>
      <c r="AD724">
        <v>1</v>
      </c>
      <c r="AE724" t="s">
        <v>79</v>
      </c>
      <c r="AF724">
        <v>85900</v>
      </c>
      <c r="AG724">
        <v>17180</v>
      </c>
      <c r="AH724">
        <v>17180</v>
      </c>
      <c r="AI724">
        <v>51540</v>
      </c>
      <c r="AJ724" t="s">
        <v>153</v>
      </c>
      <c r="AK724" t="s">
        <v>167</v>
      </c>
      <c r="AL724">
        <v>2005</v>
      </c>
      <c r="AM724" t="s">
        <v>56</v>
      </c>
      <c r="AN724" s="2">
        <f t="shared" si="77"/>
        <v>60.356518012099407</v>
      </c>
      <c r="AO724">
        <f t="shared" si="78"/>
        <v>-84477.79</v>
      </c>
      <c r="AP724" s="2">
        <f t="shared" si="79"/>
        <v>1.6556384675382126E-2</v>
      </c>
      <c r="AQ724" s="2">
        <f t="shared" si="83"/>
        <v>10</v>
      </c>
      <c r="AR724">
        <f t="shared" si="80"/>
        <v>269</v>
      </c>
      <c r="AS724" t="str">
        <f t="shared" si="81"/>
        <v>High Claim Ratio</v>
      </c>
      <c r="AT724" t="str">
        <f t="shared" si="82"/>
        <v>High Profit</v>
      </c>
    </row>
    <row r="725" spans="1:46" x14ac:dyDescent="0.2">
      <c r="A725">
        <v>103</v>
      </c>
      <c r="B725">
        <v>29</v>
      </c>
      <c r="C725">
        <v>221283</v>
      </c>
      <c r="D725" s="1">
        <v>34569</v>
      </c>
      <c r="E725" t="s">
        <v>39</v>
      </c>
      <c r="F725" t="s">
        <v>91</v>
      </c>
      <c r="G725">
        <v>500</v>
      </c>
      <c r="H725">
        <v>914.85</v>
      </c>
      <c r="I725">
        <v>0</v>
      </c>
      <c r="J725">
        <v>614867</v>
      </c>
      <c r="K725" t="s">
        <v>41</v>
      </c>
      <c r="L725" t="s">
        <v>92</v>
      </c>
      <c r="M725" t="s">
        <v>101</v>
      </c>
      <c r="N725" t="s">
        <v>106</v>
      </c>
      <c r="O725" t="s">
        <v>60</v>
      </c>
      <c r="P725">
        <v>72100</v>
      </c>
      <c r="Q725">
        <v>0</v>
      </c>
      <c r="R725" s="1">
        <v>42047</v>
      </c>
      <c r="S725" t="s">
        <v>138</v>
      </c>
      <c r="T725" t="s">
        <v>62</v>
      </c>
      <c r="U725" t="s">
        <v>63</v>
      </c>
      <c r="V725" t="s">
        <v>49</v>
      </c>
      <c r="W725" t="s">
        <v>39</v>
      </c>
      <c r="X725" t="s">
        <v>51</v>
      </c>
      <c r="Y725" t="s">
        <v>902</v>
      </c>
      <c r="Z725">
        <v>5</v>
      </c>
      <c r="AA725">
        <v>1</v>
      </c>
      <c r="AB725" t="s">
        <v>79</v>
      </c>
      <c r="AC725">
        <v>2</v>
      </c>
      <c r="AD725">
        <v>3</v>
      </c>
      <c r="AE725" t="s">
        <v>79</v>
      </c>
      <c r="AF725">
        <v>7110</v>
      </c>
      <c r="AG725">
        <v>790</v>
      </c>
      <c r="AH725">
        <v>1580</v>
      </c>
      <c r="AI725">
        <v>4740</v>
      </c>
      <c r="AJ725" t="s">
        <v>95</v>
      </c>
      <c r="AK725" t="s">
        <v>148</v>
      </c>
      <c r="AL725">
        <v>2005</v>
      </c>
      <c r="AM725" t="s">
        <v>82</v>
      </c>
      <c r="AN725" s="2">
        <f t="shared" si="77"/>
        <v>7.7632800131025821</v>
      </c>
      <c r="AO725">
        <f t="shared" si="78"/>
        <v>-6195.15</v>
      </c>
      <c r="AP725" s="2">
        <f t="shared" si="79"/>
        <v>0.12865279144986641</v>
      </c>
      <c r="AQ725" s="2">
        <f t="shared" si="83"/>
        <v>10</v>
      </c>
      <c r="AR725">
        <f t="shared" si="80"/>
        <v>103</v>
      </c>
      <c r="AS725" t="str">
        <f t="shared" si="81"/>
        <v>Medium Claim Ratio</v>
      </c>
      <c r="AT725" t="str">
        <f t="shared" si="82"/>
        <v>High Profit</v>
      </c>
    </row>
    <row r="726" spans="1:46" x14ac:dyDescent="0.2">
      <c r="A726">
        <v>284</v>
      </c>
      <c r="B726">
        <v>43</v>
      </c>
      <c r="C726">
        <v>961496</v>
      </c>
      <c r="D726" s="1">
        <v>33608</v>
      </c>
      <c r="E726" t="s">
        <v>83</v>
      </c>
      <c r="F726" t="s">
        <v>40</v>
      </c>
      <c r="G726">
        <v>500</v>
      </c>
      <c r="H726">
        <v>1123.8399999999999</v>
      </c>
      <c r="I726">
        <v>0</v>
      </c>
      <c r="J726">
        <v>609898</v>
      </c>
      <c r="K726" t="s">
        <v>41</v>
      </c>
      <c r="L726" t="s">
        <v>71</v>
      </c>
      <c r="M726" t="s">
        <v>101</v>
      </c>
      <c r="N726" t="s">
        <v>170</v>
      </c>
      <c r="O726" t="s">
        <v>60</v>
      </c>
      <c r="P726">
        <v>48200</v>
      </c>
      <c r="Q726">
        <v>0</v>
      </c>
      <c r="R726" s="1">
        <v>42027</v>
      </c>
      <c r="S726" t="s">
        <v>75</v>
      </c>
      <c r="T726" t="s">
        <v>47</v>
      </c>
      <c r="U726" t="s">
        <v>107</v>
      </c>
      <c r="V726" t="s">
        <v>99</v>
      </c>
      <c r="W726" t="s">
        <v>113</v>
      </c>
      <c r="X726" t="s">
        <v>51</v>
      </c>
      <c r="Y726" t="s">
        <v>903</v>
      </c>
      <c r="Z726">
        <v>12</v>
      </c>
      <c r="AA726">
        <v>3</v>
      </c>
      <c r="AB726" t="s">
        <v>79</v>
      </c>
      <c r="AC726">
        <v>0</v>
      </c>
      <c r="AD726">
        <v>0</v>
      </c>
      <c r="AE726" t="s">
        <v>53</v>
      </c>
      <c r="AF726">
        <v>36960</v>
      </c>
      <c r="AG726">
        <v>6720</v>
      </c>
      <c r="AH726">
        <v>3360</v>
      </c>
      <c r="AI726">
        <v>26880</v>
      </c>
      <c r="AJ726" t="s">
        <v>89</v>
      </c>
      <c r="AK726" t="s">
        <v>90</v>
      </c>
      <c r="AL726">
        <v>2007</v>
      </c>
      <c r="AM726" t="s">
        <v>82</v>
      </c>
      <c r="AN726" s="2">
        <f t="shared" si="77"/>
        <v>32.858006472031583</v>
      </c>
      <c r="AO726">
        <f t="shared" si="78"/>
        <v>-35836.160000000003</v>
      </c>
      <c r="AP726" s="2">
        <f t="shared" si="79"/>
        <v>3.0406103730959658E-2</v>
      </c>
      <c r="AQ726" s="2">
        <f t="shared" si="83"/>
        <v>8</v>
      </c>
      <c r="AR726">
        <f t="shared" si="80"/>
        <v>284</v>
      </c>
      <c r="AS726" t="str">
        <f t="shared" si="81"/>
        <v>High Claim Ratio</v>
      </c>
      <c r="AT726" t="str">
        <f t="shared" si="82"/>
        <v>High Profit</v>
      </c>
    </row>
    <row r="727" spans="1:46" x14ac:dyDescent="0.2">
      <c r="A727">
        <v>189</v>
      </c>
      <c r="B727">
        <v>39</v>
      </c>
      <c r="C727">
        <v>804751</v>
      </c>
      <c r="D727" s="1">
        <v>35684</v>
      </c>
      <c r="E727" t="s">
        <v>39</v>
      </c>
      <c r="F727" t="s">
        <v>40</v>
      </c>
      <c r="G727">
        <v>2000</v>
      </c>
      <c r="H727">
        <v>838.02</v>
      </c>
      <c r="I727">
        <v>0</v>
      </c>
      <c r="J727">
        <v>450702</v>
      </c>
      <c r="K727" t="s">
        <v>70</v>
      </c>
      <c r="L727" t="s">
        <v>141</v>
      </c>
      <c r="M727" t="s">
        <v>97</v>
      </c>
      <c r="N727" t="s">
        <v>146</v>
      </c>
      <c r="O727" t="s">
        <v>74</v>
      </c>
      <c r="P727">
        <v>0</v>
      </c>
      <c r="Q727">
        <v>0</v>
      </c>
      <c r="R727" s="1">
        <v>42048</v>
      </c>
      <c r="S727" t="s">
        <v>75</v>
      </c>
      <c r="T727" t="s">
        <v>76</v>
      </c>
      <c r="U727" t="s">
        <v>63</v>
      </c>
      <c r="V727" t="s">
        <v>49</v>
      </c>
      <c r="W727" t="s">
        <v>64</v>
      </c>
      <c r="X727" t="s">
        <v>156</v>
      </c>
      <c r="Y727" t="s">
        <v>904</v>
      </c>
      <c r="Z727">
        <v>7</v>
      </c>
      <c r="AA727">
        <v>3</v>
      </c>
      <c r="AB727" t="s">
        <v>62</v>
      </c>
      <c r="AC727">
        <v>2</v>
      </c>
      <c r="AD727">
        <v>0</v>
      </c>
      <c r="AE727" t="s">
        <v>53</v>
      </c>
      <c r="AF727">
        <v>64400</v>
      </c>
      <c r="AG727">
        <v>6440</v>
      </c>
      <c r="AH727">
        <v>6440</v>
      </c>
      <c r="AI727">
        <v>51520</v>
      </c>
      <c r="AJ727" t="s">
        <v>80</v>
      </c>
      <c r="AK727" t="s">
        <v>144</v>
      </c>
      <c r="AL727">
        <v>1997</v>
      </c>
      <c r="AM727" t="s">
        <v>82</v>
      </c>
      <c r="AN727" s="2">
        <f t="shared" si="77"/>
        <v>76.756215584848988</v>
      </c>
      <c r="AO727">
        <f t="shared" si="78"/>
        <v>-63561.98</v>
      </c>
      <c r="AP727" s="2">
        <f t="shared" si="79"/>
        <v>1.3012530861322029E-2</v>
      </c>
      <c r="AQ727" s="2">
        <f t="shared" si="83"/>
        <v>18</v>
      </c>
      <c r="AR727">
        <f t="shared" si="80"/>
        <v>189</v>
      </c>
      <c r="AS727" t="str">
        <f t="shared" si="81"/>
        <v>High Claim Ratio</v>
      </c>
      <c r="AT727" t="str">
        <f t="shared" si="82"/>
        <v>High Profit</v>
      </c>
    </row>
    <row r="728" spans="1:46" x14ac:dyDescent="0.2">
      <c r="A728">
        <v>267</v>
      </c>
      <c r="B728">
        <v>43</v>
      </c>
      <c r="C728">
        <v>369226</v>
      </c>
      <c r="D728" s="1">
        <v>37297</v>
      </c>
      <c r="E728" t="s">
        <v>39</v>
      </c>
      <c r="F728" t="s">
        <v>40</v>
      </c>
      <c r="G728">
        <v>500</v>
      </c>
      <c r="H728">
        <v>1300.68</v>
      </c>
      <c r="I728">
        <v>0</v>
      </c>
      <c r="J728">
        <v>600418</v>
      </c>
      <c r="K728" t="s">
        <v>41</v>
      </c>
      <c r="L728" t="s">
        <v>71</v>
      </c>
      <c r="M728" t="s">
        <v>185</v>
      </c>
      <c r="N728" t="s">
        <v>44</v>
      </c>
      <c r="O728" t="s">
        <v>85</v>
      </c>
      <c r="P728">
        <v>49000</v>
      </c>
      <c r="Q728">
        <v>0</v>
      </c>
      <c r="R728" s="1">
        <v>42031</v>
      </c>
      <c r="S728" t="s">
        <v>138</v>
      </c>
      <c r="T728" t="s">
        <v>62</v>
      </c>
      <c r="U728" t="s">
        <v>63</v>
      </c>
      <c r="V728" t="s">
        <v>93</v>
      </c>
      <c r="W728" t="s">
        <v>121</v>
      </c>
      <c r="X728" t="s">
        <v>127</v>
      </c>
      <c r="Y728" t="s">
        <v>905</v>
      </c>
      <c r="Z728">
        <v>0</v>
      </c>
      <c r="AA728">
        <v>1</v>
      </c>
      <c r="AB728" t="s">
        <v>79</v>
      </c>
      <c r="AC728">
        <v>1</v>
      </c>
      <c r="AD728">
        <v>3</v>
      </c>
      <c r="AE728" t="s">
        <v>53</v>
      </c>
      <c r="AF728">
        <v>1920</v>
      </c>
      <c r="AG728">
        <v>480</v>
      </c>
      <c r="AH728">
        <v>0</v>
      </c>
      <c r="AI728">
        <v>1440</v>
      </c>
      <c r="AJ728" t="s">
        <v>89</v>
      </c>
      <c r="AK728" t="s">
        <v>90</v>
      </c>
      <c r="AL728">
        <v>2011</v>
      </c>
      <c r="AM728" t="s">
        <v>82</v>
      </c>
      <c r="AN728" s="2">
        <f t="shared" si="77"/>
        <v>1.4750169012353265</v>
      </c>
      <c r="AO728">
        <f t="shared" si="78"/>
        <v>-619.31999999999994</v>
      </c>
      <c r="AP728" s="2">
        <f t="shared" si="79"/>
        <v>0.67708485163977095</v>
      </c>
      <c r="AQ728" s="2">
        <f t="shared" si="83"/>
        <v>4</v>
      </c>
      <c r="AR728">
        <f t="shared" si="80"/>
        <v>267</v>
      </c>
      <c r="AS728" t="str">
        <f t="shared" si="81"/>
        <v>Low Claim Ratio</v>
      </c>
      <c r="AT728" t="str">
        <f t="shared" si="82"/>
        <v>Low Profit</v>
      </c>
    </row>
    <row r="729" spans="1:46" x14ac:dyDescent="0.2">
      <c r="A729">
        <v>39</v>
      </c>
      <c r="B729">
        <v>22</v>
      </c>
      <c r="C729">
        <v>691115</v>
      </c>
      <c r="D729" s="1">
        <v>33997</v>
      </c>
      <c r="E729" t="s">
        <v>57</v>
      </c>
      <c r="F729" t="s">
        <v>91</v>
      </c>
      <c r="G729">
        <v>500</v>
      </c>
      <c r="H729">
        <v>1173.21</v>
      </c>
      <c r="I729">
        <v>0</v>
      </c>
      <c r="J729">
        <v>431202</v>
      </c>
      <c r="K729" t="s">
        <v>41</v>
      </c>
      <c r="L729" t="s">
        <v>161</v>
      </c>
      <c r="M729" t="s">
        <v>189</v>
      </c>
      <c r="N729" t="s">
        <v>173</v>
      </c>
      <c r="O729" t="s">
        <v>142</v>
      </c>
      <c r="P729">
        <v>0</v>
      </c>
      <c r="Q729">
        <v>0</v>
      </c>
      <c r="R729" s="1">
        <v>42049</v>
      </c>
      <c r="S729" t="s">
        <v>46</v>
      </c>
      <c r="T729" t="s">
        <v>76</v>
      </c>
      <c r="U729" t="s">
        <v>48</v>
      </c>
      <c r="V729" t="s">
        <v>49</v>
      </c>
      <c r="W729" t="s">
        <v>50</v>
      </c>
      <c r="X729" t="s">
        <v>127</v>
      </c>
      <c r="Y729" t="s">
        <v>906</v>
      </c>
      <c r="Z729">
        <v>14</v>
      </c>
      <c r="AA729">
        <v>1</v>
      </c>
      <c r="AB729" t="s">
        <v>53</v>
      </c>
      <c r="AC729">
        <v>0</v>
      </c>
      <c r="AD729">
        <v>1</v>
      </c>
      <c r="AE729" t="s">
        <v>53</v>
      </c>
      <c r="AF729">
        <v>86130</v>
      </c>
      <c r="AG729">
        <v>15660</v>
      </c>
      <c r="AH729">
        <v>7830</v>
      </c>
      <c r="AI729">
        <v>62640</v>
      </c>
      <c r="AJ729" t="s">
        <v>153</v>
      </c>
      <c r="AK729" t="s">
        <v>154</v>
      </c>
      <c r="AL729">
        <v>2009</v>
      </c>
      <c r="AM729" t="s">
        <v>56</v>
      </c>
      <c r="AN729" s="2">
        <f t="shared" si="77"/>
        <v>73.35144480118548</v>
      </c>
      <c r="AO729">
        <f t="shared" si="78"/>
        <v>-84956.79</v>
      </c>
      <c r="AP729" s="2">
        <f t="shared" si="79"/>
        <v>1.3621228129244987E-2</v>
      </c>
      <c r="AQ729" s="2">
        <f t="shared" si="83"/>
        <v>6</v>
      </c>
      <c r="AR729">
        <f t="shared" si="80"/>
        <v>39</v>
      </c>
      <c r="AS729" t="str">
        <f t="shared" si="81"/>
        <v>High Claim Ratio</v>
      </c>
      <c r="AT729" t="str">
        <f t="shared" si="82"/>
        <v>High Profit</v>
      </c>
    </row>
    <row r="730" spans="1:46" x14ac:dyDescent="0.2">
      <c r="A730">
        <v>140</v>
      </c>
      <c r="B730">
        <v>32</v>
      </c>
      <c r="C730">
        <v>713172</v>
      </c>
      <c r="D730" s="1">
        <v>35361</v>
      </c>
      <c r="E730" t="s">
        <v>83</v>
      </c>
      <c r="F730" t="s">
        <v>40</v>
      </c>
      <c r="G730">
        <v>1000</v>
      </c>
      <c r="H730">
        <v>985.97</v>
      </c>
      <c r="I730">
        <v>5000000</v>
      </c>
      <c r="J730">
        <v>457793</v>
      </c>
      <c r="K730" t="s">
        <v>70</v>
      </c>
      <c r="L730" t="s">
        <v>141</v>
      </c>
      <c r="M730" t="s">
        <v>135</v>
      </c>
      <c r="N730" t="s">
        <v>242</v>
      </c>
      <c r="O730" t="s">
        <v>60</v>
      </c>
      <c r="P730">
        <v>0</v>
      </c>
      <c r="Q730">
        <v>0</v>
      </c>
      <c r="R730" s="1">
        <v>42036</v>
      </c>
      <c r="S730" t="s">
        <v>46</v>
      </c>
      <c r="T730" t="s">
        <v>47</v>
      </c>
      <c r="U730" t="s">
        <v>48</v>
      </c>
      <c r="V730" t="s">
        <v>99</v>
      </c>
      <c r="W730" t="s">
        <v>64</v>
      </c>
      <c r="X730" t="s">
        <v>156</v>
      </c>
      <c r="Y730" t="s">
        <v>907</v>
      </c>
      <c r="Z730">
        <v>13</v>
      </c>
      <c r="AA730">
        <v>1</v>
      </c>
      <c r="AB730" t="s">
        <v>62</v>
      </c>
      <c r="AC730">
        <v>2</v>
      </c>
      <c r="AD730">
        <v>3</v>
      </c>
      <c r="AE730" t="s">
        <v>62</v>
      </c>
      <c r="AF730">
        <v>82170</v>
      </c>
      <c r="AG730">
        <v>14940</v>
      </c>
      <c r="AH730">
        <v>7470</v>
      </c>
      <c r="AI730">
        <v>59760</v>
      </c>
      <c r="AJ730" t="s">
        <v>89</v>
      </c>
      <c r="AK730" t="s">
        <v>223</v>
      </c>
      <c r="AL730">
        <v>1995</v>
      </c>
      <c r="AM730" t="s">
        <v>56</v>
      </c>
      <c r="AN730" s="2">
        <f t="shared" si="77"/>
        <v>83.254810176601111</v>
      </c>
      <c r="AO730">
        <f t="shared" si="78"/>
        <v>-81184.03</v>
      </c>
      <c r="AP730" s="2">
        <f t="shared" si="79"/>
        <v>1.1999002081026153E-2</v>
      </c>
      <c r="AQ730" s="2">
        <f t="shared" si="83"/>
        <v>20</v>
      </c>
      <c r="AR730">
        <f t="shared" si="80"/>
        <v>140</v>
      </c>
      <c r="AS730" t="str">
        <f t="shared" si="81"/>
        <v>High Claim Ratio</v>
      </c>
      <c r="AT730" t="str">
        <f t="shared" si="82"/>
        <v>High Profit</v>
      </c>
    </row>
    <row r="731" spans="1:46" x14ac:dyDescent="0.2">
      <c r="A731">
        <v>243</v>
      </c>
      <c r="B731">
        <v>41</v>
      </c>
      <c r="C731">
        <v>621756</v>
      </c>
      <c r="D731" s="1">
        <v>35541</v>
      </c>
      <c r="E731" t="s">
        <v>57</v>
      </c>
      <c r="F731" t="s">
        <v>69</v>
      </c>
      <c r="G731">
        <v>1000</v>
      </c>
      <c r="H731">
        <v>1129.23</v>
      </c>
      <c r="I731">
        <v>0</v>
      </c>
      <c r="J731">
        <v>470190</v>
      </c>
      <c r="K731" t="s">
        <v>70</v>
      </c>
      <c r="L731" t="s">
        <v>141</v>
      </c>
      <c r="M731" t="s">
        <v>189</v>
      </c>
      <c r="N731" t="s">
        <v>118</v>
      </c>
      <c r="O731" t="s">
        <v>74</v>
      </c>
      <c r="P731">
        <v>17300</v>
      </c>
      <c r="Q731">
        <v>-60400</v>
      </c>
      <c r="R731" s="1">
        <v>42058</v>
      </c>
      <c r="S731" t="s">
        <v>46</v>
      </c>
      <c r="T731" t="s">
        <v>86</v>
      </c>
      <c r="U731" t="s">
        <v>48</v>
      </c>
      <c r="V731" t="s">
        <v>99</v>
      </c>
      <c r="W731" t="s">
        <v>113</v>
      </c>
      <c r="X731" t="s">
        <v>122</v>
      </c>
      <c r="Y731" t="s">
        <v>908</v>
      </c>
      <c r="Z731">
        <v>1</v>
      </c>
      <c r="AA731">
        <v>1</v>
      </c>
      <c r="AB731" t="s">
        <v>62</v>
      </c>
      <c r="AC731">
        <v>1</v>
      </c>
      <c r="AD731">
        <v>0</v>
      </c>
      <c r="AE731" t="s">
        <v>53</v>
      </c>
      <c r="AF731">
        <v>50300</v>
      </c>
      <c r="AG731">
        <v>10060</v>
      </c>
      <c r="AH731">
        <v>5030</v>
      </c>
      <c r="AI731">
        <v>35210</v>
      </c>
      <c r="AJ731" t="s">
        <v>153</v>
      </c>
      <c r="AK731" t="s">
        <v>154</v>
      </c>
      <c r="AL731">
        <v>1999</v>
      </c>
      <c r="AM731" t="s">
        <v>56</v>
      </c>
      <c r="AN731" s="2">
        <f t="shared" si="77"/>
        <v>44.504215956044341</v>
      </c>
      <c r="AO731">
        <f t="shared" si="78"/>
        <v>-49170.77</v>
      </c>
      <c r="AP731" s="2">
        <f t="shared" si="79"/>
        <v>2.2449454285203077E-2</v>
      </c>
      <c r="AQ731" s="2">
        <f t="shared" si="83"/>
        <v>16</v>
      </c>
      <c r="AR731">
        <f t="shared" si="80"/>
        <v>243</v>
      </c>
      <c r="AS731" t="str">
        <f t="shared" si="81"/>
        <v>High Claim Ratio</v>
      </c>
      <c r="AT731" t="str">
        <f t="shared" si="82"/>
        <v>High Profit</v>
      </c>
    </row>
    <row r="732" spans="1:46" x14ac:dyDescent="0.2">
      <c r="A732">
        <v>116</v>
      </c>
      <c r="B732">
        <v>31</v>
      </c>
      <c r="C732">
        <v>615116</v>
      </c>
      <c r="D732" s="1">
        <v>39761</v>
      </c>
      <c r="E732" t="s">
        <v>57</v>
      </c>
      <c r="F732" t="s">
        <v>40</v>
      </c>
      <c r="G732">
        <v>500</v>
      </c>
      <c r="H732">
        <v>1194.83</v>
      </c>
      <c r="I732">
        <v>0</v>
      </c>
      <c r="J732">
        <v>603733</v>
      </c>
      <c r="K732" t="s">
        <v>70</v>
      </c>
      <c r="L732" t="s">
        <v>42</v>
      </c>
      <c r="M732" t="s">
        <v>101</v>
      </c>
      <c r="N732" t="s">
        <v>118</v>
      </c>
      <c r="O732" t="s">
        <v>45</v>
      </c>
      <c r="P732">
        <v>28600</v>
      </c>
      <c r="Q732">
        <v>0</v>
      </c>
      <c r="R732" s="1">
        <v>42024</v>
      </c>
      <c r="S732" t="s">
        <v>46</v>
      </c>
      <c r="T732" t="s">
        <v>47</v>
      </c>
      <c r="U732" t="s">
        <v>48</v>
      </c>
      <c r="V732" t="s">
        <v>49</v>
      </c>
      <c r="W732" t="s">
        <v>50</v>
      </c>
      <c r="X732" t="s">
        <v>65</v>
      </c>
      <c r="Y732" t="s">
        <v>909</v>
      </c>
      <c r="Z732">
        <v>23</v>
      </c>
      <c r="AA732">
        <v>1</v>
      </c>
      <c r="AB732" t="s">
        <v>79</v>
      </c>
      <c r="AC732">
        <v>0</v>
      </c>
      <c r="AD732">
        <v>0</v>
      </c>
      <c r="AE732" t="s">
        <v>79</v>
      </c>
      <c r="AF732">
        <v>44200</v>
      </c>
      <c r="AG732">
        <v>4420</v>
      </c>
      <c r="AH732">
        <v>8840</v>
      </c>
      <c r="AI732">
        <v>30940</v>
      </c>
      <c r="AJ732" t="s">
        <v>153</v>
      </c>
      <c r="AK732" t="s">
        <v>167</v>
      </c>
      <c r="AL732">
        <v>1997</v>
      </c>
      <c r="AM732" t="s">
        <v>82</v>
      </c>
      <c r="AN732" s="2">
        <f t="shared" si="77"/>
        <v>36.961775503206979</v>
      </c>
      <c r="AO732">
        <f t="shared" si="78"/>
        <v>-43005.17</v>
      </c>
      <c r="AP732" s="2">
        <f t="shared" si="79"/>
        <v>2.7031741363317572E-2</v>
      </c>
      <c r="AQ732" s="2">
        <f t="shared" si="83"/>
        <v>18</v>
      </c>
      <c r="AR732">
        <f t="shared" si="80"/>
        <v>116</v>
      </c>
      <c r="AS732" t="str">
        <f t="shared" si="81"/>
        <v>High Claim Ratio</v>
      </c>
      <c r="AT732" t="str">
        <f t="shared" si="82"/>
        <v>High Profit</v>
      </c>
    </row>
    <row r="733" spans="1:46" x14ac:dyDescent="0.2">
      <c r="A733">
        <v>219</v>
      </c>
      <c r="B733">
        <v>43</v>
      </c>
      <c r="C733">
        <v>947598</v>
      </c>
      <c r="D733" s="1">
        <v>37427</v>
      </c>
      <c r="E733" t="s">
        <v>57</v>
      </c>
      <c r="F733" t="s">
        <v>69</v>
      </c>
      <c r="G733">
        <v>1000</v>
      </c>
      <c r="H733">
        <v>1114.29</v>
      </c>
      <c r="I733">
        <v>0</v>
      </c>
      <c r="J733">
        <v>465136</v>
      </c>
      <c r="K733" t="s">
        <v>70</v>
      </c>
      <c r="L733" t="s">
        <v>131</v>
      </c>
      <c r="M733" t="s">
        <v>145</v>
      </c>
      <c r="N733" t="s">
        <v>173</v>
      </c>
      <c r="O733" t="s">
        <v>60</v>
      </c>
      <c r="P733">
        <v>51300</v>
      </c>
      <c r="Q733">
        <v>0</v>
      </c>
      <c r="R733" s="1">
        <v>42012</v>
      </c>
      <c r="S733" t="s">
        <v>46</v>
      </c>
      <c r="T733" t="s">
        <v>47</v>
      </c>
      <c r="U733" t="s">
        <v>48</v>
      </c>
      <c r="V733" t="s">
        <v>136</v>
      </c>
      <c r="W733" t="s">
        <v>64</v>
      </c>
      <c r="X733" t="s">
        <v>156</v>
      </c>
      <c r="Y733" t="s">
        <v>910</v>
      </c>
      <c r="Z733">
        <v>1</v>
      </c>
      <c r="AA733">
        <v>1</v>
      </c>
      <c r="AB733" t="s">
        <v>62</v>
      </c>
      <c r="AC733">
        <v>2</v>
      </c>
      <c r="AD733">
        <v>2</v>
      </c>
      <c r="AE733" t="s">
        <v>53</v>
      </c>
      <c r="AF733">
        <v>66660</v>
      </c>
      <c r="AG733">
        <v>6060</v>
      </c>
      <c r="AH733">
        <v>6060</v>
      </c>
      <c r="AI733">
        <v>54540</v>
      </c>
      <c r="AJ733" t="s">
        <v>115</v>
      </c>
      <c r="AK733" t="s">
        <v>140</v>
      </c>
      <c r="AL733">
        <v>2006</v>
      </c>
      <c r="AM733" t="s">
        <v>82</v>
      </c>
      <c r="AN733" s="2">
        <f t="shared" si="77"/>
        <v>59.769208008679357</v>
      </c>
      <c r="AO733">
        <f t="shared" si="78"/>
        <v>-65545.710000000006</v>
      </c>
      <c r="AP733" s="2">
        <f t="shared" si="79"/>
        <v>1.6715770840521445E-2</v>
      </c>
      <c r="AQ733" s="2">
        <f t="shared" si="83"/>
        <v>9</v>
      </c>
      <c r="AR733">
        <f t="shared" si="80"/>
        <v>219</v>
      </c>
      <c r="AS733" t="str">
        <f t="shared" si="81"/>
        <v>High Claim Ratio</v>
      </c>
      <c r="AT733" t="str">
        <f t="shared" si="82"/>
        <v>High Profit</v>
      </c>
    </row>
    <row r="734" spans="1:46" x14ac:dyDescent="0.2">
      <c r="A734">
        <v>96</v>
      </c>
      <c r="B734">
        <v>26</v>
      </c>
      <c r="C734">
        <v>658002</v>
      </c>
      <c r="D734" s="1">
        <v>38646</v>
      </c>
      <c r="E734" t="s">
        <v>39</v>
      </c>
      <c r="F734" t="s">
        <v>40</v>
      </c>
      <c r="G734">
        <v>2000</v>
      </c>
      <c r="H734">
        <v>1509.04</v>
      </c>
      <c r="I734">
        <v>0</v>
      </c>
      <c r="J734">
        <v>611723</v>
      </c>
      <c r="K734" t="s">
        <v>70</v>
      </c>
      <c r="L734" t="s">
        <v>92</v>
      </c>
      <c r="M734" t="s">
        <v>101</v>
      </c>
      <c r="N734" t="s">
        <v>98</v>
      </c>
      <c r="O734" t="s">
        <v>45</v>
      </c>
      <c r="P734">
        <v>10000</v>
      </c>
      <c r="Q734">
        <v>0</v>
      </c>
      <c r="R734" s="1">
        <v>42058</v>
      </c>
      <c r="S734" t="s">
        <v>46</v>
      </c>
      <c r="T734" t="s">
        <v>86</v>
      </c>
      <c r="U734" t="s">
        <v>107</v>
      </c>
      <c r="V734" t="s">
        <v>136</v>
      </c>
      <c r="W734" t="s">
        <v>50</v>
      </c>
      <c r="X734" t="s">
        <v>65</v>
      </c>
      <c r="Y734" t="s">
        <v>911</v>
      </c>
      <c r="Z734">
        <v>9</v>
      </c>
      <c r="AA734">
        <v>1</v>
      </c>
      <c r="AB734" t="s">
        <v>53</v>
      </c>
      <c r="AC734">
        <v>2</v>
      </c>
      <c r="AD734">
        <v>3</v>
      </c>
      <c r="AE734" t="s">
        <v>79</v>
      </c>
      <c r="AF734">
        <v>78320</v>
      </c>
      <c r="AG734">
        <v>7120</v>
      </c>
      <c r="AH734">
        <v>14240</v>
      </c>
      <c r="AI734">
        <v>56960</v>
      </c>
      <c r="AJ734" t="s">
        <v>54</v>
      </c>
      <c r="AK734" t="s">
        <v>55</v>
      </c>
      <c r="AL734">
        <v>2007</v>
      </c>
      <c r="AM734" t="s">
        <v>82</v>
      </c>
      <c r="AN734" s="2">
        <f t="shared" si="77"/>
        <v>51.866175730444226</v>
      </c>
      <c r="AO734">
        <f t="shared" si="78"/>
        <v>-76810.960000000006</v>
      </c>
      <c r="AP734" s="2">
        <f t="shared" si="79"/>
        <v>1.9267374012078498E-2</v>
      </c>
      <c r="AQ734" s="2">
        <f t="shared" si="83"/>
        <v>8</v>
      </c>
      <c r="AR734">
        <f t="shared" si="80"/>
        <v>96</v>
      </c>
      <c r="AS734" t="str">
        <f t="shared" si="81"/>
        <v>High Claim Ratio</v>
      </c>
      <c r="AT734" t="str">
        <f t="shared" si="82"/>
        <v>High Profit</v>
      </c>
    </row>
    <row r="735" spans="1:46" x14ac:dyDescent="0.2">
      <c r="A735">
        <v>149</v>
      </c>
      <c r="B735">
        <v>34</v>
      </c>
      <c r="C735">
        <v>374545</v>
      </c>
      <c r="D735" s="1">
        <v>38592</v>
      </c>
      <c r="E735" t="s">
        <v>57</v>
      </c>
      <c r="F735" t="s">
        <v>40</v>
      </c>
      <c r="G735">
        <v>500</v>
      </c>
      <c r="H735">
        <v>664.86</v>
      </c>
      <c r="I735">
        <v>0</v>
      </c>
      <c r="J735">
        <v>608963</v>
      </c>
      <c r="K735" t="s">
        <v>70</v>
      </c>
      <c r="L735" t="s">
        <v>71</v>
      </c>
      <c r="M735" t="s">
        <v>43</v>
      </c>
      <c r="N735" t="s">
        <v>132</v>
      </c>
      <c r="O735" t="s">
        <v>119</v>
      </c>
      <c r="P735">
        <v>0</v>
      </c>
      <c r="Q735">
        <v>-60000</v>
      </c>
      <c r="R735" s="1">
        <v>42039</v>
      </c>
      <c r="S735" t="s">
        <v>46</v>
      </c>
      <c r="T735" t="s">
        <v>76</v>
      </c>
      <c r="U735" t="s">
        <v>107</v>
      </c>
      <c r="V735" t="s">
        <v>99</v>
      </c>
      <c r="W735" t="s">
        <v>113</v>
      </c>
      <c r="X735" t="s">
        <v>51</v>
      </c>
      <c r="Y735" t="s">
        <v>912</v>
      </c>
      <c r="Z735">
        <v>3</v>
      </c>
      <c r="AA735">
        <v>1</v>
      </c>
      <c r="AB735" t="s">
        <v>62</v>
      </c>
      <c r="AC735">
        <v>0</v>
      </c>
      <c r="AD735">
        <v>1</v>
      </c>
      <c r="AE735" t="s">
        <v>79</v>
      </c>
      <c r="AF735">
        <v>105040</v>
      </c>
      <c r="AG735">
        <v>16160</v>
      </c>
      <c r="AH735">
        <v>16160</v>
      </c>
      <c r="AI735">
        <v>72720</v>
      </c>
      <c r="AJ735" t="s">
        <v>80</v>
      </c>
      <c r="AK735" t="s">
        <v>81</v>
      </c>
      <c r="AL735">
        <v>1999</v>
      </c>
      <c r="AM735" t="s">
        <v>82</v>
      </c>
      <c r="AN735" s="2">
        <f t="shared" si="77"/>
        <v>157.75087856306129</v>
      </c>
      <c r="AO735">
        <f t="shared" si="78"/>
        <v>-104375.14</v>
      </c>
      <c r="AP735" s="2">
        <f t="shared" si="79"/>
        <v>6.329528469835588E-3</v>
      </c>
      <c r="AQ735" s="2">
        <f t="shared" si="83"/>
        <v>16</v>
      </c>
      <c r="AR735">
        <f t="shared" si="80"/>
        <v>149</v>
      </c>
      <c r="AS735" t="str">
        <f t="shared" si="81"/>
        <v>High Claim Ratio</v>
      </c>
      <c r="AT735" t="str">
        <f t="shared" si="82"/>
        <v>High Profit</v>
      </c>
    </row>
    <row r="736" spans="1:46" x14ac:dyDescent="0.2">
      <c r="A736">
        <v>246</v>
      </c>
      <c r="B736">
        <v>43</v>
      </c>
      <c r="C736">
        <v>805806</v>
      </c>
      <c r="D736" s="1">
        <v>41290</v>
      </c>
      <c r="E736" t="s">
        <v>57</v>
      </c>
      <c r="F736" t="s">
        <v>40</v>
      </c>
      <c r="G736">
        <v>1000</v>
      </c>
      <c r="H736">
        <v>1267.4000000000001</v>
      </c>
      <c r="I736">
        <v>6000000</v>
      </c>
      <c r="J736">
        <v>454139</v>
      </c>
      <c r="K736" t="s">
        <v>41</v>
      </c>
      <c r="L736" t="s">
        <v>161</v>
      </c>
      <c r="M736" t="s">
        <v>185</v>
      </c>
      <c r="N736" t="s">
        <v>179</v>
      </c>
      <c r="O736" t="s">
        <v>45</v>
      </c>
      <c r="P736">
        <v>0</v>
      </c>
      <c r="Q736">
        <v>0</v>
      </c>
      <c r="R736" s="1">
        <v>42044</v>
      </c>
      <c r="S736" t="s">
        <v>46</v>
      </c>
      <c r="T736" t="s">
        <v>47</v>
      </c>
      <c r="U736" t="s">
        <v>63</v>
      </c>
      <c r="V736" t="s">
        <v>99</v>
      </c>
      <c r="W736" t="s">
        <v>77</v>
      </c>
      <c r="X736" t="s">
        <v>122</v>
      </c>
      <c r="Y736" t="s">
        <v>913</v>
      </c>
      <c r="Z736">
        <v>0</v>
      </c>
      <c r="AA736">
        <v>1</v>
      </c>
      <c r="AB736" t="s">
        <v>79</v>
      </c>
      <c r="AC736">
        <v>2</v>
      </c>
      <c r="AD736">
        <v>1</v>
      </c>
      <c r="AE736" t="s">
        <v>62</v>
      </c>
      <c r="AF736">
        <v>50700</v>
      </c>
      <c r="AG736">
        <v>5070</v>
      </c>
      <c r="AH736">
        <v>5070</v>
      </c>
      <c r="AI736">
        <v>40560</v>
      </c>
      <c r="AJ736" t="s">
        <v>95</v>
      </c>
      <c r="AK736" t="s">
        <v>96</v>
      </c>
      <c r="AL736">
        <v>2006</v>
      </c>
      <c r="AM736" t="s">
        <v>82</v>
      </c>
      <c r="AN736" s="2">
        <f t="shared" si="77"/>
        <v>39.971617786187316</v>
      </c>
      <c r="AO736">
        <f t="shared" si="78"/>
        <v>-49432.6</v>
      </c>
      <c r="AP736" s="2">
        <f t="shared" si="79"/>
        <v>2.4997534565393189E-2</v>
      </c>
      <c r="AQ736" s="2">
        <f t="shared" si="83"/>
        <v>9</v>
      </c>
      <c r="AR736">
        <f t="shared" si="80"/>
        <v>246</v>
      </c>
      <c r="AS736" t="str">
        <f t="shared" si="81"/>
        <v>High Claim Ratio</v>
      </c>
      <c r="AT736" t="str">
        <f t="shared" si="82"/>
        <v>High Profit</v>
      </c>
    </row>
    <row r="737" spans="1:46" x14ac:dyDescent="0.2">
      <c r="A737">
        <v>293</v>
      </c>
      <c r="B737">
        <v>45</v>
      </c>
      <c r="C737">
        <v>235097</v>
      </c>
      <c r="D737" s="1">
        <v>33722</v>
      </c>
      <c r="E737" t="s">
        <v>83</v>
      </c>
      <c r="F737" t="s">
        <v>69</v>
      </c>
      <c r="G737">
        <v>1000</v>
      </c>
      <c r="H737">
        <v>1119.23</v>
      </c>
      <c r="I737">
        <v>0</v>
      </c>
      <c r="J737">
        <v>447560</v>
      </c>
      <c r="K737" t="s">
        <v>70</v>
      </c>
      <c r="L737" t="s">
        <v>42</v>
      </c>
      <c r="M737" t="s">
        <v>125</v>
      </c>
      <c r="N737" t="s">
        <v>264</v>
      </c>
      <c r="O737" t="s">
        <v>85</v>
      </c>
      <c r="P737">
        <v>51500</v>
      </c>
      <c r="Q737">
        <v>0</v>
      </c>
      <c r="R737" s="1">
        <v>42053</v>
      </c>
      <c r="S737" t="s">
        <v>75</v>
      </c>
      <c r="T737" t="s">
        <v>86</v>
      </c>
      <c r="U737" t="s">
        <v>107</v>
      </c>
      <c r="V737" t="s">
        <v>99</v>
      </c>
      <c r="W737" t="s">
        <v>113</v>
      </c>
      <c r="X737" t="s">
        <v>127</v>
      </c>
      <c r="Y737" t="s">
        <v>914</v>
      </c>
      <c r="Z737">
        <v>13</v>
      </c>
      <c r="AA737">
        <v>3</v>
      </c>
      <c r="AB737" t="s">
        <v>79</v>
      </c>
      <c r="AC737">
        <v>1</v>
      </c>
      <c r="AD737">
        <v>1</v>
      </c>
      <c r="AE737" t="s">
        <v>79</v>
      </c>
      <c r="AF737">
        <v>51210</v>
      </c>
      <c r="AG737">
        <v>11380</v>
      </c>
      <c r="AH737">
        <v>5690</v>
      </c>
      <c r="AI737">
        <v>34140</v>
      </c>
      <c r="AJ737" t="s">
        <v>197</v>
      </c>
      <c r="AK737" t="s">
        <v>198</v>
      </c>
      <c r="AL737">
        <v>2015</v>
      </c>
      <c r="AM737" t="s">
        <v>82</v>
      </c>
      <c r="AN737" s="2">
        <f t="shared" si="77"/>
        <v>45.713826624889528</v>
      </c>
      <c r="AO737">
        <f t="shared" si="78"/>
        <v>-50090.77</v>
      </c>
      <c r="AP737" s="2">
        <f t="shared" si="79"/>
        <v>2.1855265470309113E-2</v>
      </c>
      <c r="AQ737" s="2">
        <f t="shared" si="83"/>
        <v>0</v>
      </c>
      <c r="AR737">
        <f t="shared" si="80"/>
        <v>293</v>
      </c>
      <c r="AS737" t="str">
        <f t="shared" si="81"/>
        <v>High Claim Ratio</v>
      </c>
      <c r="AT737" t="str">
        <f t="shared" si="82"/>
        <v>High Profit</v>
      </c>
    </row>
    <row r="738" spans="1:46" x14ac:dyDescent="0.2">
      <c r="A738">
        <v>339</v>
      </c>
      <c r="B738">
        <v>48</v>
      </c>
      <c r="C738">
        <v>290971</v>
      </c>
      <c r="D738" s="1">
        <v>38635</v>
      </c>
      <c r="E738" t="s">
        <v>39</v>
      </c>
      <c r="F738" t="s">
        <v>69</v>
      </c>
      <c r="G738">
        <v>500</v>
      </c>
      <c r="H738">
        <v>1698.51</v>
      </c>
      <c r="I738">
        <v>0</v>
      </c>
      <c r="J738">
        <v>444378</v>
      </c>
      <c r="K738" t="s">
        <v>41</v>
      </c>
      <c r="L738" t="s">
        <v>161</v>
      </c>
      <c r="M738" t="s">
        <v>111</v>
      </c>
      <c r="N738" t="s">
        <v>126</v>
      </c>
      <c r="O738" t="s">
        <v>85</v>
      </c>
      <c r="P738">
        <v>0</v>
      </c>
      <c r="Q738">
        <v>0</v>
      </c>
      <c r="R738" s="1">
        <v>42045</v>
      </c>
      <c r="S738" t="s">
        <v>75</v>
      </c>
      <c r="T738" t="s">
        <v>76</v>
      </c>
      <c r="U738" t="s">
        <v>107</v>
      </c>
      <c r="V738" t="s">
        <v>99</v>
      </c>
      <c r="W738" t="s">
        <v>50</v>
      </c>
      <c r="X738" t="s">
        <v>122</v>
      </c>
      <c r="Y738" t="s">
        <v>915</v>
      </c>
      <c r="Z738">
        <v>18</v>
      </c>
      <c r="AA738">
        <v>3</v>
      </c>
      <c r="AB738" t="s">
        <v>79</v>
      </c>
      <c r="AC738">
        <v>2</v>
      </c>
      <c r="AD738">
        <v>1</v>
      </c>
      <c r="AE738" t="s">
        <v>62</v>
      </c>
      <c r="AF738">
        <v>51840</v>
      </c>
      <c r="AG738">
        <v>8640</v>
      </c>
      <c r="AH738">
        <v>8640</v>
      </c>
      <c r="AI738">
        <v>34560</v>
      </c>
      <c r="AJ738" t="s">
        <v>214</v>
      </c>
      <c r="AK738" t="s">
        <v>258</v>
      </c>
      <c r="AL738">
        <v>2001</v>
      </c>
      <c r="AM738" t="s">
        <v>82</v>
      </c>
      <c r="AN738" s="2">
        <f t="shared" si="77"/>
        <v>30.50290966219675</v>
      </c>
      <c r="AO738">
        <f t="shared" si="78"/>
        <v>-50141.49</v>
      </c>
      <c r="AP738" s="2">
        <f t="shared" si="79"/>
        <v>3.2763835574159447E-2</v>
      </c>
      <c r="AQ738" s="2">
        <f t="shared" si="83"/>
        <v>14</v>
      </c>
      <c r="AR738">
        <f t="shared" si="80"/>
        <v>339</v>
      </c>
      <c r="AS738" t="str">
        <f t="shared" si="81"/>
        <v>High Claim Ratio</v>
      </c>
      <c r="AT738" t="str">
        <f t="shared" si="82"/>
        <v>High Profit</v>
      </c>
    </row>
    <row r="739" spans="1:46" x14ac:dyDescent="0.2">
      <c r="A739">
        <v>160</v>
      </c>
      <c r="B739">
        <v>33</v>
      </c>
      <c r="C739">
        <v>180286</v>
      </c>
      <c r="D739" s="1">
        <v>39852</v>
      </c>
      <c r="E739" t="s">
        <v>83</v>
      </c>
      <c r="F739" t="s">
        <v>91</v>
      </c>
      <c r="G739">
        <v>1000</v>
      </c>
      <c r="H739">
        <v>1422.78</v>
      </c>
      <c r="I739">
        <v>0</v>
      </c>
      <c r="J739">
        <v>616583</v>
      </c>
      <c r="K739" t="s">
        <v>70</v>
      </c>
      <c r="L739" t="s">
        <v>131</v>
      </c>
      <c r="M739" t="s">
        <v>125</v>
      </c>
      <c r="N739" t="s">
        <v>264</v>
      </c>
      <c r="O739" t="s">
        <v>45</v>
      </c>
      <c r="P739">
        <v>61600</v>
      </c>
      <c r="Q739">
        <v>0</v>
      </c>
      <c r="R739" s="1">
        <v>42024</v>
      </c>
      <c r="S739" t="s">
        <v>75</v>
      </c>
      <c r="T739" t="s">
        <v>86</v>
      </c>
      <c r="U739" t="s">
        <v>107</v>
      </c>
      <c r="V739" t="s">
        <v>136</v>
      </c>
      <c r="W739" t="s">
        <v>121</v>
      </c>
      <c r="X739" t="s">
        <v>65</v>
      </c>
      <c r="Y739" t="s">
        <v>916</v>
      </c>
      <c r="Z739">
        <v>17</v>
      </c>
      <c r="AA739">
        <v>3</v>
      </c>
      <c r="AB739" t="s">
        <v>62</v>
      </c>
      <c r="AC739">
        <v>2</v>
      </c>
      <c r="AD739">
        <v>3</v>
      </c>
      <c r="AE739" t="s">
        <v>53</v>
      </c>
      <c r="AF739">
        <v>52800</v>
      </c>
      <c r="AG739">
        <v>5280</v>
      </c>
      <c r="AH739">
        <v>5280</v>
      </c>
      <c r="AI739">
        <v>42240</v>
      </c>
      <c r="AJ739" t="s">
        <v>104</v>
      </c>
      <c r="AK739" t="s">
        <v>105</v>
      </c>
      <c r="AL739">
        <v>2006</v>
      </c>
      <c r="AM739" t="s">
        <v>82</v>
      </c>
      <c r="AN739" s="2">
        <f t="shared" si="77"/>
        <v>37.084381013920691</v>
      </c>
      <c r="AO739">
        <f t="shared" si="78"/>
        <v>-51377.22</v>
      </c>
      <c r="AP739" s="2">
        <f t="shared" si="79"/>
        <v>2.6946080566655935E-2</v>
      </c>
      <c r="AQ739" s="2">
        <f t="shared" si="83"/>
        <v>9</v>
      </c>
      <c r="AR739">
        <f t="shared" si="80"/>
        <v>160</v>
      </c>
      <c r="AS739" t="str">
        <f t="shared" si="81"/>
        <v>High Claim Ratio</v>
      </c>
      <c r="AT739" t="str">
        <f t="shared" si="82"/>
        <v>High Profit</v>
      </c>
    </row>
    <row r="740" spans="1:46" x14ac:dyDescent="0.2">
      <c r="A740">
        <v>224</v>
      </c>
      <c r="B740">
        <v>42</v>
      </c>
      <c r="C740">
        <v>662088</v>
      </c>
      <c r="D740" s="1">
        <v>38417</v>
      </c>
      <c r="E740" t="s">
        <v>39</v>
      </c>
      <c r="F740" t="s">
        <v>91</v>
      </c>
      <c r="G740">
        <v>500</v>
      </c>
      <c r="H740">
        <v>1212.75</v>
      </c>
      <c r="I740">
        <v>0</v>
      </c>
      <c r="J740">
        <v>455913</v>
      </c>
      <c r="K740" t="s">
        <v>70</v>
      </c>
      <c r="L740" t="s">
        <v>141</v>
      </c>
      <c r="M740" t="s">
        <v>101</v>
      </c>
      <c r="N740" t="s">
        <v>170</v>
      </c>
      <c r="O740" t="s">
        <v>74</v>
      </c>
      <c r="P740">
        <v>0</v>
      </c>
      <c r="Q740">
        <v>-51400</v>
      </c>
      <c r="R740" s="1">
        <v>42031</v>
      </c>
      <c r="S740" t="s">
        <v>46</v>
      </c>
      <c r="T740" t="s">
        <v>86</v>
      </c>
      <c r="U740" t="s">
        <v>63</v>
      </c>
      <c r="V740" t="s">
        <v>99</v>
      </c>
      <c r="W740" t="s">
        <v>113</v>
      </c>
      <c r="X740" t="s">
        <v>102</v>
      </c>
      <c r="Y740" t="s">
        <v>917</v>
      </c>
      <c r="Z740">
        <v>11</v>
      </c>
      <c r="AA740">
        <v>1</v>
      </c>
      <c r="AB740" t="s">
        <v>62</v>
      </c>
      <c r="AC740">
        <v>0</v>
      </c>
      <c r="AD740">
        <v>0</v>
      </c>
      <c r="AE740" t="s">
        <v>53</v>
      </c>
      <c r="AF740">
        <v>55200</v>
      </c>
      <c r="AG740">
        <v>9200</v>
      </c>
      <c r="AH740">
        <v>13800</v>
      </c>
      <c r="AI740">
        <v>32200</v>
      </c>
      <c r="AJ740" t="s">
        <v>209</v>
      </c>
      <c r="AK740" t="s">
        <v>210</v>
      </c>
      <c r="AL740">
        <v>1998</v>
      </c>
      <c r="AM740" t="s">
        <v>82</v>
      </c>
      <c r="AN740" s="2">
        <f t="shared" si="77"/>
        <v>45.478887744593202</v>
      </c>
      <c r="AO740">
        <f t="shared" si="78"/>
        <v>-53987.25</v>
      </c>
      <c r="AP740" s="2">
        <f t="shared" si="79"/>
        <v>2.1969710693646855E-2</v>
      </c>
      <c r="AQ740" s="2">
        <f t="shared" si="83"/>
        <v>17</v>
      </c>
      <c r="AR740">
        <f t="shared" si="80"/>
        <v>224</v>
      </c>
      <c r="AS740" t="str">
        <f t="shared" si="81"/>
        <v>High Claim Ratio</v>
      </c>
      <c r="AT740" t="str">
        <f t="shared" si="82"/>
        <v>High Profit</v>
      </c>
    </row>
    <row r="741" spans="1:46" x14ac:dyDescent="0.2">
      <c r="A741">
        <v>194</v>
      </c>
      <c r="B741">
        <v>34</v>
      </c>
      <c r="C741">
        <v>884365</v>
      </c>
      <c r="D741" s="1">
        <v>34471</v>
      </c>
      <c r="E741" t="s">
        <v>57</v>
      </c>
      <c r="F741" t="s">
        <v>69</v>
      </c>
      <c r="G741">
        <v>1000</v>
      </c>
      <c r="H741">
        <v>1423.34</v>
      </c>
      <c r="I741">
        <v>0</v>
      </c>
      <c r="J741">
        <v>454399</v>
      </c>
      <c r="K741" t="s">
        <v>41</v>
      </c>
      <c r="L741" t="s">
        <v>92</v>
      </c>
      <c r="M741" t="s">
        <v>72</v>
      </c>
      <c r="N741" t="s">
        <v>118</v>
      </c>
      <c r="O741" t="s">
        <v>142</v>
      </c>
      <c r="P741">
        <v>55300</v>
      </c>
      <c r="Q741">
        <v>-37900</v>
      </c>
      <c r="R741" s="1">
        <v>42025</v>
      </c>
      <c r="S741" t="s">
        <v>61</v>
      </c>
      <c r="T741" t="s">
        <v>62</v>
      </c>
      <c r="U741" t="s">
        <v>63</v>
      </c>
      <c r="V741" t="s">
        <v>93</v>
      </c>
      <c r="W741" t="s">
        <v>113</v>
      </c>
      <c r="X741" t="s">
        <v>65</v>
      </c>
      <c r="Y741" t="s">
        <v>918</v>
      </c>
      <c r="Z741">
        <v>0</v>
      </c>
      <c r="AA741">
        <v>1</v>
      </c>
      <c r="AB741" t="s">
        <v>53</v>
      </c>
      <c r="AC741">
        <v>0</v>
      </c>
      <c r="AD741">
        <v>3</v>
      </c>
      <c r="AE741" t="s">
        <v>79</v>
      </c>
      <c r="AF741">
        <v>9100</v>
      </c>
      <c r="AG741">
        <v>1400</v>
      </c>
      <c r="AH741">
        <v>1400</v>
      </c>
      <c r="AI741">
        <v>6300</v>
      </c>
      <c r="AJ741" t="s">
        <v>89</v>
      </c>
      <c r="AK741" t="s">
        <v>245</v>
      </c>
      <c r="AL741">
        <v>2003</v>
      </c>
      <c r="AM741" t="s">
        <v>82</v>
      </c>
      <c r="AN741" s="2">
        <f t="shared" si="77"/>
        <v>6.3889239928668724</v>
      </c>
      <c r="AO741">
        <f t="shared" si="78"/>
        <v>-7676.66</v>
      </c>
      <c r="AP741" s="2">
        <f t="shared" si="79"/>
        <v>0.15639380287880453</v>
      </c>
      <c r="AQ741" s="2">
        <f t="shared" si="83"/>
        <v>12</v>
      </c>
      <c r="AR741">
        <f t="shared" si="80"/>
        <v>194</v>
      </c>
      <c r="AS741" t="str">
        <f t="shared" si="81"/>
        <v>Medium Claim Ratio</v>
      </c>
      <c r="AT741" t="str">
        <f t="shared" si="82"/>
        <v>High Profit</v>
      </c>
    </row>
    <row r="742" spans="1:46" x14ac:dyDescent="0.2">
      <c r="A742">
        <v>385</v>
      </c>
      <c r="B742">
        <v>51</v>
      </c>
      <c r="C742">
        <v>178081</v>
      </c>
      <c r="D742" s="1">
        <v>33074</v>
      </c>
      <c r="E742" t="s">
        <v>57</v>
      </c>
      <c r="F742" t="s">
        <v>40</v>
      </c>
      <c r="G742">
        <v>1000</v>
      </c>
      <c r="H742">
        <v>976.37</v>
      </c>
      <c r="I742">
        <v>0</v>
      </c>
      <c r="J742">
        <v>602842</v>
      </c>
      <c r="K742" t="s">
        <v>70</v>
      </c>
      <c r="L742" t="s">
        <v>42</v>
      </c>
      <c r="M742" t="s">
        <v>43</v>
      </c>
      <c r="N742" t="s">
        <v>59</v>
      </c>
      <c r="O742" t="s">
        <v>45</v>
      </c>
      <c r="P742">
        <v>0</v>
      </c>
      <c r="Q742">
        <v>-61000</v>
      </c>
      <c r="R742" s="1">
        <v>42053</v>
      </c>
      <c r="S742" t="s">
        <v>75</v>
      </c>
      <c r="T742" t="s">
        <v>76</v>
      </c>
      <c r="U742" t="s">
        <v>63</v>
      </c>
      <c r="V742" t="s">
        <v>120</v>
      </c>
      <c r="W742" t="s">
        <v>113</v>
      </c>
      <c r="X742" t="s">
        <v>65</v>
      </c>
      <c r="Y742" t="s">
        <v>919</v>
      </c>
      <c r="Z742">
        <v>14</v>
      </c>
      <c r="AA742">
        <v>3</v>
      </c>
      <c r="AB742" t="s">
        <v>62</v>
      </c>
      <c r="AC742">
        <v>1</v>
      </c>
      <c r="AD742">
        <v>3</v>
      </c>
      <c r="AE742" t="s">
        <v>62</v>
      </c>
      <c r="AF742">
        <v>67600</v>
      </c>
      <c r="AG742">
        <v>13520</v>
      </c>
      <c r="AH742">
        <v>6760</v>
      </c>
      <c r="AI742">
        <v>47320</v>
      </c>
      <c r="AJ742" t="s">
        <v>153</v>
      </c>
      <c r="AK742" t="s">
        <v>154</v>
      </c>
      <c r="AL742">
        <v>2007</v>
      </c>
      <c r="AM742" t="s">
        <v>82</v>
      </c>
      <c r="AN742" s="2">
        <f t="shared" si="77"/>
        <v>69.165208672253087</v>
      </c>
      <c r="AO742">
        <f t="shared" si="78"/>
        <v>-66623.63</v>
      </c>
      <c r="AP742" s="2">
        <f t="shared" si="79"/>
        <v>1.4443129539503854E-2</v>
      </c>
      <c r="AQ742" s="2">
        <f t="shared" si="83"/>
        <v>8</v>
      </c>
      <c r="AR742">
        <f t="shared" si="80"/>
        <v>385</v>
      </c>
      <c r="AS742" t="str">
        <f t="shared" si="81"/>
        <v>High Claim Ratio</v>
      </c>
      <c r="AT742" t="str">
        <f t="shared" si="82"/>
        <v>High Profit</v>
      </c>
    </row>
    <row r="743" spans="1:46" x14ac:dyDescent="0.2">
      <c r="A743">
        <v>100</v>
      </c>
      <c r="B743">
        <v>33</v>
      </c>
      <c r="C743">
        <v>507452</v>
      </c>
      <c r="D743" s="1">
        <v>38459</v>
      </c>
      <c r="E743" t="s">
        <v>39</v>
      </c>
      <c r="F743" t="s">
        <v>40</v>
      </c>
      <c r="G743">
        <v>500</v>
      </c>
      <c r="H743">
        <v>1124.5899999999999</v>
      </c>
      <c r="I743">
        <v>6000000</v>
      </c>
      <c r="J743">
        <v>459428</v>
      </c>
      <c r="K743" t="s">
        <v>41</v>
      </c>
      <c r="L743" t="s">
        <v>141</v>
      </c>
      <c r="M743" t="s">
        <v>185</v>
      </c>
      <c r="N743" t="s">
        <v>112</v>
      </c>
      <c r="O743" t="s">
        <v>142</v>
      </c>
      <c r="P743">
        <v>67300</v>
      </c>
      <c r="Q743">
        <v>0</v>
      </c>
      <c r="R743" s="1">
        <v>42061</v>
      </c>
      <c r="S743" t="s">
        <v>46</v>
      </c>
      <c r="T743" t="s">
        <v>76</v>
      </c>
      <c r="U743" t="s">
        <v>63</v>
      </c>
      <c r="V743" t="s">
        <v>120</v>
      </c>
      <c r="W743" t="s">
        <v>121</v>
      </c>
      <c r="X743" t="s">
        <v>51</v>
      </c>
      <c r="Y743" t="s">
        <v>920</v>
      </c>
      <c r="Z743">
        <v>4</v>
      </c>
      <c r="AA743">
        <v>1</v>
      </c>
      <c r="AB743" t="s">
        <v>79</v>
      </c>
      <c r="AC743">
        <v>1</v>
      </c>
      <c r="AD743">
        <v>2</v>
      </c>
      <c r="AE743" t="s">
        <v>79</v>
      </c>
      <c r="AF743">
        <v>40800</v>
      </c>
      <c r="AG743">
        <v>6800</v>
      </c>
      <c r="AH743">
        <v>6800</v>
      </c>
      <c r="AI743">
        <v>27200</v>
      </c>
      <c r="AJ743" t="s">
        <v>187</v>
      </c>
      <c r="AK743" t="s">
        <v>203</v>
      </c>
      <c r="AL743">
        <v>2004</v>
      </c>
      <c r="AM743" t="s">
        <v>82</v>
      </c>
      <c r="AN743" s="2">
        <f t="shared" si="77"/>
        <v>36.247656784441936</v>
      </c>
      <c r="AO743">
        <f t="shared" si="78"/>
        <v>-39675.410000000003</v>
      </c>
      <c r="AP743" s="2">
        <f t="shared" si="79"/>
        <v>2.7562804833214872E-2</v>
      </c>
      <c r="AQ743" s="2">
        <f t="shared" si="83"/>
        <v>11</v>
      </c>
      <c r="AR743">
        <f t="shared" si="80"/>
        <v>100</v>
      </c>
      <c r="AS743" t="str">
        <f t="shared" si="81"/>
        <v>High Claim Ratio</v>
      </c>
      <c r="AT743" t="str">
        <f t="shared" si="82"/>
        <v>High Profit</v>
      </c>
    </row>
    <row r="744" spans="1:46" x14ac:dyDescent="0.2">
      <c r="A744">
        <v>371</v>
      </c>
      <c r="B744">
        <v>50</v>
      </c>
      <c r="C744">
        <v>990624</v>
      </c>
      <c r="D744" s="1">
        <v>34375</v>
      </c>
      <c r="E744" t="s">
        <v>57</v>
      </c>
      <c r="F744" t="s">
        <v>40</v>
      </c>
      <c r="G744">
        <v>1000</v>
      </c>
      <c r="H744">
        <v>1569.33</v>
      </c>
      <c r="I744">
        <v>0</v>
      </c>
      <c r="J744">
        <v>613114</v>
      </c>
      <c r="K744" t="s">
        <v>41</v>
      </c>
      <c r="L744" t="s">
        <v>71</v>
      </c>
      <c r="M744" t="s">
        <v>58</v>
      </c>
      <c r="N744" t="s">
        <v>73</v>
      </c>
      <c r="O744" t="s">
        <v>142</v>
      </c>
      <c r="P744">
        <v>79600</v>
      </c>
      <c r="Q744">
        <v>0</v>
      </c>
      <c r="R744" s="1">
        <v>42033</v>
      </c>
      <c r="S744" t="s">
        <v>75</v>
      </c>
      <c r="T744" t="s">
        <v>47</v>
      </c>
      <c r="U744" t="s">
        <v>48</v>
      </c>
      <c r="V744" t="s">
        <v>120</v>
      </c>
      <c r="W744" t="s">
        <v>113</v>
      </c>
      <c r="X744" t="s">
        <v>102</v>
      </c>
      <c r="Y744" t="s">
        <v>921</v>
      </c>
      <c r="Z744">
        <v>2</v>
      </c>
      <c r="AA744">
        <v>3</v>
      </c>
      <c r="AB744" t="s">
        <v>79</v>
      </c>
      <c r="AC744">
        <v>2</v>
      </c>
      <c r="AD744">
        <v>1</v>
      </c>
      <c r="AE744" t="s">
        <v>53</v>
      </c>
      <c r="AF744">
        <v>84500</v>
      </c>
      <c r="AG744">
        <v>13000</v>
      </c>
      <c r="AH744">
        <v>13000</v>
      </c>
      <c r="AI744">
        <v>58500</v>
      </c>
      <c r="AJ744" t="s">
        <v>214</v>
      </c>
      <c r="AK744" t="s">
        <v>215</v>
      </c>
      <c r="AL744">
        <v>2011</v>
      </c>
      <c r="AM744" t="s">
        <v>56</v>
      </c>
      <c r="AN744" s="2">
        <f t="shared" si="77"/>
        <v>53.810345596148579</v>
      </c>
      <c r="AO744">
        <f t="shared" si="78"/>
        <v>-82930.67</v>
      </c>
      <c r="AP744" s="2">
        <f t="shared" si="79"/>
        <v>1.8571732878900842E-2</v>
      </c>
      <c r="AQ744" s="2">
        <f t="shared" si="83"/>
        <v>4</v>
      </c>
      <c r="AR744">
        <f t="shared" si="80"/>
        <v>371</v>
      </c>
      <c r="AS744" t="str">
        <f t="shared" si="81"/>
        <v>High Claim Ratio</v>
      </c>
      <c r="AT744" t="str">
        <f t="shared" si="82"/>
        <v>High Profit</v>
      </c>
    </row>
    <row r="745" spans="1:46" x14ac:dyDescent="0.2">
      <c r="A745">
        <v>175</v>
      </c>
      <c r="B745">
        <v>39</v>
      </c>
      <c r="C745">
        <v>892148</v>
      </c>
      <c r="D745" s="1">
        <v>34787</v>
      </c>
      <c r="E745" t="s">
        <v>57</v>
      </c>
      <c r="F745" t="s">
        <v>91</v>
      </c>
      <c r="G745">
        <v>500</v>
      </c>
      <c r="H745">
        <v>1359.36</v>
      </c>
      <c r="I745">
        <v>5000000</v>
      </c>
      <c r="J745">
        <v>450709</v>
      </c>
      <c r="K745" t="s">
        <v>41</v>
      </c>
      <c r="L745" t="s">
        <v>71</v>
      </c>
      <c r="M745" t="s">
        <v>125</v>
      </c>
      <c r="N745" t="s">
        <v>149</v>
      </c>
      <c r="O745" t="s">
        <v>45</v>
      </c>
      <c r="P745">
        <v>0</v>
      </c>
      <c r="Q745">
        <v>-43600</v>
      </c>
      <c r="R745" s="1">
        <v>42043</v>
      </c>
      <c r="S745" t="s">
        <v>75</v>
      </c>
      <c r="T745" t="s">
        <v>86</v>
      </c>
      <c r="U745" t="s">
        <v>48</v>
      </c>
      <c r="V745" t="s">
        <v>120</v>
      </c>
      <c r="W745" t="s">
        <v>50</v>
      </c>
      <c r="X745" t="s">
        <v>87</v>
      </c>
      <c r="Y745" t="s">
        <v>922</v>
      </c>
      <c r="Z745">
        <v>9</v>
      </c>
      <c r="AA745">
        <v>3</v>
      </c>
      <c r="AB745" t="s">
        <v>53</v>
      </c>
      <c r="AC745">
        <v>2</v>
      </c>
      <c r="AD745">
        <v>2</v>
      </c>
      <c r="AE745" t="s">
        <v>53</v>
      </c>
      <c r="AF745">
        <v>71610</v>
      </c>
      <c r="AG745">
        <v>13020</v>
      </c>
      <c r="AH745">
        <v>6510</v>
      </c>
      <c r="AI745">
        <v>52080</v>
      </c>
      <c r="AJ745" t="s">
        <v>115</v>
      </c>
      <c r="AK745" t="s">
        <v>140</v>
      </c>
      <c r="AL745">
        <v>2012</v>
      </c>
      <c r="AM745" t="s">
        <v>56</v>
      </c>
      <c r="AN745" s="2">
        <f t="shared" si="77"/>
        <v>52.640477520656297</v>
      </c>
      <c r="AO745">
        <f t="shared" si="78"/>
        <v>-70250.64</v>
      </c>
      <c r="AP745" s="2">
        <f t="shared" si="79"/>
        <v>1.8982558545474856E-2</v>
      </c>
      <c r="AQ745" s="2">
        <f t="shared" si="83"/>
        <v>3</v>
      </c>
      <c r="AR745">
        <f t="shared" si="80"/>
        <v>175</v>
      </c>
      <c r="AS745" t="str">
        <f t="shared" si="81"/>
        <v>High Claim Ratio</v>
      </c>
      <c r="AT745" t="str">
        <f t="shared" si="82"/>
        <v>High Profit</v>
      </c>
    </row>
    <row r="746" spans="1:46" x14ac:dyDescent="0.2">
      <c r="A746">
        <v>373</v>
      </c>
      <c r="B746">
        <v>55</v>
      </c>
      <c r="C746">
        <v>398683</v>
      </c>
      <c r="D746" s="1">
        <v>39202</v>
      </c>
      <c r="E746" t="s">
        <v>57</v>
      </c>
      <c r="F746" t="s">
        <v>40</v>
      </c>
      <c r="G746">
        <v>500</v>
      </c>
      <c r="H746">
        <v>1607.36</v>
      </c>
      <c r="I746">
        <v>0</v>
      </c>
      <c r="J746">
        <v>444626</v>
      </c>
      <c r="K746" t="s">
        <v>41</v>
      </c>
      <c r="L746" t="s">
        <v>42</v>
      </c>
      <c r="M746" t="s">
        <v>72</v>
      </c>
      <c r="N746" t="s">
        <v>155</v>
      </c>
      <c r="O746" t="s">
        <v>74</v>
      </c>
      <c r="P746">
        <v>0</v>
      </c>
      <c r="Q746">
        <v>0</v>
      </c>
      <c r="R746" s="1">
        <v>42023</v>
      </c>
      <c r="S746" t="s">
        <v>75</v>
      </c>
      <c r="T746" t="s">
        <v>76</v>
      </c>
      <c r="U746" t="s">
        <v>48</v>
      </c>
      <c r="V746" t="s">
        <v>120</v>
      </c>
      <c r="W746" t="s">
        <v>50</v>
      </c>
      <c r="X746" t="s">
        <v>87</v>
      </c>
      <c r="Y746" t="s">
        <v>923</v>
      </c>
      <c r="Z746">
        <v>21</v>
      </c>
      <c r="AA746">
        <v>4</v>
      </c>
      <c r="AB746" t="s">
        <v>62</v>
      </c>
      <c r="AC746">
        <v>0</v>
      </c>
      <c r="AD746">
        <v>2</v>
      </c>
      <c r="AE746" t="s">
        <v>79</v>
      </c>
      <c r="AF746">
        <v>60600</v>
      </c>
      <c r="AG746">
        <v>6060</v>
      </c>
      <c r="AH746">
        <v>12120</v>
      </c>
      <c r="AI746">
        <v>42420</v>
      </c>
      <c r="AJ746" t="s">
        <v>80</v>
      </c>
      <c r="AK746" t="s">
        <v>81</v>
      </c>
      <c r="AL746">
        <v>2007</v>
      </c>
      <c r="AM746" t="s">
        <v>56</v>
      </c>
      <c r="AN746" s="2">
        <f t="shared" si="77"/>
        <v>37.678131761545927</v>
      </c>
      <c r="AO746">
        <f t="shared" si="78"/>
        <v>-58992.639999999999</v>
      </c>
      <c r="AP746" s="2">
        <f t="shared" si="79"/>
        <v>2.652365472516955E-2</v>
      </c>
      <c r="AQ746" s="2">
        <f t="shared" si="83"/>
        <v>8</v>
      </c>
      <c r="AR746">
        <f t="shared" si="80"/>
        <v>373</v>
      </c>
      <c r="AS746" t="str">
        <f t="shared" si="81"/>
        <v>High Claim Ratio</v>
      </c>
      <c r="AT746" t="str">
        <f t="shared" si="82"/>
        <v>High Profit</v>
      </c>
    </row>
    <row r="747" spans="1:46" x14ac:dyDescent="0.2">
      <c r="A747">
        <v>258</v>
      </c>
      <c r="B747">
        <v>41</v>
      </c>
      <c r="C747">
        <v>605100</v>
      </c>
      <c r="D747" s="1">
        <v>36937</v>
      </c>
      <c r="E747" t="s">
        <v>83</v>
      </c>
      <c r="F747" t="s">
        <v>69</v>
      </c>
      <c r="G747">
        <v>500</v>
      </c>
      <c r="H747">
        <v>1042.25</v>
      </c>
      <c r="I747">
        <v>0</v>
      </c>
      <c r="J747">
        <v>601206</v>
      </c>
      <c r="K747" t="s">
        <v>41</v>
      </c>
      <c r="L747" t="s">
        <v>124</v>
      </c>
      <c r="M747" t="s">
        <v>125</v>
      </c>
      <c r="N747" t="s">
        <v>59</v>
      </c>
      <c r="O747" t="s">
        <v>85</v>
      </c>
      <c r="P747">
        <v>0</v>
      </c>
      <c r="Q747">
        <v>-44400</v>
      </c>
      <c r="R747" s="1">
        <v>42043</v>
      </c>
      <c r="S747" t="s">
        <v>75</v>
      </c>
      <c r="T747" t="s">
        <v>76</v>
      </c>
      <c r="U747" t="s">
        <v>48</v>
      </c>
      <c r="V747" t="s">
        <v>99</v>
      </c>
      <c r="W747" t="s">
        <v>121</v>
      </c>
      <c r="X747" t="s">
        <v>65</v>
      </c>
      <c r="Y747" t="s">
        <v>924</v>
      </c>
      <c r="Z747">
        <v>0</v>
      </c>
      <c r="AA747">
        <v>3</v>
      </c>
      <c r="AB747" t="s">
        <v>79</v>
      </c>
      <c r="AC747">
        <v>2</v>
      </c>
      <c r="AD747">
        <v>3</v>
      </c>
      <c r="AE747" t="s">
        <v>79</v>
      </c>
      <c r="AF747">
        <v>81240</v>
      </c>
      <c r="AG747">
        <v>6770</v>
      </c>
      <c r="AH747">
        <v>20310</v>
      </c>
      <c r="AI747">
        <v>54160</v>
      </c>
      <c r="AJ747" t="s">
        <v>67</v>
      </c>
      <c r="AK747" t="s">
        <v>193</v>
      </c>
      <c r="AL747">
        <v>2008</v>
      </c>
      <c r="AM747" t="s">
        <v>56</v>
      </c>
      <c r="AN747" s="2">
        <f t="shared" si="77"/>
        <v>77.87203450754852</v>
      </c>
      <c r="AO747">
        <f t="shared" si="78"/>
        <v>-80197.75</v>
      </c>
      <c r="AP747" s="2">
        <f t="shared" si="79"/>
        <v>1.2829113378712719E-2</v>
      </c>
      <c r="AQ747" s="2">
        <f t="shared" si="83"/>
        <v>7</v>
      </c>
      <c r="AR747">
        <f t="shared" si="80"/>
        <v>258</v>
      </c>
      <c r="AS747" t="str">
        <f t="shared" si="81"/>
        <v>High Claim Ratio</v>
      </c>
      <c r="AT747" t="str">
        <f t="shared" si="82"/>
        <v>High Profit</v>
      </c>
    </row>
    <row r="748" spans="1:46" x14ac:dyDescent="0.2">
      <c r="A748">
        <v>255</v>
      </c>
      <c r="B748">
        <v>39</v>
      </c>
      <c r="C748">
        <v>143109</v>
      </c>
      <c r="D748" s="1">
        <v>37081</v>
      </c>
      <c r="E748" t="s">
        <v>39</v>
      </c>
      <c r="F748" t="s">
        <v>40</v>
      </c>
      <c r="G748">
        <v>500</v>
      </c>
      <c r="H748">
        <v>1453.95</v>
      </c>
      <c r="I748">
        <v>0</v>
      </c>
      <c r="J748">
        <v>470389</v>
      </c>
      <c r="K748" t="s">
        <v>70</v>
      </c>
      <c r="L748" t="s">
        <v>71</v>
      </c>
      <c r="M748" t="s">
        <v>84</v>
      </c>
      <c r="N748" t="s">
        <v>98</v>
      </c>
      <c r="O748" t="s">
        <v>142</v>
      </c>
      <c r="P748">
        <v>38200</v>
      </c>
      <c r="Q748">
        <v>0</v>
      </c>
      <c r="R748" s="1">
        <v>42011</v>
      </c>
      <c r="S748" t="s">
        <v>75</v>
      </c>
      <c r="T748" t="s">
        <v>47</v>
      </c>
      <c r="U748" t="s">
        <v>107</v>
      </c>
      <c r="V748" t="s">
        <v>99</v>
      </c>
      <c r="W748" t="s">
        <v>113</v>
      </c>
      <c r="X748" t="s">
        <v>102</v>
      </c>
      <c r="Y748" t="s">
        <v>925</v>
      </c>
      <c r="Z748">
        <v>17</v>
      </c>
      <c r="AA748">
        <v>3</v>
      </c>
      <c r="AB748" t="s">
        <v>53</v>
      </c>
      <c r="AC748">
        <v>0</v>
      </c>
      <c r="AD748">
        <v>3</v>
      </c>
      <c r="AE748" t="s">
        <v>79</v>
      </c>
      <c r="AF748">
        <v>29300</v>
      </c>
      <c r="AG748">
        <v>2930</v>
      </c>
      <c r="AH748">
        <v>5860</v>
      </c>
      <c r="AI748">
        <v>20510</v>
      </c>
      <c r="AJ748" t="s">
        <v>109</v>
      </c>
      <c r="AK748" t="s">
        <v>134</v>
      </c>
      <c r="AL748">
        <v>2010</v>
      </c>
      <c r="AM748" t="s">
        <v>82</v>
      </c>
      <c r="AN748" s="2">
        <f t="shared" si="77"/>
        <v>20.138149077287878</v>
      </c>
      <c r="AO748">
        <f t="shared" si="78"/>
        <v>-27846.05</v>
      </c>
      <c r="AP748" s="2">
        <f t="shared" si="79"/>
        <v>4.96211733387939E-2</v>
      </c>
      <c r="AQ748" s="2">
        <f t="shared" si="83"/>
        <v>5</v>
      </c>
      <c r="AR748">
        <f t="shared" si="80"/>
        <v>255</v>
      </c>
      <c r="AS748" t="str">
        <f t="shared" si="81"/>
        <v>High Claim Ratio</v>
      </c>
      <c r="AT748" t="str">
        <f t="shared" si="82"/>
        <v>High Profit</v>
      </c>
    </row>
    <row r="749" spans="1:46" x14ac:dyDescent="0.2">
      <c r="A749">
        <v>37</v>
      </c>
      <c r="B749">
        <v>31</v>
      </c>
      <c r="C749">
        <v>230223</v>
      </c>
      <c r="D749" s="1">
        <v>39697</v>
      </c>
      <c r="E749" t="s">
        <v>83</v>
      </c>
      <c r="F749" t="s">
        <v>91</v>
      </c>
      <c r="G749">
        <v>500</v>
      </c>
      <c r="H749">
        <v>1969.63</v>
      </c>
      <c r="I749">
        <v>0</v>
      </c>
      <c r="J749">
        <v>615218</v>
      </c>
      <c r="K749" t="s">
        <v>70</v>
      </c>
      <c r="L749" t="s">
        <v>42</v>
      </c>
      <c r="M749" t="s">
        <v>72</v>
      </c>
      <c r="N749" t="s">
        <v>132</v>
      </c>
      <c r="O749" t="s">
        <v>74</v>
      </c>
      <c r="P749">
        <v>0</v>
      </c>
      <c r="Q749">
        <v>0</v>
      </c>
      <c r="R749" s="1">
        <v>42048</v>
      </c>
      <c r="S749" t="s">
        <v>75</v>
      </c>
      <c r="T749" t="s">
        <v>47</v>
      </c>
      <c r="U749" t="s">
        <v>107</v>
      </c>
      <c r="V749" t="s">
        <v>99</v>
      </c>
      <c r="W749" t="s">
        <v>113</v>
      </c>
      <c r="X749" t="s">
        <v>127</v>
      </c>
      <c r="Y749" t="s">
        <v>926</v>
      </c>
      <c r="Z749">
        <v>21</v>
      </c>
      <c r="AA749">
        <v>3</v>
      </c>
      <c r="AB749" t="s">
        <v>79</v>
      </c>
      <c r="AC749">
        <v>1</v>
      </c>
      <c r="AD749">
        <v>1</v>
      </c>
      <c r="AE749" t="s">
        <v>53</v>
      </c>
      <c r="AF749">
        <v>76450</v>
      </c>
      <c r="AG749">
        <v>6950</v>
      </c>
      <c r="AH749">
        <v>13900</v>
      </c>
      <c r="AI749">
        <v>55600</v>
      </c>
      <c r="AJ749" t="s">
        <v>80</v>
      </c>
      <c r="AK749" t="s">
        <v>81</v>
      </c>
      <c r="AL749">
        <v>1995</v>
      </c>
      <c r="AM749" t="s">
        <v>82</v>
      </c>
      <c r="AN749" s="2">
        <f t="shared" si="77"/>
        <v>38.794700172026204</v>
      </c>
      <c r="AO749">
        <f t="shared" si="78"/>
        <v>-74480.37</v>
      </c>
      <c r="AP749" s="2">
        <f t="shared" si="79"/>
        <v>2.5763299368222786E-2</v>
      </c>
      <c r="AQ749" s="2">
        <f t="shared" si="83"/>
        <v>20</v>
      </c>
      <c r="AR749">
        <f t="shared" si="80"/>
        <v>37</v>
      </c>
      <c r="AS749" t="str">
        <f t="shared" si="81"/>
        <v>High Claim Ratio</v>
      </c>
      <c r="AT749" t="str">
        <f t="shared" si="82"/>
        <v>High Profit</v>
      </c>
    </row>
    <row r="750" spans="1:46" x14ac:dyDescent="0.2">
      <c r="A750">
        <v>322</v>
      </c>
      <c r="B750">
        <v>44</v>
      </c>
      <c r="C750">
        <v>769602</v>
      </c>
      <c r="D750" s="1">
        <v>38340</v>
      </c>
      <c r="E750" t="s">
        <v>83</v>
      </c>
      <c r="F750" t="s">
        <v>69</v>
      </c>
      <c r="G750">
        <v>1000</v>
      </c>
      <c r="H750">
        <v>1156.19</v>
      </c>
      <c r="I750">
        <v>0</v>
      </c>
      <c r="J750">
        <v>606249</v>
      </c>
      <c r="K750" t="s">
        <v>70</v>
      </c>
      <c r="L750" t="s">
        <v>141</v>
      </c>
      <c r="M750" t="s">
        <v>58</v>
      </c>
      <c r="N750" t="s">
        <v>242</v>
      </c>
      <c r="O750" t="s">
        <v>45</v>
      </c>
      <c r="P750">
        <v>49900</v>
      </c>
      <c r="Q750">
        <v>-62700</v>
      </c>
      <c r="R750" s="1">
        <v>42050</v>
      </c>
      <c r="S750" t="s">
        <v>75</v>
      </c>
      <c r="T750" t="s">
        <v>47</v>
      </c>
      <c r="U750" t="s">
        <v>48</v>
      </c>
      <c r="V750" t="s">
        <v>99</v>
      </c>
      <c r="W750" t="s">
        <v>77</v>
      </c>
      <c r="X750" t="s">
        <v>156</v>
      </c>
      <c r="Y750" t="s">
        <v>927</v>
      </c>
      <c r="Z750">
        <v>20</v>
      </c>
      <c r="AA750">
        <v>3</v>
      </c>
      <c r="AB750" t="s">
        <v>53</v>
      </c>
      <c r="AC750">
        <v>0</v>
      </c>
      <c r="AD750">
        <v>3</v>
      </c>
      <c r="AE750" t="s">
        <v>62</v>
      </c>
      <c r="AF750">
        <v>49400</v>
      </c>
      <c r="AG750">
        <v>9880</v>
      </c>
      <c r="AH750">
        <v>4940</v>
      </c>
      <c r="AI750">
        <v>34580</v>
      </c>
      <c r="AJ750" t="s">
        <v>197</v>
      </c>
      <c r="AK750" t="s">
        <v>198</v>
      </c>
      <c r="AL750">
        <v>2010</v>
      </c>
      <c r="AM750" t="s">
        <v>82</v>
      </c>
      <c r="AN750" s="2">
        <f t="shared" si="77"/>
        <v>42.68961881799877</v>
      </c>
      <c r="AO750">
        <f t="shared" si="78"/>
        <v>-48243.81</v>
      </c>
      <c r="AP750" s="2">
        <f t="shared" si="79"/>
        <v>2.3404182101576892E-2</v>
      </c>
      <c r="AQ750" s="2">
        <f t="shared" si="83"/>
        <v>5</v>
      </c>
      <c r="AR750">
        <f t="shared" si="80"/>
        <v>322</v>
      </c>
      <c r="AS750" t="str">
        <f t="shared" si="81"/>
        <v>High Claim Ratio</v>
      </c>
      <c r="AT750" t="str">
        <f t="shared" si="82"/>
        <v>High Profit</v>
      </c>
    </row>
    <row r="751" spans="1:46" x14ac:dyDescent="0.2">
      <c r="A751">
        <v>204</v>
      </c>
      <c r="B751">
        <v>38</v>
      </c>
      <c r="C751">
        <v>420815</v>
      </c>
      <c r="D751" s="1">
        <v>36845</v>
      </c>
      <c r="E751" t="s">
        <v>83</v>
      </c>
      <c r="F751" t="s">
        <v>69</v>
      </c>
      <c r="G751">
        <v>2000</v>
      </c>
      <c r="H751">
        <v>1124.47</v>
      </c>
      <c r="I751">
        <v>0</v>
      </c>
      <c r="J751">
        <v>616161</v>
      </c>
      <c r="K751" t="s">
        <v>70</v>
      </c>
      <c r="L751" t="s">
        <v>42</v>
      </c>
      <c r="M751" t="s">
        <v>97</v>
      </c>
      <c r="N751" t="s">
        <v>170</v>
      </c>
      <c r="O751" t="s">
        <v>119</v>
      </c>
      <c r="P751">
        <v>0</v>
      </c>
      <c r="Q751">
        <v>-45100</v>
      </c>
      <c r="R751" s="1">
        <v>42049</v>
      </c>
      <c r="S751" t="s">
        <v>46</v>
      </c>
      <c r="T751" t="s">
        <v>47</v>
      </c>
      <c r="U751" t="s">
        <v>107</v>
      </c>
      <c r="V751" t="s">
        <v>136</v>
      </c>
      <c r="W751" t="s">
        <v>50</v>
      </c>
      <c r="X751" t="s">
        <v>156</v>
      </c>
      <c r="Y751" t="s">
        <v>928</v>
      </c>
      <c r="Z751">
        <v>5</v>
      </c>
      <c r="AA751">
        <v>1</v>
      </c>
      <c r="AB751" t="s">
        <v>79</v>
      </c>
      <c r="AC751">
        <v>0</v>
      </c>
      <c r="AD751">
        <v>1</v>
      </c>
      <c r="AE751" t="s">
        <v>62</v>
      </c>
      <c r="AF751">
        <v>90530</v>
      </c>
      <c r="AG751">
        <v>16460</v>
      </c>
      <c r="AH751">
        <v>16460</v>
      </c>
      <c r="AI751">
        <v>57610</v>
      </c>
      <c r="AJ751" t="s">
        <v>129</v>
      </c>
      <c r="AK751" t="s">
        <v>130</v>
      </c>
      <c r="AL751">
        <v>2003</v>
      </c>
      <c r="AM751" t="s">
        <v>82</v>
      </c>
      <c r="AN751" s="2">
        <f t="shared" si="77"/>
        <v>80.437506108559091</v>
      </c>
      <c r="AO751">
        <f t="shared" si="78"/>
        <v>-89405.53</v>
      </c>
      <c r="AP751" s="2">
        <f t="shared" si="79"/>
        <v>1.2420828224586053E-2</v>
      </c>
      <c r="AQ751" s="2">
        <f t="shared" si="83"/>
        <v>12</v>
      </c>
      <c r="AR751">
        <f t="shared" si="80"/>
        <v>204</v>
      </c>
      <c r="AS751" t="str">
        <f t="shared" si="81"/>
        <v>High Claim Ratio</v>
      </c>
      <c r="AT751" t="str">
        <f t="shared" si="82"/>
        <v>High Profit</v>
      </c>
    </row>
    <row r="752" spans="1:46" x14ac:dyDescent="0.2">
      <c r="A752">
        <v>76</v>
      </c>
      <c r="B752">
        <v>31</v>
      </c>
      <c r="C752">
        <v>973546</v>
      </c>
      <c r="D752" s="1">
        <v>39155</v>
      </c>
      <c r="E752" t="s">
        <v>39</v>
      </c>
      <c r="F752" t="s">
        <v>91</v>
      </c>
      <c r="G752">
        <v>500</v>
      </c>
      <c r="H752">
        <v>1493.5</v>
      </c>
      <c r="I752">
        <v>5000000</v>
      </c>
      <c r="J752">
        <v>442335</v>
      </c>
      <c r="K752" t="s">
        <v>70</v>
      </c>
      <c r="L752" t="s">
        <v>92</v>
      </c>
      <c r="M752" t="s">
        <v>117</v>
      </c>
      <c r="N752" t="s">
        <v>146</v>
      </c>
      <c r="O752" t="s">
        <v>142</v>
      </c>
      <c r="P752">
        <v>39900</v>
      </c>
      <c r="Q752">
        <v>-44000</v>
      </c>
      <c r="R752" s="1">
        <v>42035</v>
      </c>
      <c r="S752" t="s">
        <v>61</v>
      </c>
      <c r="T752" t="s">
        <v>62</v>
      </c>
      <c r="U752" t="s">
        <v>63</v>
      </c>
      <c r="V752" t="s">
        <v>49</v>
      </c>
      <c r="W752" t="s">
        <v>113</v>
      </c>
      <c r="X752" t="s">
        <v>156</v>
      </c>
      <c r="Y752" t="s">
        <v>929</v>
      </c>
      <c r="Z752">
        <v>7</v>
      </c>
      <c r="AA752">
        <v>1</v>
      </c>
      <c r="AB752" t="s">
        <v>79</v>
      </c>
      <c r="AC752">
        <v>2</v>
      </c>
      <c r="AD752">
        <v>1</v>
      </c>
      <c r="AE752" t="s">
        <v>79</v>
      </c>
      <c r="AF752">
        <v>8030</v>
      </c>
      <c r="AG752">
        <v>1460</v>
      </c>
      <c r="AH752">
        <v>730</v>
      </c>
      <c r="AI752">
        <v>5840</v>
      </c>
      <c r="AJ752" t="s">
        <v>67</v>
      </c>
      <c r="AK752" t="s">
        <v>68</v>
      </c>
      <c r="AL752">
        <v>1995</v>
      </c>
      <c r="AM752" t="s">
        <v>82</v>
      </c>
      <c r="AN752" s="2">
        <f t="shared" si="77"/>
        <v>5.3730344596855133</v>
      </c>
      <c r="AO752">
        <f t="shared" si="78"/>
        <v>-6536.5</v>
      </c>
      <c r="AP752" s="2">
        <f t="shared" si="79"/>
        <v>0.18596687834640768</v>
      </c>
      <c r="AQ752" s="2">
        <f t="shared" si="83"/>
        <v>20</v>
      </c>
      <c r="AR752">
        <f t="shared" si="80"/>
        <v>76</v>
      </c>
      <c r="AS752" t="str">
        <f t="shared" si="81"/>
        <v>Medium Claim Ratio</v>
      </c>
      <c r="AT752" t="str">
        <f t="shared" si="82"/>
        <v>High Profit</v>
      </c>
    </row>
    <row r="753" spans="1:46" x14ac:dyDescent="0.2">
      <c r="A753">
        <v>193</v>
      </c>
      <c r="B753">
        <v>40</v>
      </c>
      <c r="C753">
        <v>608039</v>
      </c>
      <c r="D753" s="1">
        <v>38349</v>
      </c>
      <c r="E753" t="s">
        <v>83</v>
      </c>
      <c r="F753" t="s">
        <v>69</v>
      </c>
      <c r="G753">
        <v>500</v>
      </c>
      <c r="H753">
        <v>1155.3800000000001</v>
      </c>
      <c r="I753">
        <v>0</v>
      </c>
      <c r="J753">
        <v>604952</v>
      </c>
      <c r="K753" t="s">
        <v>70</v>
      </c>
      <c r="L753" t="s">
        <v>71</v>
      </c>
      <c r="M753" t="s">
        <v>159</v>
      </c>
      <c r="N753" t="s">
        <v>146</v>
      </c>
      <c r="O753" t="s">
        <v>142</v>
      </c>
      <c r="P753">
        <v>34200</v>
      </c>
      <c r="Q753">
        <v>-32300</v>
      </c>
      <c r="R753" s="1">
        <v>42032</v>
      </c>
      <c r="S753" t="s">
        <v>46</v>
      </c>
      <c r="T753" t="s">
        <v>47</v>
      </c>
      <c r="U753" t="s">
        <v>63</v>
      </c>
      <c r="V753" t="s">
        <v>99</v>
      </c>
      <c r="W753" t="s">
        <v>77</v>
      </c>
      <c r="X753" t="s">
        <v>51</v>
      </c>
      <c r="Y753" t="s">
        <v>930</v>
      </c>
      <c r="Z753">
        <v>6</v>
      </c>
      <c r="AA753">
        <v>1</v>
      </c>
      <c r="AB753" t="s">
        <v>79</v>
      </c>
      <c r="AC753">
        <v>0</v>
      </c>
      <c r="AD753">
        <v>0</v>
      </c>
      <c r="AE753" t="s">
        <v>53</v>
      </c>
      <c r="AF753">
        <v>63900</v>
      </c>
      <c r="AG753">
        <v>6390</v>
      </c>
      <c r="AH753">
        <v>6390</v>
      </c>
      <c r="AI753">
        <v>51120</v>
      </c>
      <c r="AJ753" t="s">
        <v>95</v>
      </c>
      <c r="AK753" t="s">
        <v>158</v>
      </c>
      <c r="AL753">
        <v>2001</v>
      </c>
      <c r="AM753" t="s">
        <v>82</v>
      </c>
      <c r="AN753" s="2">
        <f t="shared" si="77"/>
        <v>55.25865200020754</v>
      </c>
      <c r="AO753">
        <f t="shared" si="78"/>
        <v>-62744.62</v>
      </c>
      <c r="AP753" s="2">
        <f t="shared" si="79"/>
        <v>1.8080781208431793E-2</v>
      </c>
      <c r="AQ753" s="2">
        <f t="shared" si="83"/>
        <v>14</v>
      </c>
      <c r="AR753">
        <f t="shared" si="80"/>
        <v>193</v>
      </c>
      <c r="AS753" t="str">
        <f t="shared" si="81"/>
        <v>High Claim Ratio</v>
      </c>
      <c r="AT753" t="str">
        <f t="shared" si="82"/>
        <v>High Profit</v>
      </c>
    </row>
    <row r="754" spans="1:46" x14ac:dyDescent="0.2">
      <c r="A754">
        <v>405</v>
      </c>
      <c r="B754">
        <v>55</v>
      </c>
      <c r="C754">
        <v>250162</v>
      </c>
      <c r="D754" s="1">
        <v>36346</v>
      </c>
      <c r="E754" t="s">
        <v>83</v>
      </c>
      <c r="F754" t="s">
        <v>40</v>
      </c>
      <c r="G754">
        <v>500</v>
      </c>
      <c r="H754">
        <v>878.19</v>
      </c>
      <c r="I754">
        <v>0</v>
      </c>
      <c r="J754">
        <v>441533</v>
      </c>
      <c r="K754" t="s">
        <v>41</v>
      </c>
      <c r="L754" t="s">
        <v>71</v>
      </c>
      <c r="M754" t="s">
        <v>58</v>
      </c>
      <c r="N754" t="s">
        <v>112</v>
      </c>
      <c r="O754" t="s">
        <v>85</v>
      </c>
      <c r="P754">
        <v>57100</v>
      </c>
      <c r="Q754">
        <v>0</v>
      </c>
      <c r="R754" s="1">
        <v>42064</v>
      </c>
      <c r="S754" t="s">
        <v>75</v>
      </c>
      <c r="T754" t="s">
        <v>76</v>
      </c>
      <c r="U754" t="s">
        <v>63</v>
      </c>
      <c r="V754" t="s">
        <v>99</v>
      </c>
      <c r="W754" t="s">
        <v>121</v>
      </c>
      <c r="X754" t="s">
        <v>127</v>
      </c>
      <c r="Y754" t="s">
        <v>931</v>
      </c>
      <c r="Z754">
        <v>2</v>
      </c>
      <c r="AA754">
        <v>4</v>
      </c>
      <c r="AB754" t="s">
        <v>53</v>
      </c>
      <c r="AC754">
        <v>0</v>
      </c>
      <c r="AD754">
        <v>2</v>
      </c>
      <c r="AE754" t="s">
        <v>79</v>
      </c>
      <c r="AF754">
        <v>38640</v>
      </c>
      <c r="AG754">
        <v>4830</v>
      </c>
      <c r="AH754">
        <v>4830</v>
      </c>
      <c r="AI754">
        <v>28980</v>
      </c>
      <c r="AJ754" t="s">
        <v>89</v>
      </c>
      <c r="AK754" t="s">
        <v>90</v>
      </c>
      <c r="AL754">
        <v>1997</v>
      </c>
      <c r="AM754" t="s">
        <v>82</v>
      </c>
      <c r="AN754" s="2">
        <f t="shared" si="77"/>
        <v>43.949544467066275</v>
      </c>
      <c r="AO754">
        <f t="shared" si="78"/>
        <v>-37761.81</v>
      </c>
      <c r="AP754" s="2">
        <f t="shared" si="79"/>
        <v>2.2726896301855544E-2</v>
      </c>
      <c r="AQ754" s="2">
        <f t="shared" si="83"/>
        <v>18</v>
      </c>
      <c r="AR754">
        <f t="shared" si="80"/>
        <v>405</v>
      </c>
      <c r="AS754" t="str">
        <f t="shared" si="81"/>
        <v>High Claim Ratio</v>
      </c>
      <c r="AT754" t="str">
        <f t="shared" si="82"/>
        <v>High Profit</v>
      </c>
    </row>
    <row r="755" spans="1:46" x14ac:dyDescent="0.2">
      <c r="A755">
        <v>435</v>
      </c>
      <c r="B755">
        <v>58</v>
      </c>
      <c r="C755">
        <v>786432</v>
      </c>
      <c r="D755" s="1">
        <v>35749</v>
      </c>
      <c r="E755" t="s">
        <v>57</v>
      </c>
      <c r="F755" t="s">
        <v>69</v>
      </c>
      <c r="G755">
        <v>2000</v>
      </c>
      <c r="H755">
        <v>1145.8499999999999</v>
      </c>
      <c r="I755">
        <v>0</v>
      </c>
      <c r="J755">
        <v>471784</v>
      </c>
      <c r="K755" t="s">
        <v>41</v>
      </c>
      <c r="L755" t="s">
        <v>161</v>
      </c>
      <c r="M755" t="s">
        <v>72</v>
      </c>
      <c r="N755" t="s">
        <v>146</v>
      </c>
      <c r="O755" t="s">
        <v>142</v>
      </c>
      <c r="P755">
        <v>0</v>
      </c>
      <c r="Q755">
        <v>-40000</v>
      </c>
      <c r="R755" s="1">
        <v>42014</v>
      </c>
      <c r="S755" t="s">
        <v>75</v>
      </c>
      <c r="T755" t="s">
        <v>76</v>
      </c>
      <c r="U755" t="s">
        <v>107</v>
      </c>
      <c r="V755" t="s">
        <v>120</v>
      </c>
      <c r="W755" t="s">
        <v>77</v>
      </c>
      <c r="X755" t="s">
        <v>51</v>
      </c>
      <c r="Y755" t="s">
        <v>932</v>
      </c>
      <c r="Z755">
        <v>19</v>
      </c>
      <c r="AA755">
        <v>3</v>
      </c>
      <c r="AB755" t="s">
        <v>62</v>
      </c>
      <c r="AC755">
        <v>1</v>
      </c>
      <c r="AD755">
        <v>1</v>
      </c>
      <c r="AE755" t="s">
        <v>53</v>
      </c>
      <c r="AF755">
        <v>41490</v>
      </c>
      <c r="AG755">
        <v>9220</v>
      </c>
      <c r="AH755">
        <v>4610</v>
      </c>
      <c r="AI755">
        <v>27660</v>
      </c>
      <c r="AJ755" t="s">
        <v>67</v>
      </c>
      <c r="AK755" t="s">
        <v>68</v>
      </c>
      <c r="AL755">
        <v>2004</v>
      </c>
      <c r="AM755" t="s">
        <v>82</v>
      </c>
      <c r="AN755" s="2">
        <f t="shared" si="77"/>
        <v>36.177355364694598</v>
      </c>
      <c r="AO755">
        <f t="shared" si="78"/>
        <v>-40344.15</v>
      </c>
      <c r="AP755" s="2">
        <f t="shared" si="79"/>
        <v>2.7616832566098669E-2</v>
      </c>
      <c r="AQ755" s="2">
        <f t="shared" si="83"/>
        <v>11</v>
      </c>
      <c r="AR755">
        <f t="shared" si="80"/>
        <v>435</v>
      </c>
      <c r="AS755" t="str">
        <f t="shared" si="81"/>
        <v>High Claim Ratio</v>
      </c>
      <c r="AT755" t="str">
        <f t="shared" si="82"/>
        <v>High Profit</v>
      </c>
    </row>
    <row r="756" spans="1:46" x14ac:dyDescent="0.2">
      <c r="A756">
        <v>54</v>
      </c>
      <c r="B756">
        <v>35</v>
      </c>
      <c r="C756">
        <v>445195</v>
      </c>
      <c r="D756" s="1">
        <v>40448</v>
      </c>
      <c r="E756" t="s">
        <v>57</v>
      </c>
      <c r="F756" t="s">
        <v>69</v>
      </c>
      <c r="G756">
        <v>500</v>
      </c>
      <c r="H756">
        <v>1261.28</v>
      </c>
      <c r="I756">
        <v>0</v>
      </c>
      <c r="J756">
        <v>453265</v>
      </c>
      <c r="K756" t="s">
        <v>70</v>
      </c>
      <c r="L756" t="s">
        <v>42</v>
      </c>
      <c r="M756" t="s">
        <v>135</v>
      </c>
      <c r="N756" t="s">
        <v>149</v>
      </c>
      <c r="O756" t="s">
        <v>85</v>
      </c>
      <c r="P756">
        <v>68500</v>
      </c>
      <c r="Q756">
        <v>-42100</v>
      </c>
      <c r="R756" s="1">
        <v>42060</v>
      </c>
      <c r="S756" t="s">
        <v>75</v>
      </c>
      <c r="T756" t="s">
        <v>47</v>
      </c>
      <c r="U756" t="s">
        <v>63</v>
      </c>
      <c r="V756" t="s">
        <v>99</v>
      </c>
      <c r="W756" t="s">
        <v>64</v>
      </c>
      <c r="X756" t="s">
        <v>102</v>
      </c>
      <c r="Y756" t="s">
        <v>933</v>
      </c>
      <c r="Z756">
        <v>21</v>
      </c>
      <c r="AA756">
        <v>3</v>
      </c>
      <c r="AB756" t="s">
        <v>53</v>
      </c>
      <c r="AC756">
        <v>2</v>
      </c>
      <c r="AD756">
        <v>0</v>
      </c>
      <c r="AE756" t="s">
        <v>62</v>
      </c>
      <c r="AF756">
        <v>79090</v>
      </c>
      <c r="AG756">
        <v>14380</v>
      </c>
      <c r="AH756">
        <v>7190</v>
      </c>
      <c r="AI756">
        <v>57520</v>
      </c>
      <c r="AJ756" t="s">
        <v>104</v>
      </c>
      <c r="AK756" t="s">
        <v>151</v>
      </c>
      <c r="AL756">
        <v>2012</v>
      </c>
      <c r="AM756" t="s">
        <v>82</v>
      </c>
      <c r="AN756" s="2">
        <f t="shared" si="77"/>
        <v>62.656462908388001</v>
      </c>
      <c r="AO756">
        <f t="shared" si="78"/>
        <v>-77828.72</v>
      </c>
      <c r="AP756" s="2">
        <f t="shared" si="79"/>
        <v>1.5947200060689583E-2</v>
      </c>
      <c r="AQ756" s="2">
        <f t="shared" si="83"/>
        <v>3</v>
      </c>
      <c r="AR756">
        <f t="shared" si="80"/>
        <v>54</v>
      </c>
      <c r="AS756" t="str">
        <f t="shared" si="81"/>
        <v>High Claim Ratio</v>
      </c>
      <c r="AT756" t="str">
        <f t="shared" si="82"/>
        <v>High Profit</v>
      </c>
    </row>
    <row r="757" spans="1:46" x14ac:dyDescent="0.2">
      <c r="A757">
        <v>144</v>
      </c>
      <c r="B757">
        <v>35</v>
      </c>
      <c r="C757">
        <v>938634</v>
      </c>
      <c r="D757" s="1">
        <v>34211</v>
      </c>
      <c r="E757" t="s">
        <v>83</v>
      </c>
      <c r="F757" t="s">
        <v>69</v>
      </c>
      <c r="G757">
        <v>500</v>
      </c>
      <c r="H757">
        <v>1427.46</v>
      </c>
      <c r="I757">
        <v>0</v>
      </c>
      <c r="J757">
        <v>444922</v>
      </c>
      <c r="K757" t="s">
        <v>41</v>
      </c>
      <c r="L757" t="s">
        <v>131</v>
      </c>
      <c r="M757" t="s">
        <v>58</v>
      </c>
      <c r="N757" t="s">
        <v>242</v>
      </c>
      <c r="O757" t="s">
        <v>119</v>
      </c>
      <c r="P757">
        <v>0</v>
      </c>
      <c r="Q757">
        <v>0</v>
      </c>
      <c r="R757" s="1">
        <v>42034</v>
      </c>
      <c r="S757" t="s">
        <v>75</v>
      </c>
      <c r="T757" t="s">
        <v>47</v>
      </c>
      <c r="U757" t="s">
        <v>48</v>
      </c>
      <c r="V757" t="s">
        <v>49</v>
      </c>
      <c r="W757" t="s">
        <v>113</v>
      </c>
      <c r="X757" t="s">
        <v>102</v>
      </c>
      <c r="Y757" t="s">
        <v>934</v>
      </c>
      <c r="Z757">
        <v>3</v>
      </c>
      <c r="AA757">
        <v>3</v>
      </c>
      <c r="AB757" t="s">
        <v>62</v>
      </c>
      <c r="AC757">
        <v>0</v>
      </c>
      <c r="AD757">
        <v>0</v>
      </c>
      <c r="AE757" t="s">
        <v>62</v>
      </c>
      <c r="AF757">
        <v>87900</v>
      </c>
      <c r="AG757">
        <v>17580</v>
      </c>
      <c r="AH757">
        <v>8790</v>
      </c>
      <c r="AI757">
        <v>61530</v>
      </c>
      <c r="AJ757" t="s">
        <v>80</v>
      </c>
      <c r="AK757" t="s">
        <v>144</v>
      </c>
      <c r="AL757">
        <v>1995</v>
      </c>
      <c r="AM757" t="s">
        <v>82</v>
      </c>
      <c r="AN757" s="2">
        <f t="shared" si="77"/>
        <v>61.534799714377719</v>
      </c>
      <c r="AO757">
        <f t="shared" si="78"/>
        <v>-86472.54</v>
      </c>
      <c r="AP757" s="2">
        <f t="shared" si="79"/>
        <v>1.6239405695043289E-2</v>
      </c>
      <c r="AQ757" s="2">
        <f t="shared" si="83"/>
        <v>20</v>
      </c>
      <c r="AR757">
        <f t="shared" si="80"/>
        <v>144</v>
      </c>
      <c r="AS757" t="str">
        <f t="shared" si="81"/>
        <v>High Claim Ratio</v>
      </c>
      <c r="AT757" t="str">
        <f t="shared" si="82"/>
        <v>High Profit</v>
      </c>
    </row>
    <row r="758" spans="1:46" x14ac:dyDescent="0.2">
      <c r="A758">
        <v>92</v>
      </c>
      <c r="B758">
        <v>32</v>
      </c>
      <c r="C758">
        <v>482495</v>
      </c>
      <c r="D758" s="1">
        <v>35824</v>
      </c>
      <c r="E758" t="s">
        <v>83</v>
      </c>
      <c r="F758" t="s">
        <v>91</v>
      </c>
      <c r="G758">
        <v>500</v>
      </c>
      <c r="H758">
        <v>1592.41</v>
      </c>
      <c r="I758">
        <v>0</v>
      </c>
      <c r="J758">
        <v>474324</v>
      </c>
      <c r="K758" t="s">
        <v>41</v>
      </c>
      <c r="L758" t="s">
        <v>124</v>
      </c>
      <c r="M758" t="s">
        <v>101</v>
      </c>
      <c r="N758" t="s">
        <v>155</v>
      </c>
      <c r="O758" t="s">
        <v>45</v>
      </c>
      <c r="P758">
        <v>58900</v>
      </c>
      <c r="Q758">
        <v>-29100</v>
      </c>
      <c r="R758" s="1">
        <v>42041</v>
      </c>
      <c r="S758" t="s">
        <v>46</v>
      </c>
      <c r="T758" t="s">
        <v>76</v>
      </c>
      <c r="U758" t="s">
        <v>107</v>
      </c>
      <c r="V758" t="s">
        <v>136</v>
      </c>
      <c r="W758" t="s">
        <v>113</v>
      </c>
      <c r="X758" t="s">
        <v>51</v>
      </c>
      <c r="Y758" t="s">
        <v>935</v>
      </c>
      <c r="Z758">
        <v>22</v>
      </c>
      <c r="AA758">
        <v>1</v>
      </c>
      <c r="AB758" t="s">
        <v>62</v>
      </c>
      <c r="AC758">
        <v>2</v>
      </c>
      <c r="AD758">
        <v>3</v>
      </c>
      <c r="AE758" t="s">
        <v>53</v>
      </c>
      <c r="AF758">
        <v>53400</v>
      </c>
      <c r="AG758">
        <v>5340</v>
      </c>
      <c r="AH758">
        <v>5340</v>
      </c>
      <c r="AI758">
        <v>42720</v>
      </c>
      <c r="AJ758" t="s">
        <v>197</v>
      </c>
      <c r="AK758" t="s">
        <v>198</v>
      </c>
      <c r="AL758">
        <v>1996</v>
      </c>
      <c r="AM758" t="s">
        <v>82</v>
      </c>
      <c r="AN758" s="2">
        <f t="shared" si="77"/>
        <v>33.513031799725113</v>
      </c>
      <c r="AO758">
        <f t="shared" si="78"/>
        <v>-51807.59</v>
      </c>
      <c r="AP758" s="2">
        <f t="shared" si="79"/>
        <v>2.9819853560794744E-2</v>
      </c>
      <c r="AQ758" s="2">
        <f t="shared" si="83"/>
        <v>19</v>
      </c>
      <c r="AR758">
        <f t="shared" si="80"/>
        <v>92</v>
      </c>
      <c r="AS758" t="str">
        <f t="shared" si="81"/>
        <v>High Claim Ratio</v>
      </c>
      <c r="AT758" t="str">
        <f t="shared" si="82"/>
        <v>High Profit</v>
      </c>
    </row>
    <row r="759" spans="1:46" x14ac:dyDescent="0.2">
      <c r="A759">
        <v>173</v>
      </c>
      <c r="B759">
        <v>36</v>
      </c>
      <c r="C759">
        <v>796005</v>
      </c>
      <c r="D759" s="1">
        <v>39312</v>
      </c>
      <c r="E759" t="s">
        <v>39</v>
      </c>
      <c r="F759" t="s">
        <v>40</v>
      </c>
      <c r="G759">
        <v>1000</v>
      </c>
      <c r="H759">
        <v>1274.6300000000001</v>
      </c>
      <c r="I759">
        <v>0</v>
      </c>
      <c r="J759">
        <v>441298</v>
      </c>
      <c r="K759" t="s">
        <v>41</v>
      </c>
      <c r="L759" t="s">
        <v>141</v>
      </c>
      <c r="M759" t="s">
        <v>58</v>
      </c>
      <c r="N759" t="s">
        <v>179</v>
      </c>
      <c r="O759" t="s">
        <v>85</v>
      </c>
      <c r="P759">
        <v>51000</v>
      </c>
      <c r="Q759">
        <v>0</v>
      </c>
      <c r="R759" s="1">
        <v>42043</v>
      </c>
      <c r="S759" t="s">
        <v>46</v>
      </c>
      <c r="T759" t="s">
        <v>76</v>
      </c>
      <c r="U759" t="s">
        <v>107</v>
      </c>
      <c r="V759" t="s">
        <v>99</v>
      </c>
      <c r="W759" t="s">
        <v>50</v>
      </c>
      <c r="X759" t="s">
        <v>102</v>
      </c>
      <c r="Y759" t="s">
        <v>936</v>
      </c>
      <c r="Z759">
        <v>22</v>
      </c>
      <c r="AA759">
        <v>1</v>
      </c>
      <c r="AB759" t="s">
        <v>53</v>
      </c>
      <c r="AC759">
        <v>2</v>
      </c>
      <c r="AD759">
        <v>3</v>
      </c>
      <c r="AE759" t="s">
        <v>79</v>
      </c>
      <c r="AF759">
        <v>52030</v>
      </c>
      <c r="AG759">
        <v>9460</v>
      </c>
      <c r="AH759">
        <v>9460</v>
      </c>
      <c r="AI759">
        <v>33110</v>
      </c>
      <c r="AJ759" t="s">
        <v>95</v>
      </c>
      <c r="AK759" t="s">
        <v>148</v>
      </c>
      <c r="AL759">
        <v>1995</v>
      </c>
      <c r="AM759" t="s">
        <v>82</v>
      </c>
      <c r="AN759" s="2">
        <f t="shared" si="77"/>
        <v>40.78768922022843</v>
      </c>
      <c r="AO759">
        <f t="shared" si="78"/>
        <v>-50755.37</v>
      </c>
      <c r="AP759" s="2">
        <f t="shared" si="79"/>
        <v>2.4497511099152429E-2</v>
      </c>
      <c r="AQ759" s="2">
        <f t="shared" si="83"/>
        <v>20</v>
      </c>
      <c r="AR759">
        <f t="shared" si="80"/>
        <v>173</v>
      </c>
      <c r="AS759" t="str">
        <f t="shared" si="81"/>
        <v>High Claim Ratio</v>
      </c>
      <c r="AT759" t="str">
        <f t="shared" si="82"/>
        <v>High Profit</v>
      </c>
    </row>
    <row r="760" spans="1:46" x14ac:dyDescent="0.2">
      <c r="A760">
        <v>436</v>
      </c>
      <c r="B760">
        <v>60</v>
      </c>
      <c r="C760">
        <v>910604</v>
      </c>
      <c r="D760" s="1">
        <v>33708</v>
      </c>
      <c r="E760" t="s">
        <v>57</v>
      </c>
      <c r="F760" t="s">
        <v>40</v>
      </c>
      <c r="G760">
        <v>500</v>
      </c>
      <c r="H760">
        <v>1362.31</v>
      </c>
      <c r="I760">
        <v>0</v>
      </c>
      <c r="J760">
        <v>446606</v>
      </c>
      <c r="K760" t="s">
        <v>41</v>
      </c>
      <c r="L760" t="s">
        <v>131</v>
      </c>
      <c r="M760" t="s">
        <v>101</v>
      </c>
      <c r="N760" t="s">
        <v>98</v>
      </c>
      <c r="O760" t="s">
        <v>119</v>
      </c>
      <c r="P760">
        <v>67600</v>
      </c>
      <c r="Q760">
        <v>-65300</v>
      </c>
      <c r="R760" s="1">
        <v>42017</v>
      </c>
      <c r="S760" t="s">
        <v>46</v>
      </c>
      <c r="T760" t="s">
        <v>86</v>
      </c>
      <c r="U760" t="s">
        <v>63</v>
      </c>
      <c r="V760" t="s">
        <v>136</v>
      </c>
      <c r="W760" t="s">
        <v>64</v>
      </c>
      <c r="X760" t="s">
        <v>87</v>
      </c>
      <c r="Y760" t="s">
        <v>937</v>
      </c>
      <c r="Z760">
        <v>16</v>
      </c>
      <c r="AA760">
        <v>1</v>
      </c>
      <c r="AB760" t="s">
        <v>79</v>
      </c>
      <c r="AC760">
        <v>0</v>
      </c>
      <c r="AD760">
        <v>2</v>
      </c>
      <c r="AE760" t="s">
        <v>79</v>
      </c>
      <c r="AF760">
        <v>82060</v>
      </c>
      <c r="AG760">
        <v>14920</v>
      </c>
      <c r="AH760">
        <v>7460</v>
      </c>
      <c r="AI760">
        <v>59680</v>
      </c>
      <c r="AJ760" t="s">
        <v>54</v>
      </c>
      <c r="AK760">
        <v>93</v>
      </c>
      <c r="AL760">
        <v>2005</v>
      </c>
      <c r="AM760" t="s">
        <v>82</v>
      </c>
      <c r="AN760" s="2">
        <f t="shared" si="77"/>
        <v>60.191739222920688</v>
      </c>
      <c r="AO760">
        <f t="shared" si="78"/>
        <v>-80697.69</v>
      </c>
      <c r="AP760" s="2">
        <f t="shared" si="79"/>
        <v>1.6601186921923933E-2</v>
      </c>
      <c r="AQ760" s="2">
        <f t="shared" si="83"/>
        <v>10</v>
      </c>
      <c r="AR760">
        <f t="shared" si="80"/>
        <v>436</v>
      </c>
      <c r="AS760" t="str">
        <f t="shared" si="81"/>
        <v>High Claim Ratio</v>
      </c>
      <c r="AT760" t="str">
        <f t="shared" si="82"/>
        <v>High Profit</v>
      </c>
    </row>
    <row r="761" spans="1:46" x14ac:dyDescent="0.2">
      <c r="A761">
        <v>155</v>
      </c>
      <c r="B761">
        <v>35</v>
      </c>
      <c r="C761">
        <v>327488</v>
      </c>
      <c r="D761" s="1">
        <v>34190</v>
      </c>
      <c r="E761" t="s">
        <v>39</v>
      </c>
      <c r="F761" t="s">
        <v>40</v>
      </c>
      <c r="G761">
        <v>1000</v>
      </c>
      <c r="H761">
        <v>919.37</v>
      </c>
      <c r="I761">
        <v>0</v>
      </c>
      <c r="J761">
        <v>459537</v>
      </c>
      <c r="K761" t="s">
        <v>70</v>
      </c>
      <c r="L761" t="s">
        <v>92</v>
      </c>
      <c r="M761" t="s">
        <v>135</v>
      </c>
      <c r="N761" t="s">
        <v>149</v>
      </c>
      <c r="O761" t="s">
        <v>142</v>
      </c>
      <c r="P761">
        <v>83600</v>
      </c>
      <c r="Q761">
        <v>0</v>
      </c>
      <c r="R761" s="1">
        <v>42022</v>
      </c>
      <c r="S761" t="s">
        <v>46</v>
      </c>
      <c r="T761" t="s">
        <v>86</v>
      </c>
      <c r="U761" t="s">
        <v>63</v>
      </c>
      <c r="V761" t="s">
        <v>136</v>
      </c>
      <c r="W761" t="s">
        <v>77</v>
      </c>
      <c r="X761" t="s">
        <v>156</v>
      </c>
      <c r="Y761" t="s">
        <v>938</v>
      </c>
      <c r="Z761">
        <v>0</v>
      </c>
      <c r="AA761">
        <v>1</v>
      </c>
      <c r="AB761" t="s">
        <v>62</v>
      </c>
      <c r="AC761">
        <v>0</v>
      </c>
      <c r="AD761">
        <v>3</v>
      </c>
      <c r="AE761" t="s">
        <v>62</v>
      </c>
      <c r="AF761">
        <v>48360</v>
      </c>
      <c r="AG761">
        <v>8060</v>
      </c>
      <c r="AH761">
        <v>8060</v>
      </c>
      <c r="AI761">
        <v>32240</v>
      </c>
      <c r="AJ761" t="s">
        <v>104</v>
      </c>
      <c r="AK761" t="s">
        <v>151</v>
      </c>
      <c r="AL761">
        <v>1997</v>
      </c>
      <c r="AM761" t="s">
        <v>82</v>
      </c>
      <c r="AN761" s="2">
        <f t="shared" si="77"/>
        <v>52.544085530819125</v>
      </c>
      <c r="AO761">
        <f t="shared" si="78"/>
        <v>-47440.63</v>
      </c>
      <c r="AP761" s="2">
        <f t="shared" si="79"/>
        <v>1.9010566365459773E-2</v>
      </c>
      <c r="AQ761" s="2">
        <f t="shared" si="83"/>
        <v>18</v>
      </c>
      <c r="AR761">
        <f t="shared" si="80"/>
        <v>155</v>
      </c>
      <c r="AS761" t="str">
        <f t="shared" si="81"/>
        <v>High Claim Ratio</v>
      </c>
      <c r="AT761" t="str">
        <f t="shared" si="82"/>
        <v>High Profit</v>
      </c>
    </row>
    <row r="762" spans="1:46" x14ac:dyDescent="0.2">
      <c r="A762">
        <v>78</v>
      </c>
      <c r="B762">
        <v>31</v>
      </c>
      <c r="C762">
        <v>715202</v>
      </c>
      <c r="D762" s="1">
        <v>33330</v>
      </c>
      <c r="E762" t="s">
        <v>39</v>
      </c>
      <c r="F762" t="s">
        <v>40</v>
      </c>
      <c r="G762">
        <v>1000</v>
      </c>
      <c r="H762">
        <v>1377.23</v>
      </c>
      <c r="I762">
        <v>0</v>
      </c>
      <c r="J762">
        <v>440757</v>
      </c>
      <c r="K762" t="s">
        <v>70</v>
      </c>
      <c r="L762" t="s">
        <v>124</v>
      </c>
      <c r="M762" t="s">
        <v>84</v>
      </c>
      <c r="N762" t="s">
        <v>170</v>
      </c>
      <c r="O762" t="s">
        <v>85</v>
      </c>
      <c r="P762">
        <v>72600</v>
      </c>
      <c r="Q762">
        <v>0</v>
      </c>
      <c r="R762" s="1">
        <v>42064</v>
      </c>
      <c r="S762" t="s">
        <v>75</v>
      </c>
      <c r="T762" t="s">
        <v>47</v>
      </c>
      <c r="U762" t="s">
        <v>63</v>
      </c>
      <c r="V762" t="s">
        <v>120</v>
      </c>
      <c r="W762" t="s">
        <v>77</v>
      </c>
      <c r="X762" t="s">
        <v>122</v>
      </c>
      <c r="Y762" t="s">
        <v>939</v>
      </c>
      <c r="Z762">
        <v>1</v>
      </c>
      <c r="AA762">
        <v>3</v>
      </c>
      <c r="AB762" t="s">
        <v>62</v>
      </c>
      <c r="AC762">
        <v>2</v>
      </c>
      <c r="AD762">
        <v>1</v>
      </c>
      <c r="AE762" t="s">
        <v>62</v>
      </c>
      <c r="AF762">
        <v>52290</v>
      </c>
      <c r="AG762">
        <v>5810</v>
      </c>
      <c r="AH762">
        <v>11620</v>
      </c>
      <c r="AI762">
        <v>34860</v>
      </c>
      <c r="AJ762" t="s">
        <v>104</v>
      </c>
      <c r="AK762" t="s">
        <v>151</v>
      </c>
      <c r="AL762">
        <v>1997</v>
      </c>
      <c r="AM762" t="s">
        <v>82</v>
      </c>
      <c r="AN762" s="2">
        <f t="shared" si="77"/>
        <v>37.939966478744473</v>
      </c>
      <c r="AO762">
        <f t="shared" si="78"/>
        <v>-50912.77</v>
      </c>
      <c r="AP762" s="2">
        <f t="shared" si="79"/>
        <v>2.6337801916199728E-2</v>
      </c>
      <c r="AQ762" s="2">
        <f t="shared" si="83"/>
        <v>18</v>
      </c>
      <c r="AR762">
        <f t="shared" si="80"/>
        <v>78</v>
      </c>
      <c r="AS762" t="str">
        <f t="shared" si="81"/>
        <v>High Claim Ratio</v>
      </c>
      <c r="AT762" t="str">
        <f t="shared" si="82"/>
        <v>High Profit</v>
      </c>
    </row>
    <row r="763" spans="1:46" x14ac:dyDescent="0.2">
      <c r="A763">
        <v>440</v>
      </c>
      <c r="B763">
        <v>57</v>
      </c>
      <c r="C763">
        <v>648852</v>
      </c>
      <c r="D763" s="1">
        <v>39156</v>
      </c>
      <c r="E763" t="s">
        <v>83</v>
      </c>
      <c r="F763" t="s">
        <v>69</v>
      </c>
      <c r="G763">
        <v>1000</v>
      </c>
      <c r="H763">
        <v>995.55</v>
      </c>
      <c r="I763">
        <v>5000000</v>
      </c>
      <c r="J763">
        <v>604948</v>
      </c>
      <c r="K763" t="s">
        <v>41</v>
      </c>
      <c r="L763" t="s">
        <v>141</v>
      </c>
      <c r="M763" t="s">
        <v>135</v>
      </c>
      <c r="N763" t="s">
        <v>165</v>
      </c>
      <c r="O763" t="s">
        <v>119</v>
      </c>
      <c r="P763">
        <v>51500</v>
      </c>
      <c r="Q763">
        <v>-52100</v>
      </c>
      <c r="R763" s="1">
        <v>42037</v>
      </c>
      <c r="S763" t="s">
        <v>75</v>
      </c>
      <c r="T763" t="s">
        <v>76</v>
      </c>
      <c r="U763" t="s">
        <v>48</v>
      </c>
      <c r="V763" t="s">
        <v>49</v>
      </c>
      <c r="W763" t="s">
        <v>50</v>
      </c>
      <c r="X763" t="s">
        <v>87</v>
      </c>
      <c r="Y763" t="s">
        <v>940</v>
      </c>
      <c r="Z763">
        <v>19</v>
      </c>
      <c r="AA763">
        <v>3</v>
      </c>
      <c r="AB763" t="s">
        <v>53</v>
      </c>
      <c r="AC763">
        <v>0</v>
      </c>
      <c r="AD763">
        <v>3</v>
      </c>
      <c r="AE763" t="s">
        <v>62</v>
      </c>
      <c r="AF763">
        <v>68200</v>
      </c>
      <c r="AG763">
        <v>12400</v>
      </c>
      <c r="AH763">
        <v>12400</v>
      </c>
      <c r="AI763">
        <v>43400</v>
      </c>
      <c r="AJ763" t="s">
        <v>197</v>
      </c>
      <c r="AK763" t="s">
        <v>198</v>
      </c>
      <c r="AL763">
        <v>2007</v>
      </c>
      <c r="AM763" t="s">
        <v>56</v>
      </c>
      <c r="AN763" s="2">
        <f t="shared" si="77"/>
        <v>68.436104560734535</v>
      </c>
      <c r="AO763">
        <f t="shared" si="78"/>
        <v>-67204.45</v>
      </c>
      <c r="AP763" s="2">
        <f t="shared" si="79"/>
        <v>1.4597293294819723E-2</v>
      </c>
      <c r="AQ763" s="2">
        <f t="shared" si="83"/>
        <v>8</v>
      </c>
      <c r="AR763">
        <f t="shared" si="80"/>
        <v>440</v>
      </c>
      <c r="AS763" t="str">
        <f t="shared" si="81"/>
        <v>High Claim Ratio</v>
      </c>
      <c r="AT763" t="str">
        <f t="shared" si="82"/>
        <v>High Profit</v>
      </c>
    </row>
    <row r="764" spans="1:46" x14ac:dyDescent="0.2">
      <c r="A764">
        <v>264</v>
      </c>
      <c r="B764">
        <v>43</v>
      </c>
      <c r="C764">
        <v>516959</v>
      </c>
      <c r="D764" s="1">
        <v>40299</v>
      </c>
      <c r="E764" t="s">
        <v>83</v>
      </c>
      <c r="F764" t="s">
        <v>69</v>
      </c>
      <c r="G764">
        <v>500</v>
      </c>
      <c r="H764">
        <v>1508.12</v>
      </c>
      <c r="I764">
        <v>6000000</v>
      </c>
      <c r="J764">
        <v>433275</v>
      </c>
      <c r="K764" t="s">
        <v>41</v>
      </c>
      <c r="L764" t="s">
        <v>71</v>
      </c>
      <c r="M764" t="s">
        <v>43</v>
      </c>
      <c r="N764" t="s">
        <v>179</v>
      </c>
      <c r="O764" t="s">
        <v>119</v>
      </c>
      <c r="P764">
        <v>0</v>
      </c>
      <c r="Q764">
        <v>0</v>
      </c>
      <c r="R764" s="1">
        <v>42024</v>
      </c>
      <c r="S764" t="s">
        <v>75</v>
      </c>
      <c r="T764" t="s">
        <v>76</v>
      </c>
      <c r="U764" t="s">
        <v>48</v>
      </c>
      <c r="V764" t="s">
        <v>120</v>
      </c>
      <c r="W764" t="s">
        <v>77</v>
      </c>
      <c r="X764" t="s">
        <v>51</v>
      </c>
      <c r="Y764" t="s">
        <v>941</v>
      </c>
      <c r="Z764">
        <v>0</v>
      </c>
      <c r="AA764">
        <v>3</v>
      </c>
      <c r="AB764" t="s">
        <v>62</v>
      </c>
      <c r="AC764">
        <v>2</v>
      </c>
      <c r="AD764">
        <v>1</v>
      </c>
      <c r="AE764" t="s">
        <v>79</v>
      </c>
      <c r="AF764">
        <v>60750</v>
      </c>
      <c r="AG764">
        <v>13500</v>
      </c>
      <c r="AH764">
        <v>6750</v>
      </c>
      <c r="AI764">
        <v>40500</v>
      </c>
      <c r="AJ764" t="s">
        <v>197</v>
      </c>
      <c r="AK764" t="s">
        <v>198</v>
      </c>
      <c r="AL764">
        <v>2015</v>
      </c>
      <c r="AM764" t="s">
        <v>56</v>
      </c>
      <c r="AN764" s="2">
        <f t="shared" si="77"/>
        <v>40.255248091603058</v>
      </c>
      <c r="AO764">
        <f t="shared" si="78"/>
        <v>-59241.88</v>
      </c>
      <c r="AP764" s="2">
        <f t="shared" si="79"/>
        <v>2.4824611940544188E-2</v>
      </c>
      <c r="AQ764" s="2">
        <f t="shared" si="83"/>
        <v>0</v>
      </c>
      <c r="AR764">
        <f t="shared" si="80"/>
        <v>264</v>
      </c>
      <c r="AS764" t="str">
        <f t="shared" si="81"/>
        <v>High Claim Ratio</v>
      </c>
      <c r="AT764" t="str">
        <f t="shared" si="82"/>
        <v>High Profit</v>
      </c>
    </row>
    <row r="765" spans="1:46" x14ac:dyDescent="0.2">
      <c r="A765">
        <v>66</v>
      </c>
      <c r="B765">
        <v>30</v>
      </c>
      <c r="C765">
        <v>984456</v>
      </c>
      <c r="D765" s="1">
        <v>37796</v>
      </c>
      <c r="E765" t="s">
        <v>57</v>
      </c>
      <c r="F765" t="s">
        <v>91</v>
      </c>
      <c r="G765">
        <v>500</v>
      </c>
      <c r="H765">
        <v>484.67</v>
      </c>
      <c r="I765">
        <v>0</v>
      </c>
      <c r="J765">
        <v>608309</v>
      </c>
      <c r="K765" t="s">
        <v>70</v>
      </c>
      <c r="L765" t="s">
        <v>141</v>
      </c>
      <c r="M765" t="s">
        <v>185</v>
      </c>
      <c r="N765" t="s">
        <v>165</v>
      </c>
      <c r="O765" t="s">
        <v>119</v>
      </c>
      <c r="P765">
        <v>21100</v>
      </c>
      <c r="Q765">
        <v>-60800</v>
      </c>
      <c r="R765" s="1">
        <v>42028</v>
      </c>
      <c r="S765" t="s">
        <v>75</v>
      </c>
      <c r="T765" t="s">
        <v>86</v>
      </c>
      <c r="U765" t="s">
        <v>48</v>
      </c>
      <c r="V765" t="s">
        <v>99</v>
      </c>
      <c r="W765" t="s">
        <v>50</v>
      </c>
      <c r="X765" t="s">
        <v>87</v>
      </c>
      <c r="Y765" t="s">
        <v>942</v>
      </c>
      <c r="Z765">
        <v>2</v>
      </c>
      <c r="AA765">
        <v>3</v>
      </c>
      <c r="AB765" t="s">
        <v>62</v>
      </c>
      <c r="AC765">
        <v>0</v>
      </c>
      <c r="AD765">
        <v>2</v>
      </c>
      <c r="AE765" t="s">
        <v>53</v>
      </c>
      <c r="AF765">
        <v>65560</v>
      </c>
      <c r="AG765">
        <v>11920</v>
      </c>
      <c r="AH765">
        <v>11920</v>
      </c>
      <c r="AI765">
        <v>41720</v>
      </c>
      <c r="AJ765" t="s">
        <v>214</v>
      </c>
      <c r="AK765" t="s">
        <v>215</v>
      </c>
      <c r="AL765">
        <v>2015</v>
      </c>
      <c r="AM765" t="s">
        <v>56</v>
      </c>
      <c r="AN765" s="2">
        <f t="shared" si="77"/>
        <v>134.98877838861779</v>
      </c>
      <c r="AO765">
        <f t="shared" si="78"/>
        <v>-65075.33</v>
      </c>
      <c r="AP765" s="2">
        <f t="shared" si="79"/>
        <v>7.392657219993594E-3</v>
      </c>
      <c r="AQ765" s="2">
        <f t="shared" si="83"/>
        <v>0</v>
      </c>
      <c r="AR765">
        <f t="shared" si="80"/>
        <v>66</v>
      </c>
      <c r="AS765" t="str">
        <f t="shared" si="81"/>
        <v>High Claim Ratio</v>
      </c>
      <c r="AT765" t="str">
        <f t="shared" si="82"/>
        <v>High Profit</v>
      </c>
    </row>
    <row r="766" spans="1:46" x14ac:dyDescent="0.2">
      <c r="A766">
        <v>366</v>
      </c>
      <c r="B766">
        <v>50</v>
      </c>
      <c r="C766">
        <v>801331</v>
      </c>
      <c r="D766" s="1">
        <v>33062</v>
      </c>
      <c r="E766" t="s">
        <v>57</v>
      </c>
      <c r="F766" t="s">
        <v>91</v>
      </c>
      <c r="G766">
        <v>1000</v>
      </c>
      <c r="H766">
        <v>1561.41</v>
      </c>
      <c r="I766">
        <v>0</v>
      </c>
      <c r="J766">
        <v>462767</v>
      </c>
      <c r="K766" t="s">
        <v>70</v>
      </c>
      <c r="L766" t="s">
        <v>131</v>
      </c>
      <c r="M766" t="s">
        <v>159</v>
      </c>
      <c r="N766" t="s">
        <v>179</v>
      </c>
      <c r="O766" t="s">
        <v>45</v>
      </c>
      <c r="P766">
        <v>21200</v>
      </c>
      <c r="Q766">
        <v>0</v>
      </c>
      <c r="R766" s="1">
        <v>42008</v>
      </c>
      <c r="S766" t="s">
        <v>75</v>
      </c>
      <c r="T766" t="s">
        <v>76</v>
      </c>
      <c r="U766" t="s">
        <v>63</v>
      </c>
      <c r="V766" t="s">
        <v>49</v>
      </c>
      <c r="W766" t="s">
        <v>77</v>
      </c>
      <c r="X766" t="s">
        <v>87</v>
      </c>
      <c r="Y766" t="s">
        <v>943</v>
      </c>
      <c r="Z766">
        <v>5</v>
      </c>
      <c r="AA766">
        <v>3</v>
      </c>
      <c r="AB766" t="s">
        <v>53</v>
      </c>
      <c r="AC766">
        <v>1</v>
      </c>
      <c r="AD766">
        <v>3</v>
      </c>
      <c r="AE766" t="s">
        <v>79</v>
      </c>
      <c r="AF766">
        <v>70290</v>
      </c>
      <c r="AG766">
        <v>12780</v>
      </c>
      <c r="AH766">
        <v>12780</v>
      </c>
      <c r="AI766">
        <v>44730</v>
      </c>
      <c r="AJ766" t="s">
        <v>67</v>
      </c>
      <c r="AK766" t="s">
        <v>193</v>
      </c>
      <c r="AL766">
        <v>2012</v>
      </c>
      <c r="AM766" t="s">
        <v>82</v>
      </c>
      <c r="AN766" s="2">
        <f t="shared" si="77"/>
        <v>44.988191319820018</v>
      </c>
      <c r="AO766">
        <f t="shared" si="78"/>
        <v>-68728.59</v>
      </c>
      <c r="AP766" s="2">
        <f t="shared" si="79"/>
        <v>2.2213512398457841E-2</v>
      </c>
      <c r="AQ766" s="2">
        <f t="shared" si="83"/>
        <v>3</v>
      </c>
      <c r="AR766">
        <f t="shared" si="80"/>
        <v>366</v>
      </c>
      <c r="AS766" t="str">
        <f t="shared" si="81"/>
        <v>High Claim Ratio</v>
      </c>
      <c r="AT766" t="str">
        <f t="shared" si="82"/>
        <v>High Profit</v>
      </c>
    </row>
    <row r="767" spans="1:46" x14ac:dyDescent="0.2">
      <c r="A767">
        <v>188</v>
      </c>
      <c r="B767">
        <v>37</v>
      </c>
      <c r="C767">
        <v>786103</v>
      </c>
      <c r="D767" s="1">
        <v>34601</v>
      </c>
      <c r="E767" t="s">
        <v>39</v>
      </c>
      <c r="F767" t="s">
        <v>69</v>
      </c>
      <c r="G767">
        <v>500</v>
      </c>
      <c r="H767">
        <v>1457.21</v>
      </c>
      <c r="I767">
        <v>0</v>
      </c>
      <c r="J767">
        <v>471785</v>
      </c>
      <c r="K767" t="s">
        <v>70</v>
      </c>
      <c r="L767" t="s">
        <v>161</v>
      </c>
      <c r="M767" t="s">
        <v>185</v>
      </c>
      <c r="N767" t="s">
        <v>149</v>
      </c>
      <c r="O767" t="s">
        <v>74</v>
      </c>
      <c r="P767">
        <v>46300</v>
      </c>
      <c r="Q767">
        <v>0</v>
      </c>
      <c r="R767" s="1">
        <v>42021</v>
      </c>
      <c r="S767" t="s">
        <v>46</v>
      </c>
      <c r="T767" t="s">
        <v>76</v>
      </c>
      <c r="U767" t="s">
        <v>107</v>
      </c>
      <c r="V767" t="s">
        <v>136</v>
      </c>
      <c r="W767" t="s">
        <v>50</v>
      </c>
      <c r="X767" t="s">
        <v>51</v>
      </c>
      <c r="Y767" t="s">
        <v>944</v>
      </c>
      <c r="Z767">
        <v>6</v>
      </c>
      <c r="AA767">
        <v>1</v>
      </c>
      <c r="AB767" t="s">
        <v>62</v>
      </c>
      <c r="AC767">
        <v>2</v>
      </c>
      <c r="AD767">
        <v>0</v>
      </c>
      <c r="AE767" t="s">
        <v>53</v>
      </c>
      <c r="AF767">
        <v>45000</v>
      </c>
      <c r="AG767">
        <v>5000</v>
      </c>
      <c r="AH767">
        <v>5000</v>
      </c>
      <c r="AI767">
        <v>35000</v>
      </c>
      <c r="AJ767" t="s">
        <v>153</v>
      </c>
      <c r="AK767" t="s">
        <v>167</v>
      </c>
      <c r="AL767">
        <v>2003</v>
      </c>
      <c r="AM767" t="s">
        <v>82</v>
      </c>
      <c r="AN767" s="2">
        <f t="shared" si="77"/>
        <v>30.859752710514947</v>
      </c>
      <c r="AO767">
        <f t="shared" si="78"/>
        <v>-43542.79</v>
      </c>
      <c r="AP767" s="2">
        <f t="shared" si="79"/>
        <v>3.2381724850558874E-2</v>
      </c>
      <c r="AQ767" s="2">
        <f t="shared" si="83"/>
        <v>12</v>
      </c>
      <c r="AR767">
        <f t="shared" si="80"/>
        <v>188</v>
      </c>
      <c r="AS767" t="str">
        <f t="shared" si="81"/>
        <v>High Claim Ratio</v>
      </c>
      <c r="AT767" t="str">
        <f t="shared" si="82"/>
        <v>High Profit</v>
      </c>
    </row>
    <row r="768" spans="1:46" x14ac:dyDescent="0.2">
      <c r="A768">
        <v>224</v>
      </c>
      <c r="B768">
        <v>39</v>
      </c>
      <c r="C768">
        <v>684193</v>
      </c>
      <c r="D768" s="1">
        <v>41080</v>
      </c>
      <c r="E768" t="s">
        <v>83</v>
      </c>
      <c r="F768" t="s">
        <v>91</v>
      </c>
      <c r="G768">
        <v>1000</v>
      </c>
      <c r="H768">
        <v>1128.71</v>
      </c>
      <c r="I768">
        <v>0</v>
      </c>
      <c r="J768">
        <v>601397</v>
      </c>
      <c r="K768" t="s">
        <v>70</v>
      </c>
      <c r="L768" t="s">
        <v>161</v>
      </c>
      <c r="M768" t="s">
        <v>101</v>
      </c>
      <c r="N768" t="s">
        <v>44</v>
      </c>
      <c r="O768" t="s">
        <v>60</v>
      </c>
      <c r="P768">
        <v>0</v>
      </c>
      <c r="Q768">
        <v>-47100</v>
      </c>
      <c r="R768" s="1">
        <v>42039</v>
      </c>
      <c r="S768" t="s">
        <v>75</v>
      </c>
      <c r="T768" t="s">
        <v>76</v>
      </c>
      <c r="U768" t="s">
        <v>107</v>
      </c>
      <c r="V768" t="s">
        <v>99</v>
      </c>
      <c r="W768" t="s">
        <v>64</v>
      </c>
      <c r="X768" t="s">
        <v>65</v>
      </c>
      <c r="Y768" t="s">
        <v>945</v>
      </c>
      <c r="Z768">
        <v>21</v>
      </c>
      <c r="AA768">
        <v>3</v>
      </c>
      <c r="AB768" t="s">
        <v>53</v>
      </c>
      <c r="AC768">
        <v>2</v>
      </c>
      <c r="AD768">
        <v>1</v>
      </c>
      <c r="AE768" t="s">
        <v>62</v>
      </c>
      <c r="AF768">
        <v>61800</v>
      </c>
      <c r="AG768">
        <v>12360</v>
      </c>
      <c r="AH768">
        <v>6180</v>
      </c>
      <c r="AI768">
        <v>43260</v>
      </c>
      <c r="AJ768" t="s">
        <v>153</v>
      </c>
      <c r="AK768" t="s">
        <v>163</v>
      </c>
      <c r="AL768">
        <v>2007</v>
      </c>
      <c r="AM768" t="s">
        <v>82</v>
      </c>
      <c r="AN768" s="2">
        <f t="shared" si="77"/>
        <v>54.704304644554796</v>
      </c>
      <c r="AO768">
        <f t="shared" si="78"/>
        <v>-60671.29</v>
      </c>
      <c r="AP768" s="2">
        <f t="shared" si="79"/>
        <v>1.8263620329768127E-2</v>
      </c>
      <c r="AQ768" s="2">
        <f t="shared" si="83"/>
        <v>8</v>
      </c>
      <c r="AR768">
        <f t="shared" si="80"/>
        <v>224</v>
      </c>
      <c r="AS768" t="str">
        <f t="shared" si="81"/>
        <v>High Claim Ratio</v>
      </c>
      <c r="AT768" t="str">
        <f t="shared" si="82"/>
        <v>High Profit</v>
      </c>
    </row>
    <row r="769" spans="1:46" x14ac:dyDescent="0.2">
      <c r="A769">
        <v>253</v>
      </c>
      <c r="B769">
        <v>46</v>
      </c>
      <c r="C769">
        <v>247505</v>
      </c>
      <c r="D769" s="1">
        <v>38826</v>
      </c>
      <c r="E769" t="s">
        <v>83</v>
      </c>
      <c r="F769" t="s">
        <v>69</v>
      </c>
      <c r="G769">
        <v>500</v>
      </c>
      <c r="H769">
        <v>1358.2</v>
      </c>
      <c r="I769">
        <v>0</v>
      </c>
      <c r="J769">
        <v>477636</v>
      </c>
      <c r="K769" t="s">
        <v>70</v>
      </c>
      <c r="L769" t="s">
        <v>42</v>
      </c>
      <c r="M769" t="s">
        <v>145</v>
      </c>
      <c r="N769" t="s">
        <v>146</v>
      </c>
      <c r="O769" t="s">
        <v>45</v>
      </c>
      <c r="P769">
        <v>52900</v>
      </c>
      <c r="Q769">
        <v>0</v>
      </c>
      <c r="R769" s="1">
        <v>42049</v>
      </c>
      <c r="S769" t="s">
        <v>75</v>
      </c>
      <c r="T769" t="s">
        <v>86</v>
      </c>
      <c r="U769" t="s">
        <v>48</v>
      </c>
      <c r="V769" t="s">
        <v>136</v>
      </c>
      <c r="W769" t="s">
        <v>77</v>
      </c>
      <c r="X769" t="s">
        <v>51</v>
      </c>
      <c r="Y769" t="s">
        <v>946</v>
      </c>
      <c r="Z769">
        <v>11</v>
      </c>
      <c r="AA769">
        <v>3</v>
      </c>
      <c r="AB769" t="s">
        <v>53</v>
      </c>
      <c r="AC769">
        <v>0</v>
      </c>
      <c r="AD769">
        <v>0</v>
      </c>
      <c r="AE769" t="s">
        <v>79</v>
      </c>
      <c r="AF769">
        <v>64570</v>
      </c>
      <c r="AG769">
        <v>5870</v>
      </c>
      <c r="AH769">
        <v>11740</v>
      </c>
      <c r="AI769">
        <v>46960</v>
      </c>
      <c r="AJ769" t="s">
        <v>197</v>
      </c>
      <c r="AK769" t="s">
        <v>198</v>
      </c>
      <c r="AL769">
        <v>2001</v>
      </c>
      <c r="AM769" t="s">
        <v>82</v>
      </c>
      <c r="AN769" s="2">
        <f t="shared" si="77"/>
        <v>47.505885815185401</v>
      </c>
      <c r="AO769">
        <f t="shared" si="78"/>
        <v>-63211.8</v>
      </c>
      <c r="AP769" s="2">
        <f t="shared" si="79"/>
        <v>2.1034210404051356E-2</v>
      </c>
      <c r="AQ769" s="2">
        <f t="shared" si="83"/>
        <v>14</v>
      </c>
      <c r="AR769">
        <f t="shared" si="80"/>
        <v>253</v>
      </c>
      <c r="AS769" t="str">
        <f t="shared" si="81"/>
        <v>High Claim Ratio</v>
      </c>
      <c r="AT769" t="str">
        <f t="shared" si="82"/>
        <v>High Profit</v>
      </c>
    </row>
    <row r="770" spans="1:46" x14ac:dyDescent="0.2">
      <c r="A770">
        <v>446</v>
      </c>
      <c r="B770">
        <v>61</v>
      </c>
      <c r="C770">
        <v>259792</v>
      </c>
      <c r="D770" s="1">
        <v>36257</v>
      </c>
      <c r="E770" t="s">
        <v>83</v>
      </c>
      <c r="F770" t="s">
        <v>69</v>
      </c>
      <c r="G770">
        <v>1000</v>
      </c>
      <c r="H770">
        <v>1232.79</v>
      </c>
      <c r="I770">
        <v>0</v>
      </c>
      <c r="J770">
        <v>441967</v>
      </c>
      <c r="K770" t="s">
        <v>70</v>
      </c>
      <c r="L770" t="s">
        <v>131</v>
      </c>
      <c r="M770" t="s">
        <v>185</v>
      </c>
      <c r="N770" t="s">
        <v>59</v>
      </c>
      <c r="O770" t="s">
        <v>85</v>
      </c>
      <c r="P770">
        <v>49900</v>
      </c>
      <c r="Q770">
        <v>-62100</v>
      </c>
      <c r="R770" s="1">
        <v>42011</v>
      </c>
      <c r="S770" t="s">
        <v>46</v>
      </c>
      <c r="T770" t="s">
        <v>76</v>
      </c>
      <c r="U770" t="s">
        <v>63</v>
      </c>
      <c r="V770" t="s">
        <v>120</v>
      </c>
      <c r="W770" t="s">
        <v>64</v>
      </c>
      <c r="X770" t="s">
        <v>102</v>
      </c>
      <c r="Y770" t="s">
        <v>947</v>
      </c>
      <c r="Z770">
        <v>3</v>
      </c>
      <c r="AA770">
        <v>1</v>
      </c>
      <c r="AB770" t="s">
        <v>53</v>
      </c>
      <c r="AC770">
        <v>2</v>
      </c>
      <c r="AD770">
        <v>0</v>
      </c>
      <c r="AE770" t="s">
        <v>53</v>
      </c>
      <c r="AF770">
        <v>70500</v>
      </c>
      <c r="AG770">
        <v>7050</v>
      </c>
      <c r="AH770">
        <v>14100</v>
      </c>
      <c r="AI770">
        <v>49350</v>
      </c>
      <c r="AJ770" t="s">
        <v>153</v>
      </c>
      <c r="AK770" t="s">
        <v>167</v>
      </c>
      <c r="AL770">
        <v>2007</v>
      </c>
      <c r="AM770" t="s">
        <v>82</v>
      </c>
      <c r="AN770" s="2">
        <f t="shared" si="77"/>
        <v>57.141004546965043</v>
      </c>
      <c r="AO770">
        <f t="shared" si="78"/>
        <v>-69267.210000000006</v>
      </c>
      <c r="AP770" s="2">
        <f t="shared" si="79"/>
        <v>1.7486134948440448E-2</v>
      </c>
      <c r="AQ770" s="2">
        <f t="shared" si="83"/>
        <v>8</v>
      </c>
      <c r="AR770">
        <f t="shared" si="80"/>
        <v>446</v>
      </c>
      <c r="AS770" t="str">
        <f t="shared" si="81"/>
        <v>High Claim Ratio</v>
      </c>
      <c r="AT770" t="str">
        <f t="shared" si="82"/>
        <v>High Profit</v>
      </c>
    </row>
    <row r="771" spans="1:46" x14ac:dyDescent="0.2">
      <c r="A771">
        <v>169</v>
      </c>
      <c r="B771">
        <v>37</v>
      </c>
      <c r="C771">
        <v>185124</v>
      </c>
      <c r="D771" s="1">
        <v>37232</v>
      </c>
      <c r="E771" t="s">
        <v>83</v>
      </c>
      <c r="F771" t="s">
        <v>69</v>
      </c>
      <c r="G771">
        <v>1000</v>
      </c>
      <c r="H771">
        <v>936.19</v>
      </c>
      <c r="I771">
        <v>0</v>
      </c>
      <c r="J771">
        <v>454776</v>
      </c>
      <c r="K771" t="s">
        <v>41</v>
      </c>
      <c r="L771" t="s">
        <v>161</v>
      </c>
      <c r="M771" t="s">
        <v>84</v>
      </c>
      <c r="N771" t="s">
        <v>146</v>
      </c>
      <c r="O771" t="s">
        <v>60</v>
      </c>
      <c r="P771">
        <v>70600</v>
      </c>
      <c r="Q771">
        <v>-48500</v>
      </c>
      <c r="R771" s="1">
        <v>42037</v>
      </c>
      <c r="S771" t="s">
        <v>75</v>
      </c>
      <c r="T771" t="s">
        <v>47</v>
      </c>
      <c r="U771" t="s">
        <v>107</v>
      </c>
      <c r="V771" t="s">
        <v>49</v>
      </c>
      <c r="W771" t="s">
        <v>50</v>
      </c>
      <c r="X771" t="s">
        <v>156</v>
      </c>
      <c r="Y771" t="s">
        <v>948</v>
      </c>
      <c r="Z771">
        <v>4</v>
      </c>
      <c r="AA771">
        <v>3</v>
      </c>
      <c r="AB771" t="s">
        <v>62</v>
      </c>
      <c r="AC771">
        <v>2</v>
      </c>
      <c r="AD771">
        <v>1</v>
      </c>
      <c r="AE771" t="s">
        <v>53</v>
      </c>
      <c r="AF771">
        <v>57900</v>
      </c>
      <c r="AG771">
        <v>17370</v>
      </c>
      <c r="AH771">
        <v>5790</v>
      </c>
      <c r="AI771">
        <v>34740</v>
      </c>
      <c r="AJ771" t="s">
        <v>109</v>
      </c>
      <c r="AK771" t="s">
        <v>110</v>
      </c>
      <c r="AL771">
        <v>2005</v>
      </c>
      <c r="AM771" t="s">
        <v>82</v>
      </c>
      <c r="AN771" s="2">
        <f t="shared" ref="AN771:AN834" si="84">AF771/(H771+1)</f>
        <v>61.780428728432867</v>
      </c>
      <c r="AO771">
        <f t="shared" ref="AO771:AO834" si="85">H771-AF771</f>
        <v>-56963.81</v>
      </c>
      <c r="AP771" s="2">
        <f t="shared" ref="AP771:AP834" si="86">H771/(AF771+1)</f>
        <v>1.6168805374691283E-2</v>
      </c>
      <c r="AQ771" s="2">
        <f t="shared" si="83"/>
        <v>10</v>
      </c>
      <c r="AR771">
        <f t="shared" ref="AR771:AR834" si="87">A771</f>
        <v>169</v>
      </c>
      <c r="AS771" t="str">
        <f t="shared" ref="AS771:AS834" si="88">IF(AN771&lt;5,"Low Claim Ratio",
 IF(AN771&lt;20,"Medium Claim Ratio",
 "High Claim Ratio"))</f>
        <v>High Claim Ratio</v>
      </c>
      <c r="AT771" t="str">
        <f t="shared" ref="AT771:AT834" si="89">IF(-AO771&lt;0,"Loss Making",
 IF(-AO771&lt;5000,"Low Profit",
 "High Profit"))</f>
        <v>High Profit</v>
      </c>
    </row>
    <row r="772" spans="1:46" x14ac:dyDescent="0.2">
      <c r="A772">
        <v>255</v>
      </c>
      <c r="B772">
        <v>46</v>
      </c>
      <c r="C772">
        <v>760700</v>
      </c>
      <c r="D772" s="1">
        <v>39046</v>
      </c>
      <c r="E772" t="s">
        <v>83</v>
      </c>
      <c r="F772" t="s">
        <v>40</v>
      </c>
      <c r="G772">
        <v>500</v>
      </c>
      <c r="H772">
        <v>1302.3399999999999</v>
      </c>
      <c r="I772">
        <v>0</v>
      </c>
      <c r="J772">
        <v>431532</v>
      </c>
      <c r="K772" t="s">
        <v>70</v>
      </c>
      <c r="L772" t="s">
        <v>161</v>
      </c>
      <c r="M772" t="s">
        <v>101</v>
      </c>
      <c r="N772" t="s">
        <v>181</v>
      </c>
      <c r="O772" t="s">
        <v>74</v>
      </c>
      <c r="P772">
        <v>0</v>
      </c>
      <c r="Q772">
        <v>-52600</v>
      </c>
      <c r="R772" s="1">
        <v>42016</v>
      </c>
      <c r="S772" t="s">
        <v>75</v>
      </c>
      <c r="T772" t="s">
        <v>86</v>
      </c>
      <c r="U772" t="s">
        <v>63</v>
      </c>
      <c r="V772" t="s">
        <v>99</v>
      </c>
      <c r="W772" t="s">
        <v>113</v>
      </c>
      <c r="X772" t="s">
        <v>156</v>
      </c>
      <c r="Y772" t="s">
        <v>949</v>
      </c>
      <c r="Z772">
        <v>2</v>
      </c>
      <c r="AA772">
        <v>3</v>
      </c>
      <c r="AB772" t="s">
        <v>79</v>
      </c>
      <c r="AC772">
        <v>1</v>
      </c>
      <c r="AD772">
        <v>0</v>
      </c>
      <c r="AE772" t="s">
        <v>79</v>
      </c>
      <c r="AF772">
        <v>57860</v>
      </c>
      <c r="AG772">
        <v>5260</v>
      </c>
      <c r="AH772">
        <v>10520</v>
      </c>
      <c r="AI772">
        <v>42080</v>
      </c>
      <c r="AJ772" t="s">
        <v>214</v>
      </c>
      <c r="AK772" t="s">
        <v>258</v>
      </c>
      <c r="AL772">
        <v>2011</v>
      </c>
      <c r="AM772" t="s">
        <v>82</v>
      </c>
      <c r="AN772" s="2">
        <f t="shared" si="84"/>
        <v>44.393634815167189</v>
      </c>
      <c r="AO772">
        <f t="shared" si="85"/>
        <v>-56557.66</v>
      </c>
      <c r="AP772" s="2">
        <f t="shared" si="86"/>
        <v>2.2508079708266363E-2</v>
      </c>
      <c r="AQ772" s="2">
        <f t="shared" ref="AQ772:AQ835" si="90">YEAR(R772)-(AL772)</f>
        <v>4</v>
      </c>
      <c r="AR772">
        <f t="shared" si="87"/>
        <v>255</v>
      </c>
      <c r="AS772" t="str">
        <f t="shared" si="88"/>
        <v>High Claim Ratio</v>
      </c>
      <c r="AT772" t="str">
        <f t="shared" si="89"/>
        <v>High Profit</v>
      </c>
    </row>
    <row r="773" spans="1:46" x14ac:dyDescent="0.2">
      <c r="A773">
        <v>209</v>
      </c>
      <c r="B773">
        <v>39</v>
      </c>
      <c r="C773">
        <v>362407</v>
      </c>
      <c r="D773" s="1">
        <v>35405</v>
      </c>
      <c r="E773" t="s">
        <v>57</v>
      </c>
      <c r="F773" t="s">
        <v>69</v>
      </c>
      <c r="G773">
        <v>500</v>
      </c>
      <c r="H773">
        <v>1264.99</v>
      </c>
      <c r="I773">
        <v>0</v>
      </c>
      <c r="J773">
        <v>614169</v>
      </c>
      <c r="K773" t="s">
        <v>41</v>
      </c>
      <c r="L773" t="s">
        <v>71</v>
      </c>
      <c r="M773" t="s">
        <v>145</v>
      </c>
      <c r="N773" t="s">
        <v>173</v>
      </c>
      <c r="O773" t="s">
        <v>45</v>
      </c>
      <c r="P773">
        <v>67800</v>
      </c>
      <c r="Q773">
        <v>0</v>
      </c>
      <c r="R773" s="1">
        <v>42005</v>
      </c>
      <c r="S773" t="s">
        <v>46</v>
      </c>
      <c r="T773" t="s">
        <v>47</v>
      </c>
      <c r="U773" t="s">
        <v>63</v>
      </c>
      <c r="V773" t="s">
        <v>99</v>
      </c>
      <c r="W773" t="s">
        <v>64</v>
      </c>
      <c r="X773" t="s">
        <v>156</v>
      </c>
      <c r="Y773" t="s">
        <v>950</v>
      </c>
      <c r="Z773">
        <v>22</v>
      </c>
      <c r="AA773">
        <v>1</v>
      </c>
      <c r="AB773" t="s">
        <v>62</v>
      </c>
      <c r="AC773">
        <v>1</v>
      </c>
      <c r="AD773">
        <v>1</v>
      </c>
      <c r="AE773" t="s">
        <v>79</v>
      </c>
      <c r="AF773">
        <v>37800</v>
      </c>
      <c r="AG773">
        <v>8400</v>
      </c>
      <c r="AH773">
        <v>4200</v>
      </c>
      <c r="AI773">
        <v>25200</v>
      </c>
      <c r="AJ773" t="s">
        <v>89</v>
      </c>
      <c r="AK773" t="s">
        <v>223</v>
      </c>
      <c r="AL773">
        <v>1995</v>
      </c>
      <c r="AM773" t="s">
        <v>82</v>
      </c>
      <c r="AN773" s="2">
        <f t="shared" si="84"/>
        <v>29.858055750835316</v>
      </c>
      <c r="AO773">
        <f t="shared" si="85"/>
        <v>-36535.01</v>
      </c>
      <c r="AP773" s="2">
        <f t="shared" si="86"/>
        <v>3.3464458612206024E-2</v>
      </c>
      <c r="AQ773" s="2">
        <f t="shared" si="90"/>
        <v>20</v>
      </c>
      <c r="AR773">
        <f t="shared" si="87"/>
        <v>209</v>
      </c>
      <c r="AS773" t="str">
        <f t="shared" si="88"/>
        <v>High Claim Ratio</v>
      </c>
      <c r="AT773" t="str">
        <f t="shared" si="89"/>
        <v>High Profit</v>
      </c>
    </row>
    <row r="774" spans="1:46" x14ac:dyDescent="0.2">
      <c r="A774">
        <v>210</v>
      </c>
      <c r="B774">
        <v>37</v>
      </c>
      <c r="C774">
        <v>389525</v>
      </c>
      <c r="D774" s="1">
        <v>41100</v>
      </c>
      <c r="E774" t="s">
        <v>39</v>
      </c>
      <c r="F774" t="s">
        <v>91</v>
      </c>
      <c r="G774">
        <v>500</v>
      </c>
      <c r="H774">
        <v>1467.76</v>
      </c>
      <c r="I774">
        <v>0</v>
      </c>
      <c r="J774">
        <v>601425</v>
      </c>
      <c r="K774" t="s">
        <v>70</v>
      </c>
      <c r="L774" t="s">
        <v>42</v>
      </c>
      <c r="M774" t="s">
        <v>97</v>
      </c>
      <c r="N774" t="s">
        <v>149</v>
      </c>
      <c r="O774" t="s">
        <v>74</v>
      </c>
      <c r="P774">
        <v>38700</v>
      </c>
      <c r="Q774">
        <v>-33100</v>
      </c>
      <c r="R774" s="1">
        <v>42057</v>
      </c>
      <c r="S774" t="s">
        <v>46</v>
      </c>
      <c r="T774" t="s">
        <v>86</v>
      </c>
      <c r="U774" t="s">
        <v>107</v>
      </c>
      <c r="V774" t="s">
        <v>136</v>
      </c>
      <c r="W774" t="s">
        <v>77</v>
      </c>
      <c r="X774" t="s">
        <v>127</v>
      </c>
      <c r="Y774" t="s">
        <v>951</v>
      </c>
      <c r="Z774">
        <v>8</v>
      </c>
      <c r="AA774">
        <v>1</v>
      </c>
      <c r="AB774" t="s">
        <v>62</v>
      </c>
      <c r="AC774">
        <v>1</v>
      </c>
      <c r="AD774">
        <v>3</v>
      </c>
      <c r="AE774" t="s">
        <v>53</v>
      </c>
      <c r="AF774">
        <v>63300</v>
      </c>
      <c r="AG774">
        <v>6330</v>
      </c>
      <c r="AH774">
        <v>6330</v>
      </c>
      <c r="AI774">
        <v>50640</v>
      </c>
      <c r="AJ774" t="s">
        <v>115</v>
      </c>
      <c r="AK774" t="s">
        <v>140</v>
      </c>
      <c r="AL774">
        <v>2000</v>
      </c>
      <c r="AM774" t="s">
        <v>82</v>
      </c>
      <c r="AN774" s="2">
        <f t="shared" si="84"/>
        <v>43.097578910101035</v>
      </c>
      <c r="AO774">
        <f t="shared" si="85"/>
        <v>-61832.24</v>
      </c>
      <c r="AP774" s="2">
        <f t="shared" si="86"/>
        <v>2.3186995466106381E-2</v>
      </c>
      <c r="AQ774" s="2">
        <f t="shared" si="90"/>
        <v>15</v>
      </c>
      <c r="AR774">
        <f t="shared" si="87"/>
        <v>210</v>
      </c>
      <c r="AS774" t="str">
        <f t="shared" si="88"/>
        <v>High Claim Ratio</v>
      </c>
      <c r="AT774" t="str">
        <f t="shared" si="89"/>
        <v>High Profit</v>
      </c>
    </row>
    <row r="775" spans="1:46" x14ac:dyDescent="0.2">
      <c r="A775">
        <v>174</v>
      </c>
      <c r="B775">
        <v>33</v>
      </c>
      <c r="C775">
        <v>179538</v>
      </c>
      <c r="D775" s="1">
        <v>41736</v>
      </c>
      <c r="E775" t="s">
        <v>57</v>
      </c>
      <c r="F775" t="s">
        <v>40</v>
      </c>
      <c r="G775">
        <v>2000</v>
      </c>
      <c r="H775">
        <v>1124.43</v>
      </c>
      <c r="I775">
        <v>0</v>
      </c>
      <c r="J775">
        <v>477346</v>
      </c>
      <c r="K775" t="s">
        <v>70</v>
      </c>
      <c r="L775" t="s">
        <v>141</v>
      </c>
      <c r="M775" t="s">
        <v>189</v>
      </c>
      <c r="N775" t="s">
        <v>165</v>
      </c>
      <c r="O775" t="s">
        <v>74</v>
      </c>
      <c r="P775">
        <v>0</v>
      </c>
      <c r="Q775">
        <v>0</v>
      </c>
      <c r="R775" s="1">
        <v>42020</v>
      </c>
      <c r="S775" t="s">
        <v>75</v>
      </c>
      <c r="T775" t="s">
        <v>76</v>
      </c>
      <c r="U775" t="s">
        <v>107</v>
      </c>
      <c r="V775" t="s">
        <v>136</v>
      </c>
      <c r="W775" t="s">
        <v>113</v>
      </c>
      <c r="X775" t="s">
        <v>156</v>
      </c>
      <c r="Y775" t="s">
        <v>952</v>
      </c>
      <c r="Z775">
        <v>14</v>
      </c>
      <c r="AA775">
        <v>3</v>
      </c>
      <c r="AB775" t="s">
        <v>53</v>
      </c>
      <c r="AC775">
        <v>0</v>
      </c>
      <c r="AD775">
        <v>1</v>
      </c>
      <c r="AE775" t="s">
        <v>53</v>
      </c>
      <c r="AF775">
        <v>44200</v>
      </c>
      <c r="AG775">
        <v>8840</v>
      </c>
      <c r="AH775">
        <v>4420</v>
      </c>
      <c r="AI775">
        <v>30940</v>
      </c>
      <c r="AJ775" t="s">
        <v>54</v>
      </c>
      <c r="AK775">
        <v>93</v>
      </c>
      <c r="AL775">
        <v>1995</v>
      </c>
      <c r="AM775" t="s">
        <v>82</v>
      </c>
      <c r="AN775" s="2">
        <f t="shared" si="84"/>
        <v>39.273877540140212</v>
      </c>
      <c r="AO775">
        <f t="shared" si="85"/>
        <v>-43075.57</v>
      </c>
      <c r="AP775" s="2">
        <f t="shared" si="86"/>
        <v>2.5439017216805051E-2</v>
      </c>
      <c r="AQ775" s="2">
        <f t="shared" si="90"/>
        <v>20</v>
      </c>
      <c r="AR775">
        <f t="shared" si="87"/>
        <v>174</v>
      </c>
      <c r="AS775" t="str">
        <f t="shared" si="88"/>
        <v>High Claim Ratio</v>
      </c>
      <c r="AT775" t="str">
        <f t="shared" si="89"/>
        <v>High Profit</v>
      </c>
    </row>
    <row r="776" spans="1:46" x14ac:dyDescent="0.2">
      <c r="A776">
        <v>70</v>
      </c>
      <c r="B776">
        <v>28</v>
      </c>
      <c r="C776">
        <v>265437</v>
      </c>
      <c r="D776" s="1">
        <v>37905</v>
      </c>
      <c r="E776" t="s">
        <v>83</v>
      </c>
      <c r="F776" t="s">
        <v>40</v>
      </c>
      <c r="G776">
        <v>1000</v>
      </c>
      <c r="H776">
        <v>1319.81</v>
      </c>
      <c r="I776">
        <v>0</v>
      </c>
      <c r="J776">
        <v>613587</v>
      </c>
      <c r="K776" t="s">
        <v>41</v>
      </c>
      <c r="L776" t="s">
        <v>131</v>
      </c>
      <c r="M776" t="s">
        <v>58</v>
      </c>
      <c r="N776" t="s">
        <v>155</v>
      </c>
      <c r="O776" t="s">
        <v>45</v>
      </c>
      <c r="P776">
        <v>67200</v>
      </c>
      <c r="Q776">
        <v>-59400</v>
      </c>
      <c r="R776" s="1">
        <v>42032</v>
      </c>
      <c r="S776" t="s">
        <v>75</v>
      </c>
      <c r="T776" t="s">
        <v>47</v>
      </c>
      <c r="U776" t="s">
        <v>63</v>
      </c>
      <c r="V776" t="s">
        <v>49</v>
      </c>
      <c r="W776" t="s">
        <v>113</v>
      </c>
      <c r="X776" t="s">
        <v>87</v>
      </c>
      <c r="Y776" t="s">
        <v>953</v>
      </c>
      <c r="Z776">
        <v>14</v>
      </c>
      <c r="AA776">
        <v>4</v>
      </c>
      <c r="AB776" t="s">
        <v>79</v>
      </c>
      <c r="AC776">
        <v>1</v>
      </c>
      <c r="AD776">
        <v>0</v>
      </c>
      <c r="AE776" t="s">
        <v>53</v>
      </c>
      <c r="AF776">
        <v>31680</v>
      </c>
      <c r="AG776">
        <v>3520</v>
      </c>
      <c r="AH776">
        <v>3520</v>
      </c>
      <c r="AI776">
        <v>24640</v>
      </c>
      <c r="AJ776" t="s">
        <v>115</v>
      </c>
      <c r="AK776" t="s">
        <v>116</v>
      </c>
      <c r="AL776">
        <v>2006</v>
      </c>
      <c r="AM776" t="s">
        <v>82</v>
      </c>
      <c r="AN776" s="2">
        <f t="shared" si="84"/>
        <v>23.985281758920664</v>
      </c>
      <c r="AO776">
        <f t="shared" si="85"/>
        <v>-30360.19</v>
      </c>
      <c r="AP776" s="2">
        <f t="shared" si="86"/>
        <v>4.1659354187052175E-2</v>
      </c>
      <c r="AQ776" s="2">
        <f t="shared" si="90"/>
        <v>9</v>
      </c>
      <c r="AR776">
        <f t="shared" si="87"/>
        <v>70</v>
      </c>
      <c r="AS776" t="str">
        <f t="shared" si="88"/>
        <v>High Claim Ratio</v>
      </c>
      <c r="AT776" t="str">
        <f t="shared" si="89"/>
        <v>High Profit</v>
      </c>
    </row>
    <row r="777" spans="1:46" x14ac:dyDescent="0.2">
      <c r="A777">
        <v>89</v>
      </c>
      <c r="B777">
        <v>32</v>
      </c>
      <c r="C777">
        <v>266247</v>
      </c>
      <c r="D777" s="1">
        <v>42021</v>
      </c>
      <c r="E777" t="s">
        <v>57</v>
      </c>
      <c r="F777" t="s">
        <v>69</v>
      </c>
      <c r="G777">
        <v>2000</v>
      </c>
      <c r="H777">
        <v>1482.53</v>
      </c>
      <c r="I777">
        <v>0</v>
      </c>
      <c r="J777">
        <v>620358</v>
      </c>
      <c r="K777" t="s">
        <v>70</v>
      </c>
      <c r="L777" t="s">
        <v>42</v>
      </c>
      <c r="M777" t="s">
        <v>97</v>
      </c>
      <c r="N777" t="s">
        <v>170</v>
      </c>
      <c r="O777" t="s">
        <v>142</v>
      </c>
      <c r="P777">
        <v>49100</v>
      </c>
      <c r="Q777">
        <v>-45100</v>
      </c>
      <c r="R777" s="1">
        <v>42027</v>
      </c>
      <c r="S777" t="s">
        <v>138</v>
      </c>
      <c r="T777" t="s">
        <v>62</v>
      </c>
      <c r="U777" t="s">
        <v>212</v>
      </c>
      <c r="V777" t="s">
        <v>49</v>
      </c>
      <c r="W777" t="s">
        <v>113</v>
      </c>
      <c r="X777" t="s">
        <v>156</v>
      </c>
      <c r="Y777" t="s">
        <v>954</v>
      </c>
      <c r="Z777">
        <v>5</v>
      </c>
      <c r="AA777">
        <v>1</v>
      </c>
      <c r="AB777" t="s">
        <v>53</v>
      </c>
      <c r="AC777">
        <v>1</v>
      </c>
      <c r="AD777">
        <v>2</v>
      </c>
      <c r="AE777" t="s">
        <v>62</v>
      </c>
      <c r="AF777">
        <v>100</v>
      </c>
      <c r="AG777">
        <v>10</v>
      </c>
      <c r="AH777">
        <v>20</v>
      </c>
      <c r="AI777">
        <v>70</v>
      </c>
      <c r="AJ777" t="s">
        <v>109</v>
      </c>
      <c r="AK777" t="s">
        <v>134</v>
      </c>
      <c r="AL777">
        <v>2002</v>
      </c>
      <c r="AM777" t="s">
        <v>82</v>
      </c>
      <c r="AN777" s="2">
        <f t="shared" si="84"/>
        <v>6.7406793256624409E-2</v>
      </c>
      <c r="AO777">
        <f t="shared" si="85"/>
        <v>1382.53</v>
      </c>
      <c r="AP777" s="2">
        <f t="shared" si="86"/>
        <v>14.678514851485149</v>
      </c>
      <c r="AQ777" s="2">
        <f t="shared" si="90"/>
        <v>13</v>
      </c>
      <c r="AR777">
        <f t="shared" si="87"/>
        <v>89</v>
      </c>
      <c r="AS777" t="str">
        <f t="shared" si="88"/>
        <v>Low Claim Ratio</v>
      </c>
      <c r="AT777" t="str">
        <f t="shared" si="89"/>
        <v>Loss Making</v>
      </c>
    </row>
    <row r="778" spans="1:46" x14ac:dyDescent="0.2">
      <c r="A778">
        <v>458</v>
      </c>
      <c r="B778">
        <v>61</v>
      </c>
      <c r="C778">
        <v>921851</v>
      </c>
      <c r="D778" s="1">
        <v>33945</v>
      </c>
      <c r="E778" t="s">
        <v>57</v>
      </c>
      <c r="F778" t="s">
        <v>69</v>
      </c>
      <c r="G778">
        <v>1000</v>
      </c>
      <c r="H778">
        <v>1328.18</v>
      </c>
      <c r="I778">
        <v>0</v>
      </c>
      <c r="J778">
        <v>617699</v>
      </c>
      <c r="K778" t="s">
        <v>70</v>
      </c>
      <c r="L778" t="s">
        <v>131</v>
      </c>
      <c r="M778" t="s">
        <v>135</v>
      </c>
      <c r="N778" t="s">
        <v>98</v>
      </c>
      <c r="O778" t="s">
        <v>60</v>
      </c>
      <c r="P778">
        <v>53000</v>
      </c>
      <c r="Q778">
        <v>0</v>
      </c>
      <c r="R778" s="1">
        <v>42060</v>
      </c>
      <c r="S778" t="s">
        <v>46</v>
      </c>
      <c r="T778" t="s">
        <v>86</v>
      </c>
      <c r="U778" t="s">
        <v>63</v>
      </c>
      <c r="V778" t="s">
        <v>99</v>
      </c>
      <c r="W778" t="s">
        <v>113</v>
      </c>
      <c r="X778" t="s">
        <v>51</v>
      </c>
      <c r="Y778" t="s">
        <v>955</v>
      </c>
      <c r="Z778">
        <v>18</v>
      </c>
      <c r="AA778">
        <v>1</v>
      </c>
      <c r="AB778" t="s">
        <v>79</v>
      </c>
      <c r="AC778">
        <v>2</v>
      </c>
      <c r="AD778">
        <v>1</v>
      </c>
      <c r="AE778" t="s">
        <v>79</v>
      </c>
      <c r="AF778">
        <v>56340</v>
      </c>
      <c r="AG778">
        <v>6260</v>
      </c>
      <c r="AH778">
        <v>6260</v>
      </c>
      <c r="AI778">
        <v>43820</v>
      </c>
      <c r="AJ778" t="s">
        <v>214</v>
      </c>
      <c r="AK778" t="s">
        <v>215</v>
      </c>
      <c r="AL778">
        <v>2003</v>
      </c>
      <c r="AM778" t="s">
        <v>82</v>
      </c>
      <c r="AN778" s="2">
        <f t="shared" si="84"/>
        <v>42.38703561594366</v>
      </c>
      <c r="AO778">
        <f t="shared" si="85"/>
        <v>-55011.82</v>
      </c>
      <c r="AP778" s="2">
        <f t="shared" si="86"/>
        <v>2.3573951474059746E-2</v>
      </c>
      <c r="AQ778" s="2">
        <f t="shared" si="90"/>
        <v>12</v>
      </c>
      <c r="AR778">
        <f t="shared" si="87"/>
        <v>458</v>
      </c>
      <c r="AS778" t="str">
        <f t="shared" si="88"/>
        <v>High Claim Ratio</v>
      </c>
      <c r="AT778" t="str">
        <f t="shared" si="89"/>
        <v>High Profit</v>
      </c>
    </row>
    <row r="779" spans="1:46" x14ac:dyDescent="0.2">
      <c r="A779">
        <v>239</v>
      </c>
      <c r="B779">
        <v>40</v>
      </c>
      <c r="C779">
        <v>488724</v>
      </c>
      <c r="D779" s="1">
        <v>38320</v>
      </c>
      <c r="E779" t="s">
        <v>57</v>
      </c>
      <c r="F779" t="s">
        <v>69</v>
      </c>
      <c r="G779">
        <v>500</v>
      </c>
      <c r="H779">
        <v>1463.95</v>
      </c>
      <c r="I779">
        <v>0</v>
      </c>
      <c r="J779">
        <v>430567</v>
      </c>
      <c r="K779" t="s">
        <v>70</v>
      </c>
      <c r="L779" t="s">
        <v>161</v>
      </c>
      <c r="M779" t="s">
        <v>72</v>
      </c>
      <c r="N779" t="s">
        <v>132</v>
      </c>
      <c r="O779" t="s">
        <v>74</v>
      </c>
      <c r="P779">
        <v>0</v>
      </c>
      <c r="Q779">
        <v>0</v>
      </c>
      <c r="R779" s="1">
        <v>42046</v>
      </c>
      <c r="S779" t="s">
        <v>75</v>
      </c>
      <c r="T779" t="s">
        <v>76</v>
      </c>
      <c r="U779" t="s">
        <v>107</v>
      </c>
      <c r="V779" t="s">
        <v>49</v>
      </c>
      <c r="W779" t="s">
        <v>121</v>
      </c>
      <c r="X779" t="s">
        <v>102</v>
      </c>
      <c r="Y779" t="s">
        <v>956</v>
      </c>
      <c r="Z779">
        <v>20</v>
      </c>
      <c r="AA779">
        <v>3</v>
      </c>
      <c r="AB779" t="s">
        <v>62</v>
      </c>
      <c r="AC779">
        <v>0</v>
      </c>
      <c r="AD779">
        <v>0</v>
      </c>
      <c r="AE779" t="s">
        <v>53</v>
      </c>
      <c r="AF779">
        <v>69740</v>
      </c>
      <c r="AG779">
        <v>6340</v>
      </c>
      <c r="AH779">
        <v>6340</v>
      </c>
      <c r="AI779">
        <v>57060</v>
      </c>
      <c r="AJ779" t="s">
        <v>80</v>
      </c>
      <c r="AK779" t="s">
        <v>144</v>
      </c>
      <c r="AL779">
        <v>2003</v>
      </c>
      <c r="AM779" t="s">
        <v>82</v>
      </c>
      <c r="AN779" s="2">
        <f t="shared" si="84"/>
        <v>47.605720331751932</v>
      </c>
      <c r="AO779">
        <f t="shared" si="85"/>
        <v>-68276.05</v>
      </c>
      <c r="AP779" s="2">
        <f t="shared" si="86"/>
        <v>2.099123901291923E-2</v>
      </c>
      <c r="AQ779" s="2">
        <f t="shared" si="90"/>
        <v>12</v>
      </c>
      <c r="AR779">
        <f t="shared" si="87"/>
        <v>239</v>
      </c>
      <c r="AS779" t="str">
        <f t="shared" si="88"/>
        <v>High Claim Ratio</v>
      </c>
      <c r="AT779" t="str">
        <f t="shared" si="89"/>
        <v>High Profit</v>
      </c>
    </row>
    <row r="780" spans="1:46" x14ac:dyDescent="0.2">
      <c r="A780">
        <v>161</v>
      </c>
      <c r="B780">
        <v>38</v>
      </c>
      <c r="C780">
        <v>192524</v>
      </c>
      <c r="D780" s="1">
        <v>37988</v>
      </c>
      <c r="E780" t="s">
        <v>83</v>
      </c>
      <c r="F780" t="s">
        <v>69</v>
      </c>
      <c r="G780">
        <v>2000</v>
      </c>
      <c r="H780">
        <v>1133.8499999999999</v>
      </c>
      <c r="I780">
        <v>0</v>
      </c>
      <c r="J780">
        <v>439870</v>
      </c>
      <c r="K780" t="s">
        <v>41</v>
      </c>
      <c r="L780" t="s">
        <v>71</v>
      </c>
      <c r="M780" t="s">
        <v>117</v>
      </c>
      <c r="N780" t="s">
        <v>264</v>
      </c>
      <c r="O780" t="s">
        <v>142</v>
      </c>
      <c r="P780">
        <v>60200</v>
      </c>
      <c r="Q780">
        <v>0</v>
      </c>
      <c r="R780" s="1">
        <v>42007</v>
      </c>
      <c r="S780" t="s">
        <v>75</v>
      </c>
      <c r="T780" t="s">
        <v>86</v>
      </c>
      <c r="U780" t="s">
        <v>107</v>
      </c>
      <c r="V780" t="s">
        <v>49</v>
      </c>
      <c r="W780" t="s">
        <v>113</v>
      </c>
      <c r="X780" t="s">
        <v>102</v>
      </c>
      <c r="Y780" t="s">
        <v>957</v>
      </c>
      <c r="Z780">
        <v>0</v>
      </c>
      <c r="AA780">
        <v>3</v>
      </c>
      <c r="AB780" t="s">
        <v>53</v>
      </c>
      <c r="AC780">
        <v>2</v>
      </c>
      <c r="AD780">
        <v>2</v>
      </c>
      <c r="AE780" t="s">
        <v>53</v>
      </c>
      <c r="AF780">
        <v>60480</v>
      </c>
      <c r="AG780">
        <v>5040</v>
      </c>
      <c r="AH780">
        <v>15120</v>
      </c>
      <c r="AI780">
        <v>40320</v>
      </c>
      <c r="AJ780" t="s">
        <v>214</v>
      </c>
      <c r="AK780" t="s">
        <v>258</v>
      </c>
      <c r="AL780">
        <v>2003</v>
      </c>
      <c r="AM780" t="s">
        <v>82</v>
      </c>
      <c r="AN780" s="2">
        <f t="shared" si="84"/>
        <v>53.29338679120589</v>
      </c>
      <c r="AO780">
        <f t="shared" si="85"/>
        <v>-59346.15</v>
      </c>
      <c r="AP780" s="2">
        <f t="shared" si="86"/>
        <v>1.8747209867561711E-2</v>
      </c>
      <c r="AQ780" s="2">
        <f t="shared" si="90"/>
        <v>12</v>
      </c>
      <c r="AR780">
        <f t="shared" si="87"/>
        <v>161</v>
      </c>
      <c r="AS780" t="str">
        <f t="shared" si="88"/>
        <v>High Claim Ratio</v>
      </c>
      <c r="AT780" t="str">
        <f t="shared" si="89"/>
        <v>High Profit</v>
      </c>
    </row>
    <row r="781" spans="1:46" x14ac:dyDescent="0.2">
      <c r="A781">
        <v>446</v>
      </c>
      <c r="B781">
        <v>61</v>
      </c>
      <c r="C781">
        <v>338070</v>
      </c>
      <c r="D781" s="1">
        <v>38742</v>
      </c>
      <c r="E781" t="s">
        <v>57</v>
      </c>
      <c r="F781" t="s">
        <v>91</v>
      </c>
      <c r="G781">
        <v>1000</v>
      </c>
      <c r="H781">
        <v>1037.32</v>
      </c>
      <c r="I781">
        <v>0</v>
      </c>
      <c r="J781">
        <v>438837</v>
      </c>
      <c r="K781" t="s">
        <v>70</v>
      </c>
      <c r="L781" t="s">
        <v>131</v>
      </c>
      <c r="M781" t="s">
        <v>97</v>
      </c>
      <c r="N781" t="s">
        <v>132</v>
      </c>
      <c r="O781" t="s">
        <v>119</v>
      </c>
      <c r="P781">
        <v>0</v>
      </c>
      <c r="Q781">
        <v>-15700</v>
      </c>
      <c r="R781" s="1">
        <v>42034</v>
      </c>
      <c r="S781" t="s">
        <v>75</v>
      </c>
      <c r="T781" t="s">
        <v>76</v>
      </c>
      <c r="U781" t="s">
        <v>63</v>
      </c>
      <c r="V781" t="s">
        <v>49</v>
      </c>
      <c r="W781" t="s">
        <v>121</v>
      </c>
      <c r="X781" t="s">
        <v>122</v>
      </c>
      <c r="Y781" t="s">
        <v>958</v>
      </c>
      <c r="Z781">
        <v>1</v>
      </c>
      <c r="AA781">
        <v>3</v>
      </c>
      <c r="AB781" t="s">
        <v>62</v>
      </c>
      <c r="AC781">
        <v>2</v>
      </c>
      <c r="AD781">
        <v>1</v>
      </c>
      <c r="AE781" t="s">
        <v>79</v>
      </c>
      <c r="AF781">
        <v>80880</v>
      </c>
      <c r="AG781">
        <v>6740</v>
      </c>
      <c r="AH781">
        <v>13480</v>
      </c>
      <c r="AI781">
        <v>60660</v>
      </c>
      <c r="AJ781" t="s">
        <v>104</v>
      </c>
      <c r="AK781" t="s">
        <v>287</v>
      </c>
      <c r="AL781">
        <v>2005</v>
      </c>
      <c r="AM781" t="s">
        <v>82</v>
      </c>
      <c r="AN781" s="2">
        <f t="shared" si="84"/>
        <v>77.895061252792985</v>
      </c>
      <c r="AO781">
        <f t="shared" si="85"/>
        <v>-79842.679999999993</v>
      </c>
      <c r="AP781" s="2">
        <f t="shared" si="86"/>
        <v>1.2825261804379273E-2</v>
      </c>
      <c r="AQ781" s="2">
        <f t="shared" si="90"/>
        <v>10</v>
      </c>
      <c r="AR781">
        <f t="shared" si="87"/>
        <v>446</v>
      </c>
      <c r="AS781" t="str">
        <f t="shared" si="88"/>
        <v>High Claim Ratio</v>
      </c>
      <c r="AT781" t="str">
        <f t="shared" si="89"/>
        <v>High Profit</v>
      </c>
    </row>
    <row r="782" spans="1:46" x14ac:dyDescent="0.2">
      <c r="A782">
        <v>476</v>
      </c>
      <c r="B782">
        <v>61</v>
      </c>
      <c r="C782">
        <v>865607</v>
      </c>
      <c r="D782" s="1">
        <v>34077</v>
      </c>
      <c r="E782" t="s">
        <v>57</v>
      </c>
      <c r="F782" t="s">
        <v>40</v>
      </c>
      <c r="G782">
        <v>1000</v>
      </c>
      <c r="H782">
        <v>1562.8</v>
      </c>
      <c r="I782">
        <v>0</v>
      </c>
      <c r="J782">
        <v>458997</v>
      </c>
      <c r="K782" t="s">
        <v>70</v>
      </c>
      <c r="L782" t="s">
        <v>124</v>
      </c>
      <c r="M782" t="s">
        <v>159</v>
      </c>
      <c r="N782" t="s">
        <v>126</v>
      </c>
      <c r="O782" t="s">
        <v>142</v>
      </c>
      <c r="P782">
        <v>42800</v>
      </c>
      <c r="Q782">
        <v>-68200</v>
      </c>
      <c r="R782" s="1">
        <v>42022</v>
      </c>
      <c r="S782" t="s">
        <v>46</v>
      </c>
      <c r="T782" t="s">
        <v>86</v>
      </c>
      <c r="U782" t="s">
        <v>107</v>
      </c>
      <c r="V782" t="s">
        <v>99</v>
      </c>
      <c r="W782" t="s">
        <v>113</v>
      </c>
      <c r="X782" t="s">
        <v>122</v>
      </c>
      <c r="Y782" t="s">
        <v>959</v>
      </c>
      <c r="Z782">
        <v>10</v>
      </c>
      <c r="AA782">
        <v>1</v>
      </c>
      <c r="AB782" t="s">
        <v>62</v>
      </c>
      <c r="AC782">
        <v>1</v>
      </c>
      <c r="AD782">
        <v>2</v>
      </c>
      <c r="AE782" t="s">
        <v>53</v>
      </c>
      <c r="AF782">
        <v>49390</v>
      </c>
      <c r="AG782">
        <v>8980</v>
      </c>
      <c r="AH782">
        <v>4490</v>
      </c>
      <c r="AI782">
        <v>35920</v>
      </c>
      <c r="AJ782" t="s">
        <v>153</v>
      </c>
      <c r="AK782" t="s">
        <v>154</v>
      </c>
      <c r="AL782">
        <v>2009</v>
      </c>
      <c r="AM782" t="s">
        <v>82</v>
      </c>
      <c r="AN782" s="2">
        <f t="shared" si="84"/>
        <v>31.583322675533957</v>
      </c>
      <c r="AO782">
        <f t="shared" si="85"/>
        <v>-47827.199999999997</v>
      </c>
      <c r="AP782" s="2">
        <f t="shared" si="86"/>
        <v>3.1641392156465754E-2</v>
      </c>
      <c r="AQ782" s="2">
        <f t="shared" si="90"/>
        <v>6</v>
      </c>
      <c r="AR782">
        <f t="shared" si="87"/>
        <v>476</v>
      </c>
      <c r="AS782" t="str">
        <f t="shared" si="88"/>
        <v>High Claim Ratio</v>
      </c>
      <c r="AT782" t="str">
        <f t="shared" si="89"/>
        <v>High Profit</v>
      </c>
    </row>
    <row r="783" spans="1:46" x14ac:dyDescent="0.2">
      <c r="A783">
        <v>70</v>
      </c>
      <c r="B783">
        <v>29</v>
      </c>
      <c r="C783">
        <v>963285</v>
      </c>
      <c r="D783" s="1">
        <v>39060</v>
      </c>
      <c r="E783" t="s">
        <v>57</v>
      </c>
      <c r="F783" t="s">
        <v>69</v>
      </c>
      <c r="G783">
        <v>1000</v>
      </c>
      <c r="H783">
        <v>1425.79</v>
      </c>
      <c r="I783">
        <v>0</v>
      </c>
      <c r="J783">
        <v>604147</v>
      </c>
      <c r="K783" t="s">
        <v>70</v>
      </c>
      <c r="L783" t="s">
        <v>42</v>
      </c>
      <c r="M783" t="s">
        <v>84</v>
      </c>
      <c r="N783" t="s">
        <v>181</v>
      </c>
      <c r="O783" t="s">
        <v>60</v>
      </c>
      <c r="P783">
        <v>62400</v>
      </c>
      <c r="Q783">
        <v>-52300</v>
      </c>
      <c r="R783" s="1">
        <v>42008</v>
      </c>
      <c r="S783" t="s">
        <v>46</v>
      </c>
      <c r="T783" t="s">
        <v>86</v>
      </c>
      <c r="U783" t="s">
        <v>63</v>
      </c>
      <c r="V783" t="s">
        <v>136</v>
      </c>
      <c r="W783" t="s">
        <v>121</v>
      </c>
      <c r="X783" t="s">
        <v>65</v>
      </c>
      <c r="Y783" t="s">
        <v>960</v>
      </c>
      <c r="Z783">
        <v>12</v>
      </c>
      <c r="AA783">
        <v>1</v>
      </c>
      <c r="AB783" t="s">
        <v>79</v>
      </c>
      <c r="AC783">
        <v>0</v>
      </c>
      <c r="AD783">
        <v>3</v>
      </c>
      <c r="AE783" t="s">
        <v>62</v>
      </c>
      <c r="AF783">
        <v>69360</v>
      </c>
      <c r="AG783">
        <v>11560</v>
      </c>
      <c r="AH783">
        <v>11560</v>
      </c>
      <c r="AI783">
        <v>46240</v>
      </c>
      <c r="AJ783" t="s">
        <v>80</v>
      </c>
      <c r="AK783" t="s">
        <v>81</v>
      </c>
      <c r="AL783">
        <v>2009</v>
      </c>
      <c r="AM783" t="s">
        <v>82</v>
      </c>
      <c r="AN783" s="2">
        <f t="shared" si="84"/>
        <v>48.612619937061517</v>
      </c>
      <c r="AO783">
        <f t="shared" si="85"/>
        <v>-67934.210000000006</v>
      </c>
      <c r="AP783" s="2">
        <f t="shared" si="86"/>
        <v>2.0556076181139256E-2</v>
      </c>
      <c r="AQ783" s="2">
        <f t="shared" si="90"/>
        <v>6</v>
      </c>
      <c r="AR783">
        <f t="shared" si="87"/>
        <v>70</v>
      </c>
      <c r="AS783" t="str">
        <f t="shared" si="88"/>
        <v>High Claim Ratio</v>
      </c>
      <c r="AT783" t="str">
        <f t="shared" si="89"/>
        <v>High Profit</v>
      </c>
    </row>
    <row r="784" spans="1:46" x14ac:dyDescent="0.2">
      <c r="A784">
        <v>233</v>
      </c>
      <c r="B784">
        <v>41</v>
      </c>
      <c r="C784">
        <v>728491</v>
      </c>
      <c r="D784" s="1">
        <v>35672</v>
      </c>
      <c r="E784" t="s">
        <v>39</v>
      </c>
      <c r="F784" t="s">
        <v>91</v>
      </c>
      <c r="G784">
        <v>2000</v>
      </c>
      <c r="H784">
        <v>1615.14</v>
      </c>
      <c r="I784">
        <v>0</v>
      </c>
      <c r="J784">
        <v>606638</v>
      </c>
      <c r="K784" t="s">
        <v>70</v>
      </c>
      <c r="L784" t="s">
        <v>92</v>
      </c>
      <c r="M784" t="s">
        <v>97</v>
      </c>
      <c r="N784" t="s">
        <v>73</v>
      </c>
      <c r="O784" t="s">
        <v>60</v>
      </c>
      <c r="P784">
        <v>67100</v>
      </c>
      <c r="Q784">
        <v>0</v>
      </c>
      <c r="R784" s="1">
        <v>42024</v>
      </c>
      <c r="S784" t="s">
        <v>61</v>
      </c>
      <c r="T784" t="s">
        <v>62</v>
      </c>
      <c r="U784" t="s">
        <v>63</v>
      </c>
      <c r="V784" t="s">
        <v>93</v>
      </c>
      <c r="W784" t="s">
        <v>77</v>
      </c>
      <c r="X784" t="s">
        <v>102</v>
      </c>
      <c r="Y784" t="s">
        <v>961</v>
      </c>
      <c r="Z784">
        <v>6</v>
      </c>
      <c r="AA784">
        <v>1</v>
      </c>
      <c r="AB784" t="s">
        <v>79</v>
      </c>
      <c r="AC784">
        <v>0</v>
      </c>
      <c r="AD784">
        <v>1</v>
      </c>
      <c r="AE784" t="s">
        <v>62</v>
      </c>
      <c r="AF784">
        <v>3740</v>
      </c>
      <c r="AG784">
        <v>680</v>
      </c>
      <c r="AH784">
        <v>680</v>
      </c>
      <c r="AI784">
        <v>2380</v>
      </c>
      <c r="AJ784" t="s">
        <v>89</v>
      </c>
      <c r="AK784" t="s">
        <v>245</v>
      </c>
      <c r="AL784">
        <v>2011</v>
      </c>
      <c r="AM784" t="s">
        <v>82</v>
      </c>
      <c r="AN784" s="2">
        <f t="shared" si="84"/>
        <v>2.3141559518358559</v>
      </c>
      <c r="AO784">
        <f t="shared" si="85"/>
        <v>-2124.8599999999997</v>
      </c>
      <c r="AP784" s="2">
        <f t="shared" si="86"/>
        <v>0.43174017642341622</v>
      </c>
      <c r="AQ784" s="2">
        <f t="shared" si="90"/>
        <v>4</v>
      </c>
      <c r="AR784">
        <f t="shared" si="87"/>
        <v>233</v>
      </c>
      <c r="AS784" t="str">
        <f t="shared" si="88"/>
        <v>Low Claim Ratio</v>
      </c>
      <c r="AT784" t="str">
        <f t="shared" si="89"/>
        <v>Low Profit</v>
      </c>
    </row>
    <row r="785" spans="1:46" x14ac:dyDescent="0.2">
      <c r="A785">
        <v>122</v>
      </c>
      <c r="B785">
        <v>33</v>
      </c>
      <c r="C785">
        <v>553436</v>
      </c>
      <c r="D785" s="1">
        <v>33392</v>
      </c>
      <c r="E785" t="s">
        <v>83</v>
      </c>
      <c r="F785" t="s">
        <v>40</v>
      </c>
      <c r="G785">
        <v>500</v>
      </c>
      <c r="H785">
        <v>1236.5</v>
      </c>
      <c r="I785">
        <v>0</v>
      </c>
      <c r="J785">
        <v>619620</v>
      </c>
      <c r="K785" t="s">
        <v>41</v>
      </c>
      <c r="L785" t="s">
        <v>71</v>
      </c>
      <c r="M785" t="s">
        <v>111</v>
      </c>
      <c r="N785" t="s">
        <v>98</v>
      </c>
      <c r="O785" t="s">
        <v>45</v>
      </c>
      <c r="P785">
        <v>0</v>
      </c>
      <c r="Q785">
        <v>-48700</v>
      </c>
      <c r="R785" s="1">
        <v>42047</v>
      </c>
      <c r="S785" t="s">
        <v>138</v>
      </c>
      <c r="T785" t="s">
        <v>62</v>
      </c>
      <c r="U785" t="s">
        <v>212</v>
      </c>
      <c r="V785" t="s">
        <v>93</v>
      </c>
      <c r="W785" t="s">
        <v>77</v>
      </c>
      <c r="X785" t="s">
        <v>122</v>
      </c>
      <c r="Y785" t="s">
        <v>962</v>
      </c>
      <c r="Z785">
        <v>1</v>
      </c>
      <c r="AA785">
        <v>1</v>
      </c>
      <c r="AB785" t="s">
        <v>79</v>
      </c>
      <c r="AC785">
        <v>0</v>
      </c>
      <c r="AD785">
        <v>1</v>
      </c>
      <c r="AE785" t="s">
        <v>79</v>
      </c>
      <c r="AF785">
        <v>5060</v>
      </c>
      <c r="AG785">
        <v>460</v>
      </c>
      <c r="AH785">
        <v>920</v>
      </c>
      <c r="AI785">
        <v>3680</v>
      </c>
      <c r="AJ785" t="s">
        <v>104</v>
      </c>
      <c r="AK785" t="s">
        <v>287</v>
      </c>
      <c r="AL785">
        <v>2003</v>
      </c>
      <c r="AM785" t="s">
        <v>82</v>
      </c>
      <c r="AN785" s="2">
        <f t="shared" si="84"/>
        <v>4.0888888888888886</v>
      </c>
      <c r="AO785">
        <f t="shared" si="85"/>
        <v>-3823.5</v>
      </c>
      <c r="AP785" s="2">
        <f t="shared" si="86"/>
        <v>0.24431930448527958</v>
      </c>
      <c r="AQ785" s="2">
        <f t="shared" si="90"/>
        <v>12</v>
      </c>
      <c r="AR785">
        <f t="shared" si="87"/>
        <v>122</v>
      </c>
      <c r="AS785" t="str">
        <f t="shared" si="88"/>
        <v>Low Claim Ratio</v>
      </c>
      <c r="AT785" t="str">
        <f t="shared" si="89"/>
        <v>Low Profit</v>
      </c>
    </row>
    <row r="786" spans="1:46" x14ac:dyDescent="0.2">
      <c r="A786">
        <v>335</v>
      </c>
      <c r="B786">
        <v>48</v>
      </c>
      <c r="C786">
        <v>440616</v>
      </c>
      <c r="D786" s="1">
        <v>34948</v>
      </c>
      <c r="E786" t="s">
        <v>83</v>
      </c>
      <c r="F786" t="s">
        <v>91</v>
      </c>
      <c r="G786">
        <v>2000</v>
      </c>
      <c r="H786">
        <v>1017.97</v>
      </c>
      <c r="I786">
        <v>0</v>
      </c>
      <c r="J786">
        <v>441671</v>
      </c>
      <c r="K786" t="s">
        <v>70</v>
      </c>
      <c r="L786" t="s">
        <v>42</v>
      </c>
      <c r="M786" t="s">
        <v>58</v>
      </c>
      <c r="N786" t="s">
        <v>168</v>
      </c>
      <c r="O786" t="s">
        <v>119</v>
      </c>
      <c r="P786">
        <v>59900</v>
      </c>
      <c r="Q786">
        <v>-34800</v>
      </c>
      <c r="R786" s="1">
        <v>42054</v>
      </c>
      <c r="S786" t="s">
        <v>75</v>
      </c>
      <c r="T786" t="s">
        <v>86</v>
      </c>
      <c r="U786" t="s">
        <v>107</v>
      </c>
      <c r="V786" t="s">
        <v>49</v>
      </c>
      <c r="W786" t="s">
        <v>113</v>
      </c>
      <c r="X786" t="s">
        <v>51</v>
      </c>
      <c r="Y786" t="s">
        <v>963</v>
      </c>
      <c r="Z786">
        <v>21</v>
      </c>
      <c r="AA786">
        <v>3</v>
      </c>
      <c r="AB786" t="s">
        <v>79</v>
      </c>
      <c r="AC786">
        <v>0</v>
      </c>
      <c r="AD786">
        <v>0</v>
      </c>
      <c r="AE786" t="s">
        <v>53</v>
      </c>
      <c r="AF786">
        <v>35860</v>
      </c>
      <c r="AG786">
        <v>3260</v>
      </c>
      <c r="AH786">
        <v>6520</v>
      </c>
      <c r="AI786">
        <v>26080</v>
      </c>
      <c r="AJ786" t="s">
        <v>187</v>
      </c>
      <c r="AK786" t="s">
        <v>203</v>
      </c>
      <c r="AL786">
        <v>2005</v>
      </c>
      <c r="AM786" t="s">
        <v>56</v>
      </c>
      <c r="AN786" s="2">
        <f t="shared" si="84"/>
        <v>35.192400168797903</v>
      </c>
      <c r="AO786">
        <f t="shared" si="85"/>
        <v>-34842.03</v>
      </c>
      <c r="AP786" s="2">
        <f t="shared" si="86"/>
        <v>2.8386548060567191E-2</v>
      </c>
      <c r="AQ786" s="2">
        <f t="shared" si="90"/>
        <v>10</v>
      </c>
      <c r="AR786">
        <f t="shared" si="87"/>
        <v>335</v>
      </c>
      <c r="AS786" t="str">
        <f t="shared" si="88"/>
        <v>High Claim Ratio</v>
      </c>
      <c r="AT786" t="str">
        <f t="shared" si="89"/>
        <v>High Profit</v>
      </c>
    </row>
    <row r="787" spans="1:46" x14ac:dyDescent="0.2">
      <c r="A787">
        <v>257</v>
      </c>
      <c r="B787">
        <v>40</v>
      </c>
      <c r="C787">
        <v>463237</v>
      </c>
      <c r="D787" s="1">
        <v>36565</v>
      </c>
      <c r="E787" t="s">
        <v>57</v>
      </c>
      <c r="F787" t="s">
        <v>69</v>
      </c>
      <c r="G787">
        <v>2000</v>
      </c>
      <c r="H787">
        <v>1306</v>
      </c>
      <c r="I787">
        <v>0</v>
      </c>
      <c r="J787">
        <v>610381</v>
      </c>
      <c r="K787" t="s">
        <v>41</v>
      </c>
      <c r="L787" t="s">
        <v>92</v>
      </c>
      <c r="M787" t="s">
        <v>58</v>
      </c>
      <c r="N787" t="s">
        <v>242</v>
      </c>
      <c r="O787" t="s">
        <v>45</v>
      </c>
      <c r="P787">
        <v>46100</v>
      </c>
      <c r="Q787">
        <v>-46900</v>
      </c>
      <c r="R787" s="1">
        <v>42056</v>
      </c>
      <c r="S787" t="s">
        <v>75</v>
      </c>
      <c r="T787" t="s">
        <v>86</v>
      </c>
      <c r="U787" t="s">
        <v>48</v>
      </c>
      <c r="V787" t="s">
        <v>136</v>
      </c>
      <c r="W787" t="s">
        <v>77</v>
      </c>
      <c r="X787" t="s">
        <v>51</v>
      </c>
      <c r="Y787" t="s">
        <v>964</v>
      </c>
      <c r="Z787">
        <v>3</v>
      </c>
      <c r="AA787">
        <v>3</v>
      </c>
      <c r="AB787" t="s">
        <v>53</v>
      </c>
      <c r="AC787">
        <v>2</v>
      </c>
      <c r="AD787">
        <v>1</v>
      </c>
      <c r="AE787" t="s">
        <v>62</v>
      </c>
      <c r="AF787">
        <v>50050</v>
      </c>
      <c r="AG787">
        <v>7700</v>
      </c>
      <c r="AH787">
        <v>3850</v>
      </c>
      <c r="AI787">
        <v>38500</v>
      </c>
      <c r="AJ787" t="s">
        <v>129</v>
      </c>
      <c r="AK787" t="s">
        <v>249</v>
      </c>
      <c r="AL787">
        <v>2008</v>
      </c>
      <c r="AM787" t="s">
        <v>56</v>
      </c>
      <c r="AN787" s="2">
        <f t="shared" si="84"/>
        <v>38.293802601377202</v>
      </c>
      <c r="AO787">
        <f t="shared" si="85"/>
        <v>-48744</v>
      </c>
      <c r="AP787" s="2">
        <f t="shared" si="86"/>
        <v>2.6093384747557492E-2</v>
      </c>
      <c r="AQ787" s="2">
        <f t="shared" si="90"/>
        <v>7</v>
      </c>
      <c r="AR787">
        <f t="shared" si="87"/>
        <v>257</v>
      </c>
      <c r="AS787" t="str">
        <f t="shared" si="88"/>
        <v>High Claim Ratio</v>
      </c>
      <c r="AT787" t="str">
        <f t="shared" si="89"/>
        <v>High Profit</v>
      </c>
    </row>
    <row r="788" spans="1:46" x14ac:dyDescent="0.2">
      <c r="A788">
        <v>85</v>
      </c>
      <c r="B788">
        <v>27</v>
      </c>
      <c r="C788">
        <v>753452</v>
      </c>
      <c r="D788" s="1">
        <v>35269</v>
      </c>
      <c r="E788" t="s">
        <v>83</v>
      </c>
      <c r="F788" t="s">
        <v>91</v>
      </c>
      <c r="G788">
        <v>2000</v>
      </c>
      <c r="H788">
        <v>1174.1400000000001</v>
      </c>
      <c r="I788">
        <v>0</v>
      </c>
      <c r="J788">
        <v>602416</v>
      </c>
      <c r="K788" t="s">
        <v>41</v>
      </c>
      <c r="L788" t="s">
        <v>141</v>
      </c>
      <c r="M788" t="s">
        <v>117</v>
      </c>
      <c r="N788" t="s">
        <v>126</v>
      </c>
      <c r="O788" t="s">
        <v>85</v>
      </c>
      <c r="P788">
        <v>50400</v>
      </c>
      <c r="Q788">
        <v>-61500</v>
      </c>
      <c r="R788" s="1">
        <v>42037</v>
      </c>
      <c r="S788" t="s">
        <v>75</v>
      </c>
      <c r="T788" t="s">
        <v>76</v>
      </c>
      <c r="U788" t="s">
        <v>63</v>
      </c>
      <c r="V788" t="s">
        <v>99</v>
      </c>
      <c r="W788" t="s">
        <v>77</v>
      </c>
      <c r="X788" t="s">
        <v>127</v>
      </c>
      <c r="Y788" t="s">
        <v>965</v>
      </c>
      <c r="Z788">
        <v>14</v>
      </c>
      <c r="AA788">
        <v>4</v>
      </c>
      <c r="AB788" t="s">
        <v>53</v>
      </c>
      <c r="AC788">
        <v>0</v>
      </c>
      <c r="AD788">
        <v>0</v>
      </c>
      <c r="AE788" t="s">
        <v>79</v>
      </c>
      <c r="AF788">
        <v>59070</v>
      </c>
      <c r="AG788">
        <v>10740</v>
      </c>
      <c r="AH788">
        <v>5370</v>
      </c>
      <c r="AI788">
        <v>42960</v>
      </c>
      <c r="AJ788" t="s">
        <v>115</v>
      </c>
      <c r="AK788" t="s">
        <v>116</v>
      </c>
      <c r="AL788">
        <v>2012</v>
      </c>
      <c r="AM788" t="s">
        <v>82</v>
      </c>
      <c r="AN788" s="2">
        <f t="shared" si="84"/>
        <v>50.266351243256118</v>
      </c>
      <c r="AO788">
        <f t="shared" si="85"/>
        <v>-57895.86</v>
      </c>
      <c r="AP788" s="2">
        <f t="shared" si="86"/>
        <v>1.9876758477086896E-2</v>
      </c>
      <c r="AQ788" s="2">
        <f t="shared" si="90"/>
        <v>3</v>
      </c>
      <c r="AR788">
        <f t="shared" si="87"/>
        <v>85</v>
      </c>
      <c r="AS788" t="str">
        <f t="shared" si="88"/>
        <v>High Claim Ratio</v>
      </c>
      <c r="AT788" t="str">
        <f t="shared" si="89"/>
        <v>High Profit</v>
      </c>
    </row>
    <row r="789" spans="1:46" x14ac:dyDescent="0.2">
      <c r="A789">
        <v>133</v>
      </c>
      <c r="B789">
        <v>30</v>
      </c>
      <c r="C789">
        <v>920554</v>
      </c>
      <c r="D789" s="1">
        <v>38616</v>
      </c>
      <c r="E789" t="s">
        <v>57</v>
      </c>
      <c r="F789" t="s">
        <v>91</v>
      </c>
      <c r="G789">
        <v>1000</v>
      </c>
      <c r="H789">
        <v>1231.01</v>
      </c>
      <c r="I789">
        <v>0</v>
      </c>
      <c r="J789">
        <v>459562</v>
      </c>
      <c r="K789" t="s">
        <v>41</v>
      </c>
      <c r="L789" t="s">
        <v>141</v>
      </c>
      <c r="M789" t="s">
        <v>185</v>
      </c>
      <c r="N789" t="s">
        <v>73</v>
      </c>
      <c r="O789" t="s">
        <v>45</v>
      </c>
      <c r="P789">
        <v>0</v>
      </c>
      <c r="Q789">
        <v>-31700</v>
      </c>
      <c r="R789" s="1">
        <v>42036</v>
      </c>
      <c r="S789" t="s">
        <v>75</v>
      </c>
      <c r="T789" t="s">
        <v>86</v>
      </c>
      <c r="U789" t="s">
        <v>63</v>
      </c>
      <c r="V789" t="s">
        <v>99</v>
      </c>
      <c r="W789" t="s">
        <v>50</v>
      </c>
      <c r="X789" t="s">
        <v>65</v>
      </c>
      <c r="Y789" t="s">
        <v>966</v>
      </c>
      <c r="Z789">
        <v>19</v>
      </c>
      <c r="AA789">
        <v>3</v>
      </c>
      <c r="AB789" t="s">
        <v>79</v>
      </c>
      <c r="AC789">
        <v>1</v>
      </c>
      <c r="AD789">
        <v>2</v>
      </c>
      <c r="AE789" t="s">
        <v>62</v>
      </c>
      <c r="AF789">
        <v>28440</v>
      </c>
      <c r="AG789">
        <v>3160</v>
      </c>
      <c r="AH789">
        <v>3160</v>
      </c>
      <c r="AI789">
        <v>22120</v>
      </c>
      <c r="AJ789" t="s">
        <v>80</v>
      </c>
      <c r="AK789" t="s">
        <v>144</v>
      </c>
      <c r="AL789">
        <v>2007</v>
      </c>
      <c r="AM789" t="s">
        <v>82</v>
      </c>
      <c r="AN789" s="2">
        <f t="shared" si="84"/>
        <v>23.084228212433342</v>
      </c>
      <c r="AO789">
        <f t="shared" si="85"/>
        <v>-27208.99</v>
      </c>
      <c r="AP789" s="2">
        <f t="shared" si="86"/>
        <v>4.3282936605604581E-2</v>
      </c>
      <c r="AQ789" s="2">
        <f t="shared" si="90"/>
        <v>8</v>
      </c>
      <c r="AR789">
        <f t="shared" si="87"/>
        <v>133</v>
      </c>
      <c r="AS789" t="str">
        <f t="shared" si="88"/>
        <v>High Claim Ratio</v>
      </c>
      <c r="AT789" t="str">
        <f t="shared" si="89"/>
        <v>High Profit</v>
      </c>
    </row>
    <row r="790" spans="1:46" x14ac:dyDescent="0.2">
      <c r="A790">
        <v>119</v>
      </c>
      <c r="B790">
        <v>34</v>
      </c>
      <c r="C790">
        <v>594783</v>
      </c>
      <c r="D790" s="1">
        <v>40907</v>
      </c>
      <c r="E790" t="s">
        <v>83</v>
      </c>
      <c r="F790" t="s">
        <v>40</v>
      </c>
      <c r="G790">
        <v>500</v>
      </c>
      <c r="H790">
        <v>1299.18</v>
      </c>
      <c r="I790">
        <v>0</v>
      </c>
      <c r="J790">
        <v>463271</v>
      </c>
      <c r="K790" t="s">
        <v>70</v>
      </c>
      <c r="L790" t="s">
        <v>141</v>
      </c>
      <c r="M790" t="s">
        <v>97</v>
      </c>
      <c r="N790" t="s">
        <v>149</v>
      </c>
      <c r="O790" t="s">
        <v>119</v>
      </c>
      <c r="P790">
        <v>57100</v>
      </c>
      <c r="Q790">
        <v>0</v>
      </c>
      <c r="R790" s="1">
        <v>42012</v>
      </c>
      <c r="S790" t="s">
        <v>46</v>
      </c>
      <c r="T790" t="s">
        <v>86</v>
      </c>
      <c r="U790" t="s">
        <v>48</v>
      </c>
      <c r="V790" t="s">
        <v>99</v>
      </c>
      <c r="W790" t="s">
        <v>39</v>
      </c>
      <c r="X790" t="s">
        <v>102</v>
      </c>
      <c r="Y790" t="s">
        <v>967</v>
      </c>
      <c r="Z790">
        <v>7</v>
      </c>
      <c r="AA790">
        <v>1</v>
      </c>
      <c r="AB790" t="s">
        <v>53</v>
      </c>
      <c r="AC790">
        <v>2</v>
      </c>
      <c r="AD790">
        <v>1</v>
      </c>
      <c r="AE790" t="s">
        <v>53</v>
      </c>
      <c r="AF790">
        <v>45540</v>
      </c>
      <c r="AG790">
        <v>8280</v>
      </c>
      <c r="AH790">
        <v>8280</v>
      </c>
      <c r="AI790">
        <v>28980</v>
      </c>
      <c r="AJ790" t="s">
        <v>209</v>
      </c>
      <c r="AK790" t="s">
        <v>210</v>
      </c>
      <c r="AL790">
        <v>1998</v>
      </c>
      <c r="AM790" t="s">
        <v>56</v>
      </c>
      <c r="AN790" s="2">
        <f t="shared" si="84"/>
        <v>35.025919488070883</v>
      </c>
      <c r="AO790">
        <f t="shared" si="85"/>
        <v>-44240.82</v>
      </c>
      <c r="AP790" s="2">
        <f t="shared" si="86"/>
        <v>2.8527700314002768E-2</v>
      </c>
      <c r="AQ790" s="2">
        <f t="shared" si="90"/>
        <v>17</v>
      </c>
      <c r="AR790">
        <f t="shared" si="87"/>
        <v>119</v>
      </c>
      <c r="AS790" t="str">
        <f t="shared" si="88"/>
        <v>High Claim Ratio</v>
      </c>
      <c r="AT790" t="str">
        <f t="shared" si="89"/>
        <v>High Profit</v>
      </c>
    </row>
    <row r="791" spans="1:46" x14ac:dyDescent="0.2">
      <c r="A791">
        <v>169</v>
      </c>
      <c r="B791">
        <v>34</v>
      </c>
      <c r="C791">
        <v>725330</v>
      </c>
      <c r="D791" s="1">
        <v>35267</v>
      </c>
      <c r="E791" t="s">
        <v>57</v>
      </c>
      <c r="F791" t="s">
        <v>69</v>
      </c>
      <c r="G791">
        <v>500</v>
      </c>
      <c r="H791">
        <v>1469.75</v>
      </c>
      <c r="I791">
        <v>0</v>
      </c>
      <c r="J791">
        <v>458132</v>
      </c>
      <c r="K791" t="s">
        <v>70</v>
      </c>
      <c r="L791" t="s">
        <v>161</v>
      </c>
      <c r="M791" t="s">
        <v>72</v>
      </c>
      <c r="N791" t="s">
        <v>59</v>
      </c>
      <c r="O791" t="s">
        <v>142</v>
      </c>
      <c r="P791">
        <v>0</v>
      </c>
      <c r="Q791">
        <v>-57600</v>
      </c>
      <c r="R791" s="1">
        <v>42020</v>
      </c>
      <c r="S791" t="s">
        <v>46</v>
      </c>
      <c r="T791" t="s">
        <v>76</v>
      </c>
      <c r="U791" t="s">
        <v>63</v>
      </c>
      <c r="V791" t="s">
        <v>99</v>
      </c>
      <c r="W791" t="s">
        <v>64</v>
      </c>
      <c r="X791" t="s">
        <v>87</v>
      </c>
      <c r="Y791" t="s">
        <v>968</v>
      </c>
      <c r="Z791">
        <v>0</v>
      </c>
      <c r="AA791">
        <v>1</v>
      </c>
      <c r="AB791" t="s">
        <v>62</v>
      </c>
      <c r="AC791">
        <v>0</v>
      </c>
      <c r="AD791">
        <v>0</v>
      </c>
      <c r="AE791" t="s">
        <v>53</v>
      </c>
      <c r="AF791">
        <v>38700</v>
      </c>
      <c r="AG791">
        <v>7740</v>
      </c>
      <c r="AH791">
        <v>3870</v>
      </c>
      <c r="AI791">
        <v>27090</v>
      </c>
      <c r="AJ791" t="s">
        <v>214</v>
      </c>
      <c r="AK791" t="s">
        <v>215</v>
      </c>
      <c r="AL791">
        <v>2012</v>
      </c>
      <c r="AM791" t="s">
        <v>82</v>
      </c>
      <c r="AN791" s="2">
        <f t="shared" si="84"/>
        <v>26.313105558388578</v>
      </c>
      <c r="AO791">
        <f t="shared" si="85"/>
        <v>-37230.25</v>
      </c>
      <c r="AP791" s="2">
        <f t="shared" si="86"/>
        <v>3.797705485646366E-2</v>
      </c>
      <c r="AQ791" s="2">
        <f t="shared" si="90"/>
        <v>3</v>
      </c>
      <c r="AR791">
        <f t="shared" si="87"/>
        <v>169</v>
      </c>
      <c r="AS791" t="str">
        <f t="shared" si="88"/>
        <v>High Claim Ratio</v>
      </c>
      <c r="AT791" t="str">
        <f t="shared" si="89"/>
        <v>High Profit</v>
      </c>
    </row>
    <row r="792" spans="1:46" x14ac:dyDescent="0.2">
      <c r="A792">
        <v>225</v>
      </c>
      <c r="B792">
        <v>39</v>
      </c>
      <c r="C792">
        <v>607259</v>
      </c>
      <c r="D792" s="1">
        <v>35163</v>
      </c>
      <c r="E792" t="s">
        <v>39</v>
      </c>
      <c r="F792" t="s">
        <v>40</v>
      </c>
      <c r="G792">
        <v>500</v>
      </c>
      <c r="H792">
        <v>1390.72</v>
      </c>
      <c r="I792">
        <v>0</v>
      </c>
      <c r="J792">
        <v>448949</v>
      </c>
      <c r="K792" t="s">
        <v>41</v>
      </c>
      <c r="L792" t="s">
        <v>124</v>
      </c>
      <c r="M792" t="s">
        <v>97</v>
      </c>
      <c r="N792" t="s">
        <v>165</v>
      </c>
      <c r="O792" t="s">
        <v>60</v>
      </c>
      <c r="P792">
        <v>83900</v>
      </c>
      <c r="Q792">
        <v>-52100</v>
      </c>
      <c r="R792" s="1">
        <v>42055</v>
      </c>
      <c r="S792" t="s">
        <v>138</v>
      </c>
      <c r="T792" t="s">
        <v>62</v>
      </c>
      <c r="U792" t="s">
        <v>212</v>
      </c>
      <c r="V792" t="s">
        <v>93</v>
      </c>
      <c r="W792" t="s">
        <v>50</v>
      </c>
      <c r="X792" t="s">
        <v>156</v>
      </c>
      <c r="Y792" t="s">
        <v>969</v>
      </c>
      <c r="Z792">
        <v>6</v>
      </c>
      <c r="AA792">
        <v>1</v>
      </c>
      <c r="AB792" t="s">
        <v>53</v>
      </c>
      <c r="AC792">
        <v>2</v>
      </c>
      <c r="AD792">
        <v>1</v>
      </c>
      <c r="AE792" t="s">
        <v>53</v>
      </c>
      <c r="AF792">
        <v>5830</v>
      </c>
      <c r="AG792">
        <v>1060</v>
      </c>
      <c r="AH792">
        <v>530</v>
      </c>
      <c r="AI792">
        <v>4240</v>
      </c>
      <c r="AJ792" t="s">
        <v>104</v>
      </c>
      <c r="AK792" t="s">
        <v>105</v>
      </c>
      <c r="AL792">
        <v>2011</v>
      </c>
      <c r="AM792" t="s">
        <v>82</v>
      </c>
      <c r="AN792" s="2">
        <f t="shared" si="84"/>
        <v>4.1890610180208663</v>
      </c>
      <c r="AO792">
        <f t="shared" si="85"/>
        <v>-4439.28</v>
      </c>
      <c r="AP792" s="2">
        <f t="shared" si="86"/>
        <v>0.23850454467501286</v>
      </c>
      <c r="AQ792" s="2">
        <f t="shared" si="90"/>
        <v>4</v>
      </c>
      <c r="AR792">
        <f t="shared" si="87"/>
        <v>225</v>
      </c>
      <c r="AS792" t="str">
        <f t="shared" si="88"/>
        <v>Low Claim Ratio</v>
      </c>
      <c r="AT792" t="str">
        <f t="shared" si="89"/>
        <v>Low Profit</v>
      </c>
    </row>
    <row r="793" spans="1:46" x14ac:dyDescent="0.2">
      <c r="A793">
        <v>84</v>
      </c>
      <c r="B793">
        <v>32</v>
      </c>
      <c r="C793">
        <v>979336</v>
      </c>
      <c r="D793" s="1">
        <v>36954</v>
      </c>
      <c r="E793" t="s">
        <v>83</v>
      </c>
      <c r="F793" t="s">
        <v>91</v>
      </c>
      <c r="G793">
        <v>500</v>
      </c>
      <c r="H793">
        <v>1694.09</v>
      </c>
      <c r="I793">
        <v>7000000</v>
      </c>
      <c r="J793">
        <v>603732</v>
      </c>
      <c r="K793" t="s">
        <v>70</v>
      </c>
      <c r="L793" t="s">
        <v>92</v>
      </c>
      <c r="M793" t="s">
        <v>101</v>
      </c>
      <c r="N793" t="s">
        <v>242</v>
      </c>
      <c r="O793" t="s">
        <v>45</v>
      </c>
      <c r="P793">
        <v>0</v>
      </c>
      <c r="Q793">
        <v>0</v>
      </c>
      <c r="R793" s="1">
        <v>42034</v>
      </c>
      <c r="S793" t="s">
        <v>46</v>
      </c>
      <c r="T793" t="s">
        <v>76</v>
      </c>
      <c r="U793" t="s">
        <v>107</v>
      </c>
      <c r="V793" t="s">
        <v>120</v>
      </c>
      <c r="W793" t="s">
        <v>77</v>
      </c>
      <c r="X793" t="s">
        <v>127</v>
      </c>
      <c r="Y793" t="s">
        <v>970</v>
      </c>
      <c r="Z793">
        <v>0</v>
      </c>
      <c r="AA793">
        <v>1</v>
      </c>
      <c r="AB793" t="s">
        <v>53</v>
      </c>
      <c r="AC793">
        <v>0</v>
      </c>
      <c r="AD793">
        <v>2</v>
      </c>
      <c r="AE793" t="s">
        <v>62</v>
      </c>
      <c r="AF793">
        <v>57240</v>
      </c>
      <c r="AG793">
        <v>4770</v>
      </c>
      <c r="AH793">
        <v>9540</v>
      </c>
      <c r="AI793">
        <v>42930</v>
      </c>
      <c r="AJ793" t="s">
        <v>187</v>
      </c>
      <c r="AK793" t="s">
        <v>238</v>
      </c>
      <c r="AL793">
        <v>1995</v>
      </c>
      <c r="AM793" t="s">
        <v>56</v>
      </c>
      <c r="AN793" s="2">
        <f t="shared" si="84"/>
        <v>33.768118506981935</v>
      </c>
      <c r="AO793">
        <f t="shared" si="85"/>
        <v>-55545.91</v>
      </c>
      <c r="AP793" s="2">
        <f t="shared" si="86"/>
        <v>2.9595744309149036E-2</v>
      </c>
      <c r="AQ793" s="2">
        <f t="shared" si="90"/>
        <v>20</v>
      </c>
      <c r="AR793">
        <f t="shared" si="87"/>
        <v>84</v>
      </c>
      <c r="AS793" t="str">
        <f t="shared" si="88"/>
        <v>High Claim Ratio</v>
      </c>
      <c r="AT793" t="str">
        <f t="shared" si="89"/>
        <v>High Profit</v>
      </c>
    </row>
    <row r="794" spans="1:46" x14ac:dyDescent="0.2">
      <c r="A794">
        <v>169</v>
      </c>
      <c r="B794">
        <v>39</v>
      </c>
      <c r="C794">
        <v>865201</v>
      </c>
      <c r="D794" s="1">
        <v>37183</v>
      </c>
      <c r="E794" t="s">
        <v>39</v>
      </c>
      <c r="F794" t="s">
        <v>69</v>
      </c>
      <c r="G794">
        <v>2000</v>
      </c>
      <c r="H794">
        <v>1140.1500000000001</v>
      </c>
      <c r="I794">
        <v>0</v>
      </c>
      <c r="J794">
        <v>608929</v>
      </c>
      <c r="K794" t="s">
        <v>41</v>
      </c>
      <c r="L794" t="s">
        <v>131</v>
      </c>
      <c r="M794" t="s">
        <v>84</v>
      </c>
      <c r="N794" t="s">
        <v>264</v>
      </c>
      <c r="O794" t="s">
        <v>45</v>
      </c>
      <c r="P794">
        <v>0</v>
      </c>
      <c r="Q794">
        <v>-36800</v>
      </c>
      <c r="R794" s="1">
        <v>42023</v>
      </c>
      <c r="S794" t="s">
        <v>75</v>
      </c>
      <c r="T794" t="s">
        <v>76</v>
      </c>
      <c r="U794" t="s">
        <v>107</v>
      </c>
      <c r="V794" t="s">
        <v>49</v>
      </c>
      <c r="W794" t="s">
        <v>64</v>
      </c>
      <c r="X794" t="s">
        <v>65</v>
      </c>
      <c r="Y794" t="s">
        <v>971</v>
      </c>
      <c r="Z794">
        <v>9</v>
      </c>
      <c r="AA794">
        <v>3</v>
      </c>
      <c r="AB794" t="s">
        <v>53</v>
      </c>
      <c r="AC794">
        <v>0</v>
      </c>
      <c r="AD794">
        <v>3</v>
      </c>
      <c r="AE794" t="s">
        <v>79</v>
      </c>
      <c r="AF794">
        <v>46200</v>
      </c>
      <c r="AG794">
        <v>4200</v>
      </c>
      <c r="AH794">
        <v>8400</v>
      </c>
      <c r="AI794">
        <v>33600</v>
      </c>
      <c r="AJ794" t="s">
        <v>153</v>
      </c>
      <c r="AK794" t="s">
        <v>154</v>
      </c>
      <c r="AL794">
        <v>2015</v>
      </c>
      <c r="AM794" t="s">
        <v>82</v>
      </c>
      <c r="AN794" s="2">
        <f t="shared" si="84"/>
        <v>40.485475178547951</v>
      </c>
      <c r="AO794">
        <f t="shared" si="85"/>
        <v>-45059.85</v>
      </c>
      <c r="AP794" s="2">
        <f t="shared" si="86"/>
        <v>2.4678037271920524E-2</v>
      </c>
      <c r="AQ794" s="2">
        <f t="shared" si="90"/>
        <v>0</v>
      </c>
      <c r="AR794">
        <f t="shared" si="87"/>
        <v>169</v>
      </c>
      <c r="AS794" t="str">
        <f t="shared" si="88"/>
        <v>High Claim Ratio</v>
      </c>
      <c r="AT794" t="str">
        <f t="shared" si="89"/>
        <v>High Profit</v>
      </c>
    </row>
    <row r="795" spans="1:46" x14ac:dyDescent="0.2">
      <c r="A795">
        <v>124</v>
      </c>
      <c r="B795">
        <v>32</v>
      </c>
      <c r="C795">
        <v>140977</v>
      </c>
      <c r="D795" s="1">
        <v>38947</v>
      </c>
      <c r="E795" t="s">
        <v>57</v>
      </c>
      <c r="F795" t="s">
        <v>69</v>
      </c>
      <c r="G795">
        <v>1000</v>
      </c>
      <c r="H795">
        <v>1310.71</v>
      </c>
      <c r="I795">
        <v>0</v>
      </c>
      <c r="J795">
        <v>469875</v>
      </c>
      <c r="K795" t="s">
        <v>70</v>
      </c>
      <c r="L795" t="s">
        <v>124</v>
      </c>
      <c r="M795" t="s">
        <v>189</v>
      </c>
      <c r="N795" t="s">
        <v>170</v>
      </c>
      <c r="O795" t="s">
        <v>119</v>
      </c>
      <c r="P795">
        <v>29300</v>
      </c>
      <c r="Q795">
        <v>0</v>
      </c>
      <c r="R795" s="1">
        <v>42060</v>
      </c>
      <c r="S795" t="s">
        <v>46</v>
      </c>
      <c r="T795" t="s">
        <v>47</v>
      </c>
      <c r="U795" t="s">
        <v>107</v>
      </c>
      <c r="V795" t="s">
        <v>136</v>
      </c>
      <c r="W795" t="s">
        <v>77</v>
      </c>
      <c r="X795" t="s">
        <v>51</v>
      </c>
      <c r="Y795" t="s">
        <v>972</v>
      </c>
      <c r="Z795">
        <v>23</v>
      </c>
      <c r="AA795">
        <v>1</v>
      </c>
      <c r="AB795" t="s">
        <v>53</v>
      </c>
      <c r="AC795">
        <v>0</v>
      </c>
      <c r="AD795">
        <v>1</v>
      </c>
      <c r="AE795" t="s">
        <v>79</v>
      </c>
      <c r="AF795">
        <v>57700</v>
      </c>
      <c r="AG795">
        <v>5770</v>
      </c>
      <c r="AH795">
        <v>5770</v>
      </c>
      <c r="AI795">
        <v>46160</v>
      </c>
      <c r="AJ795" t="s">
        <v>115</v>
      </c>
      <c r="AK795" t="s">
        <v>116</v>
      </c>
      <c r="AL795">
        <v>2003</v>
      </c>
      <c r="AM795" t="s">
        <v>82</v>
      </c>
      <c r="AN795" s="2">
        <f t="shared" si="84"/>
        <v>43.988381578245189</v>
      </c>
      <c r="AO795">
        <f t="shared" si="85"/>
        <v>-56389.29</v>
      </c>
      <c r="AP795" s="2">
        <f t="shared" si="86"/>
        <v>2.2715550857004212E-2</v>
      </c>
      <c r="AQ795" s="2">
        <f t="shared" si="90"/>
        <v>12</v>
      </c>
      <c r="AR795">
        <f t="shared" si="87"/>
        <v>124</v>
      </c>
      <c r="AS795" t="str">
        <f t="shared" si="88"/>
        <v>High Claim Ratio</v>
      </c>
      <c r="AT795" t="str">
        <f t="shared" si="89"/>
        <v>High Profit</v>
      </c>
    </row>
    <row r="796" spans="1:46" x14ac:dyDescent="0.2">
      <c r="A796">
        <v>320</v>
      </c>
      <c r="B796">
        <v>48</v>
      </c>
      <c r="C796">
        <v>787351</v>
      </c>
      <c r="D796" s="1">
        <v>41392</v>
      </c>
      <c r="E796" t="s">
        <v>83</v>
      </c>
      <c r="F796" t="s">
        <v>40</v>
      </c>
      <c r="G796">
        <v>2000</v>
      </c>
      <c r="H796">
        <v>1730.49</v>
      </c>
      <c r="I796">
        <v>7000000</v>
      </c>
      <c r="J796">
        <v>443342</v>
      </c>
      <c r="K796" t="s">
        <v>41</v>
      </c>
      <c r="L796" t="s">
        <v>141</v>
      </c>
      <c r="M796" t="s">
        <v>145</v>
      </c>
      <c r="N796" t="s">
        <v>149</v>
      </c>
      <c r="O796" t="s">
        <v>142</v>
      </c>
      <c r="P796">
        <v>46300</v>
      </c>
      <c r="Q796">
        <v>-41700</v>
      </c>
      <c r="R796" s="1">
        <v>42028</v>
      </c>
      <c r="S796" t="s">
        <v>75</v>
      </c>
      <c r="T796" t="s">
        <v>86</v>
      </c>
      <c r="U796" t="s">
        <v>63</v>
      </c>
      <c r="V796" t="s">
        <v>99</v>
      </c>
      <c r="W796" t="s">
        <v>113</v>
      </c>
      <c r="X796" t="s">
        <v>156</v>
      </c>
      <c r="Y796" t="s">
        <v>973</v>
      </c>
      <c r="Z796">
        <v>13</v>
      </c>
      <c r="AA796">
        <v>3</v>
      </c>
      <c r="AB796" t="s">
        <v>79</v>
      </c>
      <c r="AC796">
        <v>2</v>
      </c>
      <c r="AD796">
        <v>0</v>
      </c>
      <c r="AE796" t="s">
        <v>79</v>
      </c>
      <c r="AF796">
        <v>56160</v>
      </c>
      <c r="AG796">
        <v>4680</v>
      </c>
      <c r="AH796">
        <v>9360</v>
      </c>
      <c r="AI796">
        <v>42120</v>
      </c>
      <c r="AJ796" t="s">
        <v>54</v>
      </c>
      <c r="AK796">
        <v>95</v>
      </c>
      <c r="AL796">
        <v>1995</v>
      </c>
      <c r="AM796" t="s">
        <v>82</v>
      </c>
      <c r="AN796" s="2">
        <f t="shared" si="84"/>
        <v>32.434492835650218</v>
      </c>
      <c r="AO796">
        <f t="shared" si="85"/>
        <v>-54429.51</v>
      </c>
      <c r="AP796" s="2">
        <f t="shared" si="86"/>
        <v>3.0813019711187477E-2</v>
      </c>
      <c r="AQ796" s="2">
        <f t="shared" si="90"/>
        <v>20</v>
      </c>
      <c r="AR796">
        <f t="shared" si="87"/>
        <v>320</v>
      </c>
      <c r="AS796" t="str">
        <f t="shared" si="88"/>
        <v>High Claim Ratio</v>
      </c>
      <c r="AT796" t="str">
        <f t="shared" si="89"/>
        <v>High Profit</v>
      </c>
    </row>
    <row r="797" spans="1:46" x14ac:dyDescent="0.2">
      <c r="A797">
        <v>297</v>
      </c>
      <c r="B797">
        <v>47</v>
      </c>
      <c r="C797">
        <v>272330</v>
      </c>
      <c r="D797" s="1">
        <v>40146</v>
      </c>
      <c r="E797" t="s">
        <v>57</v>
      </c>
      <c r="F797" t="s">
        <v>40</v>
      </c>
      <c r="G797">
        <v>500</v>
      </c>
      <c r="H797">
        <v>1616.65</v>
      </c>
      <c r="I797">
        <v>7000000</v>
      </c>
      <c r="J797">
        <v>456363</v>
      </c>
      <c r="K797" t="s">
        <v>41</v>
      </c>
      <c r="L797" t="s">
        <v>42</v>
      </c>
      <c r="M797" t="s">
        <v>185</v>
      </c>
      <c r="N797" t="s">
        <v>146</v>
      </c>
      <c r="O797" t="s">
        <v>85</v>
      </c>
      <c r="P797">
        <v>0</v>
      </c>
      <c r="Q797">
        <v>-59500</v>
      </c>
      <c r="R797" s="1">
        <v>42020</v>
      </c>
      <c r="S797" t="s">
        <v>75</v>
      </c>
      <c r="T797" t="s">
        <v>47</v>
      </c>
      <c r="U797" t="s">
        <v>107</v>
      </c>
      <c r="V797" t="s">
        <v>99</v>
      </c>
      <c r="W797" t="s">
        <v>113</v>
      </c>
      <c r="X797" t="s">
        <v>51</v>
      </c>
      <c r="Y797" t="s">
        <v>974</v>
      </c>
      <c r="Z797">
        <v>0</v>
      </c>
      <c r="AA797">
        <v>3</v>
      </c>
      <c r="AB797" t="s">
        <v>62</v>
      </c>
      <c r="AC797">
        <v>0</v>
      </c>
      <c r="AD797">
        <v>3</v>
      </c>
      <c r="AE797" t="s">
        <v>53</v>
      </c>
      <c r="AF797">
        <v>44400</v>
      </c>
      <c r="AG797">
        <v>5550</v>
      </c>
      <c r="AH797">
        <v>5550</v>
      </c>
      <c r="AI797">
        <v>33300</v>
      </c>
      <c r="AJ797" t="s">
        <v>197</v>
      </c>
      <c r="AK797" t="s">
        <v>375</v>
      </c>
      <c r="AL797">
        <v>1999</v>
      </c>
      <c r="AM797" t="s">
        <v>82</v>
      </c>
      <c r="AN797" s="2">
        <f t="shared" si="84"/>
        <v>27.447222823231229</v>
      </c>
      <c r="AO797">
        <f t="shared" si="85"/>
        <v>-42783.35</v>
      </c>
      <c r="AP797" s="2">
        <f t="shared" si="86"/>
        <v>3.641021598612644E-2</v>
      </c>
      <c r="AQ797" s="2">
        <f t="shared" si="90"/>
        <v>16</v>
      </c>
      <c r="AR797">
        <f t="shared" si="87"/>
        <v>297</v>
      </c>
      <c r="AS797" t="str">
        <f t="shared" si="88"/>
        <v>High Claim Ratio</v>
      </c>
      <c r="AT797" t="str">
        <f t="shared" si="89"/>
        <v>High Profit</v>
      </c>
    </row>
    <row r="798" spans="1:46" x14ac:dyDescent="0.2">
      <c r="A798">
        <v>421</v>
      </c>
      <c r="B798">
        <v>56</v>
      </c>
      <c r="C798">
        <v>728025</v>
      </c>
      <c r="D798" s="1">
        <v>32919</v>
      </c>
      <c r="E798" t="s">
        <v>57</v>
      </c>
      <c r="F798" t="s">
        <v>69</v>
      </c>
      <c r="G798">
        <v>500</v>
      </c>
      <c r="H798">
        <v>1935.85</v>
      </c>
      <c r="I798">
        <v>4000000</v>
      </c>
      <c r="J798">
        <v>470826</v>
      </c>
      <c r="K798" t="s">
        <v>41</v>
      </c>
      <c r="L798" t="s">
        <v>124</v>
      </c>
      <c r="M798" t="s">
        <v>58</v>
      </c>
      <c r="N798" t="s">
        <v>59</v>
      </c>
      <c r="O798" t="s">
        <v>74</v>
      </c>
      <c r="P798">
        <v>49500</v>
      </c>
      <c r="Q798">
        <v>-81100</v>
      </c>
      <c r="R798" s="1">
        <v>42016</v>
      </c>
      <c r="S798" t="s">
        <v>46</v>
      </c>
      <c r="T798" t="s">
        <v>76</v>
      </c>
      <c r="U798" t="s">
        <v>48</v>
      </c>
      <c r="V798" t="s">
        <v>136</v>
      </c>
      <c r="W798" t="s">
        <v>77</v>
      </c>
      <c r="X798" t="s">
        <v>122</v>
      </c>
      <c r="Y798" t="s">
        <v>975</v>
      </c>
      <c r="Z798">
        <v>7</v>
      </c>
      <c r="AA798">
        <v>1</v>
      </c>
      <c r="AB798" t="s">
        <v>62</v>
      </c>
      <c r="AC798">
        <v>2</v>
      </c>
      <c r="AD798">
        <v>3</v>
      </c>
      <c r="AE798" t="s">
        <v>62</v>
      </c>
      <c r="AF798">
        <v>92730</v>
      </c>
      <c r="AG798">
        <v>16860</v>
      </c>
      <c r="AH798">
        <v>8430</v>
      </c>
      <c r="AI798">
        <v>67440</v>
      </c>
      <c r="AJ798" t="s">
        <v>67</v>
      </c>
      <c r="AK798" t="s">
        <v>68</v>
      </c>
      <c r="AL798">
        <v>2004</v>
      </c>
      <c r="AM798" t="s">
        <v>56</v>
      </c>
      <c r="AN798" s="2">
        <f t="shared" si="84"/>
        <v>47.876707024292024</v>
      </c>
      <c r="AO798">
        <f t="shared" si="85"/>
        <v>-90794.15</v>
      </c>
      <c r="AP798" s="2">
        <f t="shared" si="86"/>
        <v>2.0875974593178116E-2</v>
      </c>
      <c r="AQ798" s="2">
        <f t="shared" si="90"/>
        <v>11</v>
      </c>
      <c r="AR798">
        <f t="shared" si="87"/>
        <v>421</v>
      </c>
      <c r="AS798" t="str">
        <f t="shared" si="88"/>
        <v>High Claim Ratio</v>
      </c>
      <c r="AT798" t="str">
        <f t="shared" si="89"/>
        <v>High Profit</v>
      </c>
    </row>
    <row r="799" spans="1:46" x14ac:dyDescent="0.2">
      <c r="A799">
        <v>136</v>
      </c>
      <c r="B799">
        <v>33</v>
      </c>
      <c r="C799">
        <v>804608</v>
      </c>
      <c r="D799" s="1">
        <v>37358</v>
      </c>
      <c r="E799" t="s">
        <v>39</v>
      </c>
      <c r="F799" t="s">
        <v>40</v>
      </c>
      <c r="G799">
        <v>1000</v>
      </c>
      <c r="H799">
        <v>855.14</v>
      </c>
      <c r="I799">
        <v>0</v>
      </c>
      <c r="J799">
        <v>458582</v>
      </c>
      <c r="K799" t="s">
        <v>70</v>
      </c>
      <c r="L799" t="s">
        <v>71</v>
      </c>
      <c r="M799" t="s">
        <v>43</v>
      </c>
      <c r="N799" t="s">
        <v>165</v>
      </c>
      <c r="O799" t="s">
        <v>142</v>
      </c>
      <c r="P799">
        <v>37900</v>
      </c>
      <c r="Q799">
        <v>0</v>
      </c>
      <c r="R799" s="1">
        <v>42008</v>
      </c>
      <c r="S799" t="s">
        <v>46</v>
      </c>
      <c r="T799" t="s">
        <v>47</v>
      </c>
      <c r="U799" t="s">
        <v>63</v>
      </c>
      <c r="V799" t="s">
        <v>99</v>
      </c>
      <c r="W799" t="s">
        <v>121</v>
      </c>
      <c r="X799" t="s">
        <v>156</v>
      </c>
      <c r="Y799" t="s">
        <v>976</v>
      </c>
      <c r="Z799">
        <v>23</v>
      </c>
      <c r="AA799">
        <v>1</v>
      </c>
      <c r="AB799" t="s">
        <v>53</v>
      </c>
      <c r="AC799">
        <v>0</v>
      </c>
      <c r="AD799">
        <v>1</v>
      </c>
      <c r="AE799" t="s">
        <v>53</v>
      </c>
      <c r="AF799">
        <v>30700</v>
      </c>
      <c r="AG799">
        <v>3070</v>
      </c>
      <c r="AH799">
        <v>6140</v>
      </c>
      <c r="AI799">
        <v>21490</v>
      </c>
      <c r="AJ799" t="s">
        <v>115</v>
      </c>
      <c r="AK799" t="s">
        <v>183</v>
      </c>
      <c r="AL799">
        <v>2015</v>
      </c>
      <c r="AM799" t="s">
        <v>82</v>
      </c>
      <c r="AN799" s="2">
        <f t="shared" si="84"/>
        <v>35.8586212535333</v>
      </c>
      <c r="AO799">
        <f t="shared" si="85"/>
        <v>-29844.86</v>
      </c>
      <c r="AP799" s="2">
        <f t="shared" si="86"/>
        <v>2.7853815836617699E-2</v>
      </c>
      <c r="AQ799" s="2">
        <f t="shared" si="90"/>
        <v>0</v>
      </c>
      <c r="AR799">
        <f t="shared" si="87"/>
        <v>136</v>
      </c>
      <c r="AS799" t="str">
        <f t="shared" si="88"/>
        <v>High Claim Ratio</v>
      </c>
      <c r="AT799" t="str">
        <f t="shared" si="89"/>
        <v>High Profit</v>
      </c>
    </row>
    <row r="800" spans="1:46" x14ac:dyDescent="0.2">
      <c r="A800">
        <v>46</v>
      </c>
      <c r="B800">
        <v>24</v>
      </c>
      <c r="C800">
        <v>718829</v>
      </c>
      <c r="D800" s="1">
        <v>36212</v>
      </c>
      <c r="E800" t="s">
        <v>39</v>
      </c>
      <c r="F800" t="s">
        <v>40</v>
      </c>
      <c r="G800">
        <v>2000</v>
      </c>
      <c r="H800">
        <v>1568.47</v>
      </c>
      <c r="I800">
        <v>4000000</v>
      </c>
      <c r="J800">
        <v>454480</v>
      </c>
      <c r="K800" t="s">
        <v>70</v>
      </c>
      <c r="L800" t="s">
        <v>131</v>
      </c>
      <c r="M800" t="s">
        <v>84</v>
      </c>
      <c r="N800" t="s">
        <v>155</v>
      </c>
      <c r="O800" t="s">
        <v>85</v>
      </c>
      <c r="P800">
        <v>46800</v>
      </c>
      <c r="Q800">
        <v>0</v>
      </c>
      <c r="R800" s="1">
        <v>42037</v>
      </c>
      <c r="S800" t="s">
        <v>46</v>
      </c>
      <c r="T800" t="s">
        <v>47</v>
      </c>
      <c r="U800" t="s">
        <v>48</v>
      </c>
      <c r="V800" t="s">
        <v>99</v>
      </c>
      <c r="W800" t="s">
        <v>77</v>
      </c>
      <c r="X800" t="s">
        <v>156</v>
      </c>
      <c r="Y800" t="s">
        <v>977</v>
      </c>
      <c r="Z800">
        <v>7</v>
      </c>
      <c r="AA800">
        <v>1</v>
      </c>
      <c r="AB800" t="s">
        <v>79</v>
      </c>
      <c r="AC800">
        <v>2</v>
      </c>
      <c r="AD800">
        <v>0</v>
      </c>
      <c r="AE800" t="s">
        <v>62</v>
      </c>
      <c r="AF800">
        <v>56600</v>
      </c>
      <c r="AG800">
        <v>11320</v>
      </c>
      <c r="AH800">
        <v>5660</v>
      </c>
      <c r="AI800">
        <v>39620</v>
      </c>
      <c r="AJ800" t="s">
        <v>115</v>
      </c>
      <c r="AK800" t="s">
        <v>116</v>
      </c>
      <c r="AL800">
        <v>1999</v>
      </c>
      <c r="AM800" t="s">
        <v>82</v>
      </c>
      <c r="AN800" s="2">
        <f t="shared" si="84"/>
        <v>36.063129591518155</v>
      </c>
      <c r="AO800">
        <f t="shared" si="85"/>
        <v>-55031.53</v>
      </c>
      <c r="AP800" s="2">
        <f t="shared" si="86"/>
        <v>2.7710994505397431E-2</v>
      </c>
      <c r="AQ800" s="2">
        <f t="shared" si="90"/>
        <v>16</v>
      </c>
      <c r="AR800">
        <f t="shared" si="87"/>
        <v>46</v>
      </c>
      <c r="AS800" t="str">
        <f t="shared" si="88"/>
        <v>High Claim Ratio</v>
      </c>
      <c r="AT800" t="str">
        <f t="shared" si="89"/>
        <v>High Profit</v>
      </c>
    </row>
    <row r="801" spans="1:46" x14ac:dyDescent="0.2">
      <c r="A801">
        <v>34</v>
      </c>
      <c r="B801">
        <v>24</v>
      </c>
      <c r="C801">
        <v>482404</v>
      </c>
      <c r="D801" s="1">
        <v>40712</v>
      </c>
      <c r="E801" t="s">
        <v>57</v>
      </c>
      <c r="F801" t="s">
        <v>91</v>
      </c>
      <c r="G801">
        <v>2000</v>
      </c>
      <c r="H801">
        <v>1550.53</v>
      </c>
      <c r="I801">
        <v>0</v>
      </c>
      <c r="J801">
        <v>435632</v>
      </c>
      <c r="K801" t="s">
        <v>70</v>
      </c>
      <c r="L801" t="s">
        <v>42</v>
      </c>
      <c r="M801" t="s">
        <v>84</v>
      </c>
      <c r="N801" t="s">
        <v>126</v>
      </c>
      <c r="O801" t="s">
        <v>74</v>
      </c>
      <c r="P801">
        <v>0</v>
      </c>
      <c r="Q801">
        <v>-27700</v>
      </c>
      <c r="R801" s="1">
        <v>42036</v>
      </c>
      <c r="S801" t="s">
        <v>138</v>
      </c>
      <c r="T801" t="s">
        <v>62</v>
      </c>
      <c r="U801" t="s">
        <v>212</v>
      </c>
      <c r="V801" t="s">
        <v>93</v>
      </c>
      <c r="W801" t="s">
        <v>64</v>
      </c>
      <c r="X801" t="s">
        <v>122</v>
      </c>
      <c r="Y801" t="s">
        <v>978</v>
      </c>
      <c r="Z801">
        <v>20</v>
      </c>
      <c r="AA801">
        <v>1</v>
      </c>
      <c r="AB801" t="s">
        <v>53</v>
      </c>
      <c r="AC801">
        <v>0</v>
      </c>
      <c r="AD801">
        <v>1</v>
      </c>
      <c r="AE801" t="s">
        <v>62</v>
      </c>
      <c r="AF801">
        <v>3960</v>
      </c>
      <c r="AG801">
        <v>660</v>
      </c>
      <c r="AH801">
        <v>660</v>
      </c>
      <c r="AI801">
        <v>2640</v>
      </c>
      <c r="AJ801" t="s">
        <v>109</v>
      </c>
      <c r="AK801" t="s">
        <v>134</v>
      </c>
      <c r="AL801">
        <v>1998</v>
      </c>
      <c r="AM801" t="s">
        <v>82</v>
      </c>
      <c r="AN801" s="2">
        <f t="shared" si="84"/>
        <v>2.5523193235064743</v>
      </c>
      <c r="AO801">
        <f t="shared" si="85"/>
        <v>-2409.4700000000003</v>
      </c>
      <c r="AP801" s="2">
        <f t="shared" si="86"/>
        <v>0.3914491290078263</v>
      </c>
      <c r="AQ801" s="2">
        <f t="shared" si="90"/>
        <v>17</v>
      </c>
      <c r="AR801">
        <f t="shared" si="87"/>
        <v>34</v>
      </c>
      <c r="AS801" t="str">
        <f t="shared" si="88"/>
        <v>Low Claim Ratio</v>
      </c>
      <c r="AT801" t="str">
        <f t="shared" si="89"/>
        <v>Low Profit</v>
      </c>
    </row>
    <row r="802" spans="1:46" x14ac:dyDescent="0.2">
      <c r="A802">
        <v>95</v>
      </c>
      <c r="B802">
        <v>30</v>
      </c>
      <c r="C802">
        <v>331170</v>
      </c>
      <c r="D802" s="1">
        <v>34784</v>
      </c>
      <c r="E802" t="s">
        <v>83</v>
      </c>
      <c r="F802" t="s">
        <v>40</v>
      </c>
      <c r="G802">
        <v>2000</v>
      </c>
      <c r="H802">
        <v>1370.92</v>
      </c>
      <c r="I802">
        <v>0</v>
      </c>
      <c r="J802">
        <v>442206</v>
      </c>
      <c r="K802" t="s">
        <v>41</v>
      </c>
      <c r="L802" t="s">
        <v>141</v>
      </c>
      <c r="M802" t="s">
        <v>145</v>
      </c>
      <c r="N802" t="s">
        <v>181</v>
      </c>
      <c r="O802" t="s">
        <v>85</v>
      </c>
      <c r="P802">
        <v>48900</v>
      </c>
      <c r="Q802">
        <v>0</v>
      </c>
      <c r="R802" s="1">
        <v>42049</v>
      </c>
      <c r="S802" t="s">
        <v>46</v>
      </c>
      <c r="T802" t="s">
        <v>76</v>
      </c>
      <c r="U802" t="s">
        <v>63</v>
      </c>
      <c r="V802" t="s">
        <v>49</v>
      </c>
      <c r="W802" t="s">
        <v>50</v>
      </c>
      <c r="X802" t="s">
        <v>87</v>
      </c>
      <c r="Y802" t="s">
        <v>979</v>
      </c>
      <c r="Z802">
        <v>22</v>
      </c>
      <c r="AA802">
        <v>1</v>
      </c>
      <c r="AB802" t="s">
        <v>53</v>
      </c>
      <c r="AC802">
        <v>0</v>
      </c>
      <c r="AD802">
        <v>3</v>
      </c>
      <c r="AE802" t="s">
        <v>62</v>
      </c>
      <c r="AF802">
        <v>34800</v>
      </c>
      <c r="AG802">
        <v>3480</v>
      </c>
      <c r="AH802">
        <v>6960</v>
      </c>
      <c r="AI802">
        <v>24360</v>
      </c>
      <c r="AJ802" t="s">
        <v>95</v>
      </c>
      <c r="AK802" t="s">
        <v>148</v>
      </c>
      <c r="AL802">
        <v>1999</v>
      </c>
      <c r="AM802" t="s">
        <v>82</v>
      </c>
      <c r="AN802" s="2">
        <f t="shared" si="84"/>
        <v>25.365910548720041</v>
      </c>
      <c r="AO802">
        <f t="shared" si="85"/>
        <v>-33429.08</v>
      </c>
      <c r="AP802" s="2">
        <f t="shared" si="86"/>
        <v>3.9393120887330824E-2</v>
      </c>
      <c r="AQ802" s="2">
        <f t="shared" si="90"/>
        <v>16</v>
      </c>
      <c r="AR802">
        <f t="shared" si="87"/>
        <v>95</v>
      </c>
      <c r="AS802" t="str">
        <f t="shared" si="88"/>
        <v>High Claim Ratio</v>
      </c>
      <c r="AT802" t="str">
        <f t="shared" si="89"/>
        <v>High Profit</v>
      </c>
    </row>
    <row r="803" spans="1:46" x14ac:dyDescent="0.2">
      <c r="A803">
        <v>140</v>
      </c>
      <c r="B803">
        <v>36</v>
      </c>
      <c r="C803">
        <v>753056</v>
      </c>
      <c r="D803" s="1">
        <v>33361</v>
      </c>
      <c r="E803" t="s">
        <v>57</v>
      </c>
      <c r="F803" t="s">
        <v>40</v>
      </c>
      <c r="G803">
        <v>500</v>
      </c>
      <c r="H803">
        <v>1363.59</v>
      </c>
      <c r="I803">
        <v>0</v>
      </c>
      <c r="J803">
        <v>468303</v>
      </c>
      <c r="K803" t="s">
        <v>70</v>
      </c>
      <c r="L803" t="s">
        <v>161</v>
      </c>
      <c r="M803" t="s">
        <v>84</v>
      </c>
      <c r="N803" t="s">
        <v>170</v>
      </c>
      <c r="O803" t="s">
        <v>142</v>
      </c>
      <c r="P803">
        <v>43200</v>
      </c>
      <c r="Q803">
        <v>0</v>
      </c>
      <c r="R803" s="1">
        <v>42043</v>
      </c>
      <c r="S803" t="s">
        <v>75</v>
      </c>
      <c r="T803" t="s">
        <v>76</v>
      </c>
      <c r="U803" t="s">
        <v>63</v>
      </c>
      <c r="V803" t="s">
        <v>120</v>
      </c>
      <c r="W803" t="s">
        <v>77</v>
      </c>
      <c r="X803" t="s">
        <v>65</v>
      </c>
      <c r="Y803" t="s">
        <v>980</v>
      </c>
      <c r="Z803">
        <v>10</v>
      </c>
      <c r="AA803">
        <v>3</v>
      </c>
      <c r="AB803" t="s">
        <v>62</v>
      </c>
      <c r="AC803">
        <v>2</v>
      </c>
      <c r="AD803">
        <v>0</v>
      </c>
      <c r="AE803" t="s">
        <v>53</v>
      </c>
      <c r="AF803">
        <v>79500</v>
      </c>
      <c r="AG803">
        <v>7950</v>
      </c>
      <c r="AH803">
        <v>7950</v>
      </c>
      <c r="AI803">
        <v>63600</v>
      </c>
      <c r="AJ803" t="s">
        <v>89</v>
      </c>
      <c r="AK803" t="s">
        <v>90</v>
      </c>
      <c r="AL803">
        <v>2000</v>
      </c>
      <c r="AM803" t="s">
        <v>82</v>
      </c>
      <c r="AN803" s="2">
        <f t="shared" si="84"/>
        <v>58.259257359353363</v>
      </c>
      <c r="AO803">
        <f t="shared" si="85"/>
        <v>-78136.41</v>
      </c>
      <c r="AP803" s="2">
        <f t="shared" si="86"/>
        <v>1.7151859725034906E-2</v>
      </c>
      <c r="AQ803" s="2">
        <f t="shared" si="90"/>
        <v>15</v>
      </c>
      <c r="AR803">
        <f t="shared" si="87"/>
        <v>140</v>
      </c>
      <c r="AS803" t="str">
        <f t="shared" si="88"/>
        <v>High Claim Ratio</v>
      </c>
      <c r="AT803" t="str">
        <f t="shared" si="89"/>
        <v>High Profit</v>
      </c>
    </row>
    <row r="804" spans="1:46" x14ac:dyDescent="0.2">
      <c r="A804">
        <v>200</v>
      </c>
      <c r="B804">
        <v>34</v>
      </c>
      <c r="C804">
        <v>910365</v>
      </c>
      <c r="D804" s="1">
        <v>37244</v>
      </c>
      <c r="E804" t="s">
        <v>57</v>
      </c>
      <c r="F804" t="s">
        <v>40</v>
      </c>
      <c r="G804">
        <v>1000</v>
      </c>
      <c r="H804">
        <v>828.42</v>
      </c>
      <c r="I804">
        <v>3000000</v>
      </c>
      <c r="J804">
        <v>467762</v>
      </c>
      <c r="K804" t="s">
        <v>70</v>
      </c>
      <c r="L804" t="s">
        <v>141</v>
      </c>
      <c r="M804" t="s">
        <v>101</v>
      </c>
      <c r="N804" t="s">
        <v>179</v>
      </c>
      <c r="O804" t="s">
        <v>60</v>
      </c>
      <c r="P804">
        <v>0</v>
      </c>
      <c r="Q804">
        <v>0</v>
      </c>
      <c r="R804" s="1">
        <v>42026</v>
      </c>
      <c r="S804" t="s">
        <v>46</v>
      </c>
      <c r="T804" t="s">
        <v>86</v>
      </c>
      <c r="U804" t="s">
        <v>107</v>
      </c>
      <c r="V804" t="s">
        <v>49</v>
      </c>
      <c r="W804" t="s">
        <v>77</v>
      </c>
      <c r="X804" t="s">
        <v>87</v>
      </c>
      <c r="Y804" t="s">
        <v>981</v>
      </c>
      <c r="Z804">
        <v>10</v>
      </c>
      <c r="AA804">
        <v>1</v>
      </c>
      <c r="AB804" t="s">
        <v>62</v>
      </c>
      <c r="AC804">
        <v>2</v>
      </c>
      <c r="AD804">
        <v>2</v>
      </c>
      <c r="AE804" t="s">
        <v>79</v>
      </c>
      <c r="AF804">
        <v>56000</v>
      </c>
      <c r="AG804">
        <v>5600</v>
      </c>
      <c r="AH804">
        <v>5600</v>
      </c>
      <c r="AI804">
        <v>44800</v>
      </c>
      <c r="AJ804" t="s">
        <v>89</v>
      </c>
      <c r="AK804" t="s">
        <v>245</v>
      </c>
      <c r="AL804">
        <v>2009</v>
      </c>
      <c r="AM804" t="s">
        <v>82</v>
      </c>
      <c r="AN804" s="2">
        <f t="shared" si="84"/>
        <v>67.51706011429674</v>
      </c>
      <c r="AO804">
        <f t="shared" si="85"/>
        <v>-55171.58</v>
      </c>
      <c r="AP804" s="2">
        <f t="shared" si="86"/>
        <v>1.4792950125890608E-2</v>
      </c>
      <c r="AQ804" s="2">
        <f t="shared" si="90"/>
        <v>6</v>
      </c>
      <c r="AR804">
        <f t="shared" si="87"/>
        <v>200</v>
      </c>
      <c r="AS804" t="str">
        <f t="shared" si="88"/>
        <v>High Claim Ratio</v>
      </c>
      <c r="AT804" t="str">
        <f t="shared" si="89"/>
        <v>High Profit</v>
      </c>
    </row>
    <row r="805" spans="1:46" x14ac:dyDescent="0.2">
      <c r="A805">
        <v>123</v>
      </c>
      <c r="B805">
        <v>29</v>
      </c>
      <c r="C805">
        <v>379268</v>
      </c>
      <c r="D805" s="1">
        <v>41126</v>
      </c>
      <c r="E805" t="s">
        <v>57</v>
      </c>
      <c r="F805" t="s">
        <v>40</v>
      </c>
      <c r="G805">
        <v>500</v>
      </c>
      <c r="H805">
        <v>1209.6300000000001</v>
      </c>
      <c r="I805">
        <v>0</v>
      </c>
      <c r="J805">
        <v>447188</v>
      </c>
      <c r="K805" t="s">
        <v>70</v>
      </c>
      <c r="L805" t="s">
        <v>124</v>
      </c>
      <c r="M805" t="s">
        <v>58</v>
      </c>
      <c r="N805" t="s">
        <v>168</v>
      </c>
      <c r="O805" t="s">
        <v>142</v>
      </c>
      <c r="P805">
        <v>64800</v>
      </c>
      <c r="Q805">
        <v>-44200</v>
      </c>
      <c r="R805" s="1">
        <v>42018</v>
      </c>
      <c r="S805" t="s">
        <v>46</v>
      </c>
      <c r="T805" t="s">
        <v>76</v>
      </c>
      <c r="U805" t="s">
        <v>63</v>
      </c>
      <c r="V805" t="s">
        <v>136</v>
      </c>
      <c r="W805" t="s">
        <v>121</v>
      </c>
      <c r="X805" t="s">
        <v>87</v>
      </c>
      <c r="Y805" t="s">
        <v>982</v>
      </c>
      <c r="Z805">
        <v>17</v>
      </c>
      <c r="AA805">
        <v>1</v>
      </c>
      <c r="AB805" t="s">
        <v>53</v>
      </c>
      <c r="AC805">
        <v>1</v>
      </c>
      <c r="AD805">
        <v>0</v>
      </c>
      <c r="AE805" t="s">
        <v>53</v>
      </c>
      <c r="AF805">
        <v>73260</v>
      </c>
      <c r="AG805">
        <v>16280</v>
      </c>
      <c r="AH805">
        <v>0</v>
      </c>
      <c r="AI805">
        <v>56980</v>
      </c>
      <c r="AJ805" t="s">
        <v>214</v>
      </c>
      <c r="AK805" t="s">
        <v>258</v>
      </c>
      <c r="AL805">
        <v>2014</v>
      </c>
      <c r="AM805" t="s">
        <v>56</v>
      </c>
      <c r="AN805" s="2">
        <f t="shared" si="84"/>
        <v>60.513947283645699</v>
      </c>
      <c r="AO805">
        <f t="shared" si="85"/>
        <v>-72050.37</v>
      </c>
      <c r="AP805" s="2">
        <f t="shared" si="86"/>
        <v>1.6511240632805995E-2</v>
      </c>
      <c r="AQ805" s="2">
        <f t="shared" si="90"/>
        <v>1</v>
      </c>
      <c r="AR805">
        <f t="shared" si="87"/>
        <v>123</v>
      </c>
      <c r="AS805" t="str">
        <f t="shared" si="88"/>
        <v>High Claim Ratio</v>
      </c>
      <c r="AT805" t="str">
        <f t="shared" si="89"/>
        <v>High Profit</v>
      </c>
    </row>
    <row r="806" spans="1:46" x14ac:dyDescent="0.2">
      <c r="A806">
        <v>267</v>
      </c>
      <c r="B806">
        <v>46</v>
      </c>
      <c r="C806">
        <v>362843</v>
      </c>
      <c r="D806" s="1">
        <v>38208</v>
      </c>
      <c r="E806" t="s">
        <v>39</v>
      </c>
      <c r="F806" t="s">
        <v>40</v>
      </c>
      <c r="G806">
        <v>2000</v>
      </c>
      <c r="H806">
        <v>1111.17</v>
      </c>
      <c r="I806">
        <v>0</v>
      </c>
      <c r="J806">
        <v>469438</v>
      </c>
      <c r="K806" t="s">
        <v>41</v>
      </c>
      <c r="L806" t="s">
        <v>42</v>
      </c>
      <c r="M806" t="s">
        <v>43</v>
      </c>
      <c r="N806" t="s">
        <v>106</v>
      </c>
      <c r="O806" t="s">
        <v>85</v>
      </c>
      <c r="P806">
        <v>35000</v>
      </c>
      <c r="Q806">
        <v>0</v>
      </c>
      <c r="R806" s="1">
        <v>42038</v>
      </c>
      <c r="S806" t="s">
        <v>138</v>
      </c>
      <c r="T806" t="s">
        <v>62</v>
      </c>
      <c r="U806" t="s">
        <v>212</v>
      </c>
      <c r="V806" t="s">
        <v>93</v>
      </c>
      <c r="W806" t="s">
        <v>113</v>
      </c>
      <c r="X806" t="s">
        <v>87</v>
      </c>
      <c r="Y806" t="s">
        <v>983</v>
      </c>
      <c r="Z806">
        <v>3</v>
      </c>
      <c r="AA806">
        <v>1</v>
      </c>
      <c r="AB806" t="s">
        <v>53</v>
      </c>
      <c r="AC806">
        <v>2</v>
      </c>
      <c r="AD806">
        <v>3</v>
      </c>
      <c r="AE806" t="s">
        <v>53</v>
      </c>
      <c r="AF806">
        <v>4950</v>
      </c>
      <c r="AG806">
        <v>900</v>
      </c>
      <c r="AH806">
        <v>450</v>
      </c>
      <c r="AI806">
        <v>3600</v>
      </c>
      <c r="AJ806" t="s">
        <v>115</v>
      </c>
      <c r="AK806" t="s">
        <v>116</v>
      </c>
      <c r="AL806">
        <v>1995</v>
      </c>
      <c r="AM806" t="s">
        <v>82</v>
      </c>
      <c r="AN806" s="2">
        <f t="shared" si="84"/>
        <v>4.4507584272188598</v>
      </c>
      <c r="AO806">
        <f t="shared" si="85"/>
        <v>-3838.83</v>
      </c>
      <c r="AP806" s="2">
        <f t="shared" si="86"/>
        <v>0.22443344778832561</v>
      </c>
      <c r="AQ806" s="2">
        <f t="shared" si="90"/>
        <v>20</v>
      </c>
      <c r="AR806">
        <f t="shared" si="87"/>
        <v>267</v>
      </c>
      <c r="AS806" t="str">
        <f t="shared" si="88"/>
        <v>Low Claim Ratio</v>
      </c>
      <c r="AT806" t="str">
        <f t="shared" si="89"/>
        <v>Low Profit</v>
      </c>
    </row>
    <row r="807" spans="1:46" x14ac:dyDescent="0.2">
      <c r="A807">
        <v>290</v>
      </c>
      <c r="B807">
        <v>42</v>
      </c>
      <c r="C807">
        <v>135400</v>
      </c>
      <c r="D807" s="1">
        <v>41659</v>
      </c>
      <c r="E807" t="s">
        <v>57</v>
      </c>
      <c r="F807" t="s">
        <v>91</v>
      </c>
      <c r="G807">
        <v>500</v>
      </c>
      <c r="H807">
        <v>989.97</v>
      </c>
      <c r="I807">
        <v>0</v>
      </c>
      <c r="J807">
        <v>462519</v>
      </c>
      <c r="K807" t="s">
        <v>41</v>
      </c>
      <c r="L807" t="s">
        <v>124</v>
      </c>
      <c r="M807" t="s">
        <v>58</v>
      </c>
      <c r="N807" t="s">
        <v>170</v>
      </c>
      <c r="O807" t="s">
        <v>74</v>
      </c>
      <c r="P807">
        <v>32500</v>
      </c>
      <c r="Q807">
        <v>0</v>
      </c>
      <c r="R807" s="1">
        <v>42024</v>
      </c>
      <c r="S807" t="s">
        <v>46</v>
      </c>
      <c r="T807" t="s">
        <v>76</v>
      </c>
      <c r="U807" t="s">
        <v>63</v>
      </c>
      <c r="V807" t="s">
        <v>136</v>
      </c>
      <c r="W807" t="s">
        <v>113</v>
      </c>
      <c r="X807" t="s">
        <v>122</v>
      </c>
      <c r="Y807" t="s">
        <v>984</v>
      </c>
      <c r="Z807">
        <v>10</v>
      </c>
      <c r="AA807">
        <v>1</v>
      </c>
      <c r="AB807" t="s">
        <v>79</v>
      </c>
      <c r="AC807">
        <v>0</v>
      </c>
      <c r="AD807">
        <v>1</v>
      </c>
      <c r="AE807" t="s">
        <v>79</v>
      </c>
      <c r="AF807">
        <v>48000</v>
      </c>
      <c r="AG807">
        <v>4800</v>
      </c>
      <c r="AH807">
        <v>9600</v>
      </c>
      <c r="AI807">
        <v>33600</v>
      </c>
      <c r="AJ807" t="s">
        <v>54</v>
      </c>
      <c r="AK807">
        <v>95</v>
      </c>
      <c r="AL807">
        <v>2013</v>
      </c>
      <c r="AM807" t="s">
        <v>82</v>
      </c>
      <c r="AN807" s="2">
        <f t="shared" si="84"/>
        <v>48.437389628343944</v>
      </c>
      <c r="AO807">
        <f t="shared" si="85"/>
        <v>-47010.03</v>
      </c>
      <c r="AP807" s="2">
        <f t="shared" si="86"/>
        <v>2.0623945334472198E-2</v>
      </c>
      <c r="AQ807" s="2">
        <f t="shared" si="90"/>
        <v>2</v>
      </c>
      <c r="AR807">
        <f t="shared" si="87"/>
        <v>290</v>
      </c>
      <c r="AS807" t="str">
        <f t="shared" si="88"/>
        <v>High Claim Ratio</v>
      </c>
      <c r="AT807" t="str">
        <f t="shared" si="89"/>
        <v>High Profit</v>
      </c>
    </row>
    <row r="808" spans="1:46" x14ac:dyDescent="0.2">
      <c r="A808">
        <v>45</v>
      </c>
      <c r="B808">
        <v>37</v>
      </c>
      <c r="C808">
        <v>798579</v>
      </c>
      <c r="D808" s="1">
        <v>40896</v>
      </c>
      <c r="E808" t="s">
        <v>57</v>
      </c>
      <c r="F808" t="s">
        <v>40</v>
      </c>
      <c r="G808">
        <v>1000</v>
      </c>
      <c r="H808">
        <v>1114.23</v>
      </c>
      <c r="I808">
        <v>0</v>
      </c>
      <c r="J808">
        <v>432534</v>
      </c>
      <c r="K808" t="s">
        <v>41</v>
      </c>
      <c r="L808" t="s">
        <v>141</v>
      </c>
      <c r="M808" t="s">
        <v>101</v>
      </c>
      <c r="N808" t="s">
        <v>126</v>
      </c>
      <c r="O808" t="s">
        <v>119</v>
      </c>
      <c r="P808">
        <v>0</v>
      </c>
      <c r="Q808">
        <v>0</v>
      </c>
      <c r="R808" s="1">
        <v>42005</v>
      </c>
      <c r="S808" t="s">
        <v>46</v>
      </c>
      <c r="T808" t="s">
        <v>47</v>
      </c>
      <c r="U808" t="s">
        <v>48</v>
      </c>
      <c r="V808" t="s">
        <v>99</v>
      </c>
      <c r="W808" t="s">
        <v>50</v>
      </c>
      <c r="X808" t="s">
        <v>87</v>
      </c>
      <c r="Y808" t="s">
        <v>985</v>
      </c>
      <c r="Z808">
        <v>1</v>
      </c>
      <c r="AA808">
        <v>1</v>
      </c>
      <c r="AB808" t="s">
        <v>53</v>
      </c>
      <c r="AC808">
        <v>0</v>
      </c>
      <c r="AD808">
        <v>1</v>
      </c>
      <c r="AE808" t="s">
        <v>53</v>
      </c>
      <c r="AF808">
        <v>52200</v>
      </c>
      <c r="AG808">
        <v>10440</v>
      </c>
      <c r="AH808">
        <v>5220</v>
      </c>
      <c r="AI808">
        <v>36540</v>
      </c>
      <c r="AJ808" t="s">
        <v>104</v>
      </c>
      <c r="AK808" t="s">
        <v>105</v>
      </c>
      <c r="AL808">
        <v>2005</v>
      </c>
      <c r="AM808" t="s">
        <v>82</v>
      </c>
      <c r="AN808" s="2">
        <f t="shared" si="84"/>
        <v>46.806488347695094</v>
      </c>
      <c r="AO808">
        <f t="shared" si="85"/>
        <v>-51085.77</v>
      </c>
      <c r="AP808" s="2">
        <f t="shared" si="86"/>
        <v>2.1344993390931207E-2</v>
      </c>
      <c r="AQ808" s="2">
        <f t="shared" si="90"/>
        <v>10</v>
      </c>
      <c r="AR808">
        <f t="shared" si="87"/>
        <v>45</v>
      </c>
      <c r="AS808" t="str">
        <f t="shared" si="88"/>
        <v>High Claim Ratio</v>
      </c>
      <c r="AT808" t="str">
        <f t="shared" si="89"/>
        <v>High Profit</v>
      </c>
    </row>
    <row r="809" spans="1:46" x14ac:dyDescent="0.2">
      <c r="A809">
        <v>186</v>
      </c>
      <c r="B809">
        <v>38</v>
      </c>
      <c r="C809">
        <v>250833</v>
      </c>
      <c r="D809" s="1">
        <v>39657</v>
      </c>
      <c r="E809" t="s">
        <v>57</v>
      </c>
      <c r="F809" t="s">
        <v>40</v>
      </c>
      <c r="G809">
        <v>2000</v>
      </c>
      <c r="H809">
        <v>1347.31</v>
      </c>
      <c r="I809">
        <v>0</v>
      </c>
      <c r="J809">
        <v>436467</v>
      </c>
      <c r="K809" t="s">
        <v>70</v>
      </c>
      <c r="L809" t="s">
        <v>161</v>
      </c>
      <c r="M809" t="s">
        <v>135</v>
      </c>
      <c r="N809" t="s">
        <v>126</v>
      </c>
      <c r="O809" t="s">
        <v>85</v>
      </c>
      <c r="P809">
        <v>80900</v>
      </c>
      <c r="Q809">
        <v>-111100</v>
      </c>
      <c r="R809" s="1">
        <v>42037</v>
      </c>
      <c r="S809" t="s">
        <v>75</v>
      </c>
      <c r="T809" t="s">
        <v>76</v>
      </c>
      <c r="U809" t="s">
        <v>63</v>
      </c>
      <c r="V809" t="s">
        <v>136</v>
      </c>
      <c r="W809" t="s">
        <v>77</v>
      </c>
      <c r="X809" t="s">
        <v>102</v>
      </c>
      <c r="Y809" t="s">
        <v>986</v>
      </c>
      <c r="Z809">
        <v>1</v>
      </c>
      <c r="AA809">
        <v>3</v>
      </c>
      <c r="AB809" t="s">
        <v>79</v>
      </c>
      <c r="AC809">
        <v>2</v>
      </c>
      <c r="AD809">
        <v>3</v>
      </c>
      <c r="AE809" t="s">
        <v>62</v>
      </c>
      <c r="AF809">
        <v>73800</v>
      </c>
      <c r="AG809">
        <v>12300</v>
      </c>
      <c r="AH809">
        <v>12300</v>
      </c>
      <c r="AI809">
        <v>49200</v>
      </c>
      <c r="AJ809" t="s">
        <v>109</v>
      </c>
      <c r="AK809" t="s">
        <v>134</v>
      </c>
      <c r="AL809">
        <v>1995</v>
      </c>
      <c r="AM809" t="s">
        <v>82</v>
      </c>
      <c r="AN809" s="2">
        <f t="shared" si="84"/>
        <v>54.735187011888961</v>
      </c>
      <c r="AO809">
        <f t="shared" si="85"/>
        <v>-72452.69</v>
      </c>
      <c r="AP809" s="2">
        <f t="shared" si="86"/>
        <v>1.8255985691250795E-2</v>
      </c>
      <c r="AQ809" s="2">
        <f t="shared" si="90"/>
        <v>20</v>
      </c>
      <c r="AR809">
        <f t="shared" si="87"/>
        <v>186</v>
      </c>
      <c r="AS809" t="str">
        <f t="shared" si="88"/>
        <v>High Claim Ratio</v>
      </c>
      <c r="AT809" t="str">
        <f t="shared" si="89"/>
        <v>High Profit</v>
      </c>
    </row>
    <row r="810" spans="1:46" x14ac:dyDescent="0.2">
      <c r="A810">
        <v>135</v>
      </c>
      <c r="B810">
        <v>34</v>
      </c>
      <c r="C810">
        <v>824116</v>
      </c>
      <c r="D810" s="1">
        <v>35920</v>
      </c>
      <c r="E810" t="s">
        <v>83</v>
      </c>
      <c r="F810" t="s">
        <v>40</v>
      </c>
      <c r="G810">
        <v>2000</v>
      </c>
      <c r="H810">
        <v>1687.53</v>
      </c>
      <c r="I810">
        <v>0</v>
      </c>
      <c r="J810">
        <v>465674</v>
      </c>
      <c r="K810" t="s">
        <v>70</v>
      </c>
      <c r="L810" t="s">
        <v>161</v>
      </c>
      <c r="M810" t="s">
        <v>135</v>
      </c>
      <c r="N810" t="s">
        <v>106</v>
      </c>
      <c r="O810" t="s">
        <v>60</v>
      </c>
      <c r="P810">
        <v>0</v>
      </c>
      <c r="Q810">
        <v>-69600</v>
      </c>
      <c r="R810" s="1">
        <v>42027</v>
      </c>
      <c r="S810" t="s">
        <v>46</v>
      </c>
      <c r="T810" t="s">
        <v>47</v>
      </c>
      <c r="U810" t="s">
        <v>107</v>
      </c>
      <c r="V810" t="s">
        <v>99</v>
      </c>
      <c r="W810" t="s">
        <v>121</v>
      </c>
      <c r="X810" t="s">
        <v>127</v>
      </c>
      <c r="Y810" t="s">
        <v>987</v>
      </c>
      <c r="Z810">
        <v>7</v>
      </c>
      <c r="AA810">
        <v>1</v>
      </c>
      <c r="AB810" t="s">
        <v>62</v>
      </c>
      <c r="AC810">
        <v>1</v>
      </c>
      <c r="AD810">
        <v>2</v>
      </c>
      <c r="AE810" t="s">
        <v>79</v>
      </c>
      <c r="AF810">
        <v>78200</v>
      </c>
      <c r="AG810">
        <v>15640</v>
      </c>
      <c r="AH810">
        <v>7820</v>
      </c>
      <c r="AI810">
        <v>54740</v>
      </c>
      <c r="AJ810" t="s">
        <v>109</v>
      </c>
      <c r="AK810" t="s">
        <v>134</v>
      </c>
      <c r="AL810">
        <v>2009</v>
      </c>
      <c r="AM810" t="s">
        <v>82</v>
      </c>
      <c r="AN810" s="2">
        <f t="shared" si="84"/>
        <v>46.312472979455507</v>
      </c>
      <c r="AO810">
        <f t="shared" si="85"/>
        <v>-76512.47</v>
      </c>
      <c r="AP810" s="2">
        <f t="shared" si="86"/>
        <v>2.1579391567882765E-2</v>
      </c>
      <c r="AQ810" s="2">
        <f t="shared" si="90"/>
        <v>6</v>
      </c>
      <c r="AR810">
        <f t="shared" si="87"/>
        <v>135</v>
      </c>
      <c r="AS810" t="str">
        <f t="shared" si="88"/>
        <v>High Claim Ratio</v>
      </c>
      <c r="AT810" t="str">
        <f t="shared" si="89"/>
        <v>High Profit</v>
      </c>
    </row>
    <row r="811" spans="1:46" x14ac:dyDescent="0.2">
      <c r="A811">
        <v>110</v>
      </c>
      <c r="B811">
        <v>33</v>
      </c>
      <c r="C811">
        <v>322613</v>
      </c>
      <c r="D811" s="1">
        <v>34805</v>
      </c>
      <c r="E811" t="s">
        <v>57</v>
      </c>
      <c r="F811" t="s">
        <v>40</v>
      </c>
      <c r="G811">
        <v>1000</v>
      </c>
      <c r="H811">
        <v>1183.48</v>
      </c>
      <c r="I811">
        <v>0</v>
      </c>
      <c r="J811">
        <v>442389</v>
      </c>
      <c r="K811" t="s">
        <v>41</v>
      </c>
      <c r="L811" t="s">
        <v>92</v>
      </c>
      <c r="M811" t="s">
        <v>111</v>
      </c>
      <c r="N811" t="s">
        <v>98</v>
      </c>
      <c r="O811" t="s">
        <v>45</v>
      </c>
      <c r="P811">
        <v>0</v>
      </c>
      <c r="Q811">
        <v>0</v>
      </c>
      <c r="R811" s="1">
        <v>42030</v>
      </c>
      <c r="S811" t="s">
        <v>46</v>
      </c>
      <c r="T811" t="s">
        <v>76</v>
      </c>
      <c r="U811" t="s">
        <v>48</v>
      </c>
      <c r="V811" t="s">
        <v>136</v>
      </c>
      <c r="W811" t="s">
        <v>64</v>
      </c>
      <c r="X811" t="s">
        <v>127</v>
      </c>
      <c r="Y811" t="s">
        <v>988</v>
      </c>
      <c r="Z811">
        <v>19</v>
      </c>
      <c r="AA811">
        <v>1</v>
      </c>
      <c r="AB811" t="s">
        <v>62</v>
      </c>
      <c r="AC811">
        <v>2</v>
      </c>
      <c r="AD811">
        <v>3</v>
      </c>
      <c r="AE811" t="s">
        <v>79</v>
      </c>
      <c r="AF811">
        <v>55200</v>
      </c>
      <c r="AG811">
        <v>13800</v>
      </c>
      <c r="AH811">
        <v>9200</v>
      </c>
      <c r="AI811">
        <v>32200</v>
      </c>
      <c r="AJ811" t="s">
        <v>54</v>
      </c>
      <c r="AK811">
        <v>93</v>
      </c>
      <c r="AL811">
        <v>2015</v>
      </c>
      <c r="AM811" t="s">
        <v>56</v>
      </c>
      <c r="AN811" s="2">
        <f t="shared" si="84"/>
        <v>46.602728623531</v>
      </c>
      <c r="AO811">
        <f t="shared" si="85"/>
        <v>-54016.52</v>
      </c>
      <c r="AP811" s="2">
        <f t="shared" si="86"/>
        <v>2.1439466676328327E-2</v>
      </c>
      <c r="AQ811" s="2">
        <f t="shared" si="90"/>
        <v>0</v>
      </c>
      <c r="AR811">
        <f t="shared" si="87"/>
        <v>110</v>
      </c>
      <c r="AS811" t="str">
        <f t="shared" si="88"/>
        <v>High Claim Ratio</v>
      </c>
      <c r="AT811" t="str">
        <f t="shared" si="89"/>
        <v>High Profit</v>
      </c>
    </row>
    <row r="812" spans="1:46" x14ac:dyDescent="0.2">
      <c r="A812">
        <v>259</v>
      </c>
      <c r="B812">
        <v>43</v>
      </c>
      <c r="C812">
        <v>871305</v>
      </c>
      <c r="D812" s="1">
        <v>33648</v>
      </c>
      <c r="E812" t="s">
        <v>83</v>
      </c>
      <c r="F812" t="s">
        <v>91</v>
      </c>
      <c r="G812">
        <v>2000</v>
      </c>
      <c r="H812">
        <v>1537.13</v>
      </c>
      <c r="I812">
        <v>0</v>
      </c>
      <c r="J812">
        <v>471614</v>
      </c>
      <c r="K812" t="s">
        <v>70</v>
      </c>
      <c r="L812" t="s">
        <v>71</v>
      </c>
      <c r="M812" t="s">
        <v>159</v>
      </c>
      <c r="N812" t="s">
        <v>170</v>
      </c>
      <c r="O812" t="s">
        <v>74</v>
      </c>
      <c r="P812">
        <v>0</v>
      </c>
      <c r="Q812">
        <v>-58300</v>
      </c>
      <c r="R812" s="1">
        <v>42006</v>
      </c>
      <c r="S812" t="s">
        <v>75</v>
      </c>
      <c r="T812" t="s">
        <v>47</v>
      </c>
      <c r="U812" t="s">
        <v>107</v>
      </c>
      <c r="V812" t="s">
        <v>120</v>
      </c>
      <c r="W812" t="s">
        <v>77</v>
      </c>
      <c r="X812" t="s">
        <v>127</v>
      </c>
      <c r="Y812" t="s">
        <v>989</v>
      </c>
      <c r="Z812">
        <v>3</v>
      </c>
      <c r="AA812">
        <v>3</v>
      </c>
      <c r="AB812" t="s">
        <v>79</v>
      </c>
      <c r="AC812">
        <v>0</v>
      </c>
      <c r="AD812">
        <v>2</v>
      </c>
      <c r="AE812" t="s">
        <v>53</v>
      </c>
      <c r="AF812">
        <v>57060</v>
      </c>
      <c r="AG812">
        <v>6340</v>
      </c>
      <c r="AH812">
        <v>6340</v>
      </c>
      <c r="AI812">
        <v>44380</v>
      </c>
      <c r="AJ812" t="s">
        <v>129</v>
      </c>
      <c r="AK812" t="s">
        <v>249</v>
      </c>
      <c r="AL812">
        <v>2012</v>
      </c>
      <c r="AM812" t="s">
        <v>82</v>
      </c>
      <c r="AN812" s="2">
        <f t="shared" si="84"/>
        <v>37.096994402293689</v>
      </c>
      <c r="AO812">
        <f t="shared" si="85"/>
        <v>-55522.87</v>
      </c>
      <c r="AP812" s="2">
        <f t="shared" si="86"/>
        <v>2.6938364206726136E-2</v>
      </c>
      <c r="AQ812" s="2">
        <f t="shared" si="90"/>
        <v>3</v>
      </c>
      <c r="AR812">
        <f t="shared" si="87"/>
        <v>259</v>
      </c>
      <c r="AS812" t="str">
        <f t="shared" si="88"/>
        <v>High Claim Ratio</v>
      </c>
      <c r="AT812" t="str">
        <f t="shared" si="89"/>
        <v>High Profit</v>
      </c>
    </row>
    <row r="813" spans="1:46" x14ac:dyDescent="0.2">
      <c r="A813">
        <v>114</v>
      </c>
      <c r="B813">
        <v>30</v>
      </c>
      <c r="C813">
        <v>488037</v>
      </c>
      <c r="D813" s="1">
        <v>39274</v>
      </c>
      <c r="E813" t="s">
        <v>39</v>
      </c>
      <c r="F813" t="s">
        <v>40</v>
      </c>
      <c r="G813">
        <v>1000</v>
      </c>
      <c r="H813">
        <v>1173.25</v>
      </c>
      <c r="I813">
        <v>0</v>
      </c>
      <c r="J813">
        <v>442936</v>
      </c>
      <c r="K813" t="s">
        <v>70</v>
      </c>
      <c r="L813" t="s">
        <v>124</v>
      </c>
      <c r="M813" t="s">
        <v>135</v>
      </c>
      <c r="N813" t="s">
        <v>126</v>
      </c>
      <c r="O813" t="s">
        <v>45</v>
      </c>
      <c r="P813">
        <v>0</v>
      </c>
      <c r="Q813">
        <v>-34700</v>
      </c>
      <c r="R813" s="1">
        <v>42060</v>
      </c>
      <c r="S813" t="s">
        <v>61</v>
      </c>
      <c r="T813" t="s">
        <v>62</v>
      </c>
      <c r="U813" t="s">
        <v>63</v>
      </c>
      <c r="V813" t="s">
        <v>93</v>
      </c>
      <c r="W813" t="s">
        <v>113</v>
      </c>
      <c r="X813" t="s">
        <v>87</v>
      </c>
      <c r="Y813" t="s">
        <v>990</v>
      </c>
      <c r="Z813">
        <v>3</v>
      </c>
      <c r="AA813">
        <v>1</v>
      </c>
      <c r="AB813" t="s">
        <v>79</v>
      </c>
      <c r="AC813">
        <v>0</v>
      </c>
      <c r="AD813">
        <v>3</v>
      </c>
      <c r="AE813" t="s">
        <v>53</v>
      </c>
      <c r="AF813">
        <v>4680</v>
      </c>
      <c r="AG813">
        <v>520</v>
      </c>
      <c r="AH813">
        <v>520</v>
      </c>
      <c r="AI813">
        <v>3640</v>
      </c>
      <c r="AJ813" t="s">
        <v>89</v>
      </c>
      <c r="AK813" t="s">
        <v>245</v>
      </c>
      <c r="AL813">
        <v>2013</v>
      </c>
      <c r="AM813" t="s">
        <v>82</v>
      </c>
      <c r="AN813" s="2">
        <f t="shared" si="84"/>
        <v>3.9855226740472642</v>
      </c>
      <c r="AO813">
        <f t="shared" si="85"/>
        <v>-3506.75</v>
      </c>
      <c r="AP813" s="2">
        <f t="shared" si="86"/>
        <v>0.25064088869899592</v>
      </c>
      <c r="AQ813" s="2">
        <f t="shared" si="90"/>
        <v>2</v>
      </c>
      <c r="AR813">
        <f t="shared" si="87"/>
        <v>114</v>
      </c>
      <c r="AS813" t="str">
        <f t="shared" si="88"/>
        <v>Low Claim Ratio</v>
      </c>
      <c r="AT813" t="str">
        <f t="shared" si="89"/>
        <v>Low Profit</v>
      </c>
    </row>
    <row r="814" spans="1:46" x14ac:dyDescent="0.2">
      <c r="A814">
        <v>404</v>
      </c>
      <c r="B814">
        <v>56</v>
      </c>
      <c r="C814">
        <v>485813</v>
      </c>
      <c r="D814" s="1">
        <v>40275</v>
      </c>
      <c r="E814" t="s">
        <v>57</v>
      </c>
      <c r="F814" t="s">
        <v>40</v>
      </c>
      <c r="G814">
        <v>1000</v>
      </c>
      <c r="H814">
        <v>1361.16</v>
      </c>
      <c r="I814">
        <v>4000000</v>
      </c>
      <c r="J814">
        <v>437944</v>
      </c>
      <c r="K814" t="s">
        <v>70</v>
      </c>
      <c r="L814" t="s">
        <v>124</v>
      </c>
      <c r="M814" t="s">
        <v>145</v>
      </c>
      <c r="N814" t="s">
        <v>242</v>
      </c>
      <c r="O814" t="s">
        <v>142</v>
      </c>
      <c r="P814">
        <v>0</v>
      </c>
      <c r="Q814">
        <v>-63700</v>
      </c>
      <c r="R814" s="1">
        <v>42019</v>
      </c>
      <c r="S814" t="s">
        <v>46</v>
      </c>
      <c r="T814" t="s">
        <v>86</v>
      </c>
      <c r="U814" t="s">
        <v>63</v>
      </c>
      <c r="V814" t="s">
        <v>136</v>
      </c>
      <c r="W814" t="s">
        <v>64</v>
      </c>
      <c r="X814" t="s">
        <v>122</v>
      </c>
      <c r="Y814" t="s">
        <v>991</v>
      </c>
      <c r="Z814">
        <v>23</v>
      </c>
      <c r="AA814">
        <v>1</v>
      </c>
      <c r="AB814" t="s">
        <v>79</v>
      </c>
      <c r="AC814">
        <v>2</v>
      </c>
      <c r="AD814">
        <v>0</v>
      </c>
      <c r="AE814" t="s">
        <v>53</v>
      </c>
      <c r="AF814">
        <v>53100</v>
      </c>
      <c r="AG814">
        <v>5310</v>
      </c>
      <c r="AH814">
        <v>5310</v>
      </c>
      <c r="AI814">
        <v>42480</v>
      </c>
      <c r="AJ814" t="s">
        <v>95</v>
      </c>
      <c r="AK814" t="s">
        <v>148</v>
      </c>
      <c r="AL814">
        <v>2005</v>
      </c>
      <c r="AM814" t="s">
        <v>56</v>
      </c>
      <c r="AN814" s="2">
        <f t="shared" si="84"/>
        <v>38.982204733658307</v>
      </c>
      <c r="AO814">
        <f t="shared" si="85"/>
        <v>-51738.84</v>
      </c>
      <c r="AP814" s="2">
        <f t="shared" si="86"/>
        <v>2.5633415566561835E-2</v>
      </c>
      <c r="AQ814" s="2">
        <f t="shared" si="90"/>
        <v>10</v>
      </c>
      <c r="AR814">
        <f t="shared" si="87"/>
        <v>404</v>
      </c>
      <c r="AS814" t="str">
        <f t="shared" si="88"/>
        <v>High Claim Ratio</v>
      </c>
      <c r="AT814" t="str">
        <f t="shared" si="89"/>
        <v>High Profit</v>
      </c>
    </row>
    <row r="815" spans="1:46" x14ac:dyDescent="0.2">
      <c r="A815">
        <v>282</v>
      </c>
      <c r="B815">
        <v>48</v>
      </c>
      <c r="C815">
        <v>886473</v>
      </c>
      <c r="D815" s="1">
        <v>33307</v>
      </c>
      <c r="E815" t="s">
        <v>39</v>
      </c>
      <c r="F815" t="s">
        <v>91</v>
      </c>
      <c r="G815">
        <v>2000</v>
      </c>
      <c r="H815">
        <v>1422.56</v>
      </c>
      <c r="I815">
        <v>7000000</v>
      </c>
      <c r="J815">
        <v>473705</v>
      </c>
      <c r="K815" t="s">
        <v>70</v>
      </c>
      <c r="L815" t="s">
        <v>42</v>
      </c>
      <c r="M815" t="s">
        <v>101</v>
      </c>
      <c r="N815" t="s">
        <v>181</v>
      </c>
      <c r="O815" t="s">
        <v>45</v>
      </c>
      <c r="P815">
        <v>26900</v>
      </c>
      <c r="Q815">
        <v>-55300</v>
      </c>
      <c r="R815" s="1">
        <v>42044</v>
      </c>
      <c r="S815" t="s">
        <v>61</v>
      </c>
      <c r="T815" t="s">
        <v>62</v>
      </c>
      <c r="U815" t="s">
        <v>63</v>
      </c>
      <c r="V815" t="s">
        <v>93</v>
      </c>
      <c r="W815" t="s">
        <v>113</v>
      </c>
      <c r="X815" t="s">
        <v>102</v>
      </c>
      <c r="Y815" t="s">
        <v>992</v>
      </c>
      <c r="Z815">
        <v>7</v>
      </c>
      <c r="AA815">
        <v>1</v>
      </c>
      <c r="AB815" t="s">
        <v>62</v>
      </c>
      <c r="AC815">
        <v>1</v>
      </c>
      <c r="AD815">
        <v>2</v>
      </c>
      <c r="AE815" t="s">
        <v>79</v>
      </c>
      <c r="AF815">
        <v>3520</v>
      </c>
      <c r="AG815">
        <v>640</v>
      </c>
      <c r="AH815">
        <v>320</v>
      </c>
      <c r="AI815">
        <v>2560</v>
      </c>
      <c r="AJ815" t="s">
        <v>95</v>
      </c>
      <c r="AK815" t="s">
        <v>148</v>
      </c>
      <c r="AL815">
        <v>2013</v>
      </c>
      <c r="AM815" t="s">
        <v>82</v>
      </c>
      <c r="AN815" s="2">
        <f t="shared" si="84"/>
        <v>2.4726741408862289</v>
      </c>
      <c r="AO815">
        <f t="shared" si="85"/>
        <v>-2097.44</v>
      </c>
      <c r="AP815" s="2">
        <f t="shared" si="86"/>
        <v>0.40402158477705197</v>
      </c>
      <c r="AQ815" s="2">
        <f t="shared" si="90"/>
        <v>2</v>
      </c>
      <c r="AR815">
        <f t="shared" si="87"/>
        <v>282</v>
      </c>
      <c r="AS815" t="str">
        <f t="shared" si="88"/>
        <v>Low Claim Ratio</v>
      </c>
      <c r="AT815" t="str">
        <f t="shared" si="89"/>
        <v>Low Profit</v>
      </c>
    </row>
    <row r="816" spans="1:46" x14ac:dyDescent="0.2">
      <c r="A816">
        <v>57</v>
      </c>
      <c r="B816">
        <v>25</v>
      </c>
      <c r="C816">
        <v>907113</v>
      </c>
      <c r="D816" s="1">
        <v>35084</v>
      </c>
      <c r="E816" t="s">
        <v>83</v>
      </c>
      <c r="F816" t="s">
        <v>91</v>
      </c>
      <c r="G816">
        <v>2000</v>
      </c>
      <c r="H816">
        <v>1143.06</v>
      </c>
      <c r="I816">
        <v>0</v>
      </c>
      <c r="J816">
        <v>469363</v>
      </c>
      <c r="K816" t="s">
        <v>70</v>
      </c>
      <c r="L816" t="s">
        <v>124</v>
      </c>
      <c r="M816" t="s">
        <v>97</v>
      </c>
      <c r="N816" t="s">
        <v>126</v>
      </c>
      <c r="O816" t="s">
        <v>74</v>
      </c>
      <c r="P816">
        <v>63100</v>
      </c>
      <c r="Q816">
        <v>-54100</v>
      </c>
      <c r="R816" s="1">
        <v>42020</v>
      </c>
      <c r="S816" t="s">
        <v>75</v>
      </c>
      <c r="T816" t="s">
        <v>86</v>
      </c>
      <c r="U816" t="s">
        <v>107</v>
      </c>
      <c r="V816" t="s">
        <v>136</v>
      </c>
      <c r="W816" t="s">
        <v>64</v>
      </c>
      <c r="X816" t="s">
        <v>65</v>
      </c>
      <c r="Y816" t="s">
        <v>993</v>
      </c>
      <c r="Z816">
        <v>0</v>
      </c>
      <c r="AA816">
        <v>3</v>
      </c>
      <c r="AB816" t="s">
        <v>79</v>
      </c>
      <c r="AC816">
        <v>0</v>
      </c>
      <c r="AD816">
        <v>1</v>
      </c>
      <c r="AE816" t="s">
        <v>53</v>
      </c>
      <c r="AF816">
        <v>72900</v>
      </c>
      <c r="AG816">
        <v>14580</v>
      </c>
      <c r="AH816">
        <v>14580</v>
      </c>
      <c r="AI816">
        <v>43740</v>
      </c>
      <c r="AJ816" t="s">
        <v>104</v>
      </c>
      <c r="AK816" t="s">
        <v>151</v>
      </c>
      <c r="AL816">
        <v>2010</v>
      </c>
      <c r="AM816" t="s">
        <v>82</v>
      </c>
      <c r="AN816" s="2">
        <f t="shared" si="84"/>
        <v>63.720434242959286</v>
      </c>
      <c r="AO816">
        <f t="shared" si="85"/>
        <v>-71756.94</v>
      </c>
      <c r="AP816" s="2">
        <f t="shared" si="86"/>
        <v>1.5679620306991673E-2</v>
      </c>
      <c r="AQ816" s="2">
        <f t="shared" si="90"/>
        <v>5</v>
      </c>
      <c r="AR816">
        <f t="shared" si="87"/>
        <v>57</v>
      </c>
      <c r="AS816" t="str">
        <f t="shared" si="88"/>
        <v>High Claim Ratio</v>
      </c>
      <c r="AT816" t="str">
        <f t="shared" si="89"/>
        <v>High Profit</v>
      </c>
    </row>
    <row r="817" spans="1:46" x14ac:dyDescent="0.2">
      <c r="A817">
        <v>215</v>
      </c>
      <c r="B817">
        <v>38</v>
      </c>
      <c r="C817">
        <v>833321</v>
      </c>
      <c r="D817" s="1">
        <v>40238</v>
      </c>
      <c r="E817" t="s">
        <v>57</v>
      </c>
      <c r="F817" t="s">
        <v>40</v>
      </c>
      <c r="G817">
        <v>500</v>
      </c>
      <c r="H817">
        <v>1405.71</v>
      </c>
      <c r="I817">
        <v>0</v>
      </c>
      <c r="J817">
        <v>465376</v>
      </c>
      <c r="K817" t="s">
        <v>70</v>
      </c>
      <c r="L817" t="s">
        <v>71</v>
      </c>
      <c r="M817" t="s">
        <v>43</v>
      </c>
      <c r="N817" t="s">
        <v>118</v>
      </c>
      <c r="O817" t="s">
        <v>85</v>
      </c>
      <c r="P817">
        <v>0</v>
      </c>
      <c r="Q817">
        <v>0</v>
      </c>
      <c r="R817" s="1">
        <v>42036</v>
      </c>
      <c r="S817" t="s">
        <v>46</v>
      </c>
      <c r="T817" t="s">
        <v>76</v>
      </c>
      <c r="U817" t="s">
        <v>107</v>
      </c>
      <c r="V817" t="s">
        <v>49</v>
      </c>
      <c r="W817" t="s">
        <v>50</v>
      </c>
      <c r="X817" t="s">
        <v>87</v>
      </c>
      <c r="Y817" t="s">
        <v>994</v>
      </c>
      <c r="Z817">
        <v>10</v>
      </c>
      <c r="AA817">
        <v>1</v>
      </c>
      <c r="AB817" t="s">
        <v>62</v>
      </c>
      <c r="AC817">
        <v>0</v>
      </c>
      <c r="AD817">
        <v>1</v>
      </c>
      <c r="AE817" t="s">
        <v>79</v>
      </c>
      <c r="AF817">
        <v>70700</v>
      </c>
      <c r="AG817">
        <v>7070</v>
      </c>
      <c r="AH817">
        <v>14140</v>
      </c>
      <c r="AI817">
        <v>49490</v>
      </c>
      <c r="AJ817" t="s">
        <v>214</v>
      </c>
      <c r="AK817" t="s">
        <v>215</v>
      </c>
      <c r="AL817">
        <v>2008</v>
      </c>
      <c r="AM817" t="s">
        <v>82</v>
      </c>
      <c r="AN817" s="2">
        <f t="shared" si="84"/>
        <v>50.259115240525766</v>
      </c>
      <c r="AO817">
        <f t="shared" si="85"/>
        <v>-69294.289999999994</v>
      </c>
      <c r="AP817" s="2">
        <f t="shared" si="86"/>
        <v>1.9882462765731745E-2</v>
      </c>
      <c r="AQ817" s="2">
        <f t="shared" si="90"/>
        <v>7</v>
      </c>
      <c r="AR817">
        <f t="shared" si="87"/>
        <v>215</v>
      </c>
      <c r="AS817" t="str">
        <f t="shared" si="88"/>
        <v>High Claim Ratio</v>
      </c>
      <c r="AT817" t="str">
        <f t="shared" si="89"/>
        <v>High Profit</v>
      </c>
    </row>
    <row r="818" spans="1:46" x14ac:dyDescent="0.2">
      <c r="A818">
        <v>140</v>
      </c>
      <c r="B818">
        <v>30</v>
      </c>
      <c r="C818">
        <v>521592</v>
      </c>
      <c r="D818" s="1">
        <v>41805</v>
      </c>
      <c r="E818" t="s">
        <v>83</v>
      </c>
      <c r="F818" t="s">
        <v>69</v>
      </c>
      <c r="G818">
        <v>500</v>
      </c>
      <c r="H818">
        <v>1354.2</v>
      </c>
      <c r="I818">
        <v>0</v>
      </c>
      <c r="J818">
        <v>438775</v>
      </c>
      <c r="K818" t="s">
        <v>70</v>
      </c>
      <c r="L818" t="s">
        <v>141</v>
      </c>
      <c r="M818" t="s">
        <v>185</v>
      </c>
      <c r="N818" t="s">
        <v>98</v>
      </c>
      <c r="O818" t="s">
        <v>119</v>
      </c>
      <c r="P818">
        <v>100500</v>
      </c>
      <c r="Q818">
        <v>0</v>
      </c>
      <c r="R818" s="1">
        <v>42045</v>
      </c>
      <c r="S818" t="s">
        <v>75</v>
      </c>
      <c r="T818" t="s">
        <v>47</v>
      </c>
      <c r="U818" t="s">
        <v>63</v>
      </c>
      <c r="V818" t="s">
        <v>120</v>
      </c>
      <c r="W818" t="s">
        <v>50</v>
      </c>
      <c r="X818" t="s">
        <v>51</v>
      </c>
      <c r="Y818" t="s">
        <v>995</v>
      </c>
      <c r="Z818">
        <v>4</v>
      </c>
      <c r="AA818">
        <v>4</v>
      </c>
      <c r="AB818" t="s">
        <v>62</v>
      </c>
      <c r="AC818">
        <v>0</v>
      </c>
      <c r="AD818">
        <v>0</v>
      </c>
      <c r="AE818" t="s">
        <v>62</v>
      </c>
      <c r="AF818">
        <v>60170</v>
      </c>
      <c r="AG818">
        <v>5470</v>
      </c>
      <c r="AH818">
        <v>10940</v>
      </c>
      <c r="AI818">
        <v>43760</v>
      </c>
      <c r="AJ818" t="s">
        <v>104</v>
      </c>
      <c r="AK818" t="s">
        <v>105</v>
      </c>
      <c r="AL818">
        <v>2006</v>
      </c>
      <c r="AM818" t="s">
        <v>82</v>
      </c>
      <c r="AN818" s="2">
        <f t="shared" si="84"/>
        <v>44.399350649350644</v>
      </c>
      <c r="AO818">
        <f t="shared" si="85"/>
        <v>-58815.8</v>
      </c>
      <c r="AP818" s="2">
        <f t="shared" si="86"/>
        <v>2.2505858303834073E-2</v>
      </c>
      <c r="AQ818" s="2">
        <f t="shared" si="90"/>
        <v>9</v>
      </c>
      <c r="AR818">
        <f t="shared" si="87"/>
        <v>140</v>
      </c>
      <c r="AS818" t="str">
        <f t="shared" si="88"/>
        <v>High Claim Ratio</v>
      </c>
      <c r="AT818" t="str">
        <f t="shared" si="89"/>
        <v>High Profit</v>
      </c>
    </row>
    <row r="819" spans="1:46" x14ac:dyDescent="0.2">
      <c r="A819">
        <v>250</v>
      </c>
      <c r="B819">
        <v>42</v>
      </c>
      <c r="C819">
        <v>254837</v>
      </c>
      <c r="D819" s="1">
        <v>38316</v>
      </c>
      <c r="E819" t="s">
        <v>57</v>
      </c>
      <c r="F819" t="s">
        <v>69</v>
      </c>
      <c r="G819">
        <v>500</v>
      </c>
      <c r="H819">
        <v>1055.5999999999999</v>
      </c>
      <c r="I819">
        <v>0</v>
      </c>
      <c r="J819">
        <v>457962</v>
      </c>
      <c r="K819" t="s">
        <v>41</v>
      </c>
      <c r="L819" t="s">
        <v>131</v>
      </c>
      <c r="M819" t="s">
        <v>125</v>
      </c>
      <c r="N819" t="s">
        <v>165</v>
      </c>
      <c r="O819" t="s">
        <v>45</v>
      </c>
      <c r="P819">
        <v>69500</v>
      </c>
      <c r="Q819">
        <v>-40700</v>
      </c>
      <c r="R819" s="1">
        <v>42007</v>
      </c>
      <c r="S819" t="s">
        <v>46</v>
      </c>
      <c r="T819" t="s">
        <v>76</v>
      </c>
      <c r="U819" t="s">
        <v>48</v>
      </c>
      <c r="V819" t="s">
        <v>120</v>
      </c>
      <c r="W819" t="s">
        <v>50</v>
      </c>
      <c r="X819" t="s">
        <v>51</v>
      </c>
      <c r="Y819" t="s">
        <v>996</v>
      </c>
      <c r="Z819">
        <v>16</v>
      </c>
      <c r="AA819">
        <v>1</v>
      </c>
      <c r="AB819" t="s">
        <v>62</v>
      </c>
      <c r="AC819">
        <v>1</v>
      </c>
      <c r="AD819">
        <v>1</v>
      </c>
      <c r="AE819" t="s">
        <v>62</v>
      </c>
      <c r="AF819">
        <v>74800</v>
      </c>
      <c r="AG819">
        <v>13600</v>
      </c>
      <c r="AH819">
        <v>6800</v>
      </c>
      <c r="AI819">
        <v>54400</v>
      </c>
      <c r="AJ819" t="s">
        <v>129</v>
      </c>
      <c r="AK819" t="s">
        <v>249</v>
      </c>
      <c r="AL819">
        <v>2009</v>
      </c>
      <c r="AM819" t="s">
        <v>56</v>
      </c>
      <c r="AN819" s="2">
        <f t="shared" si="84"/>
        <v>70.793109975392781</v>
      </c>
      <c r="AO819">
        <f t="shared" si="85"/>
        <v>-73744.399999999994</v>
      </c>
      <c r="AP819" s="2">
        <f t="shared" si="86"/>
        <v>1.4112110800657744E-2</v>
      </c>
      <c r="AQ819" s="2">
        <f t="shared" si="90"/>
        <v>6</v>
      </c>
      <c r="AR819">
        <f t="shared" si="87"/>
        <v>250</v>
      </c>
      <c r="AS819" t="str">
        <f t="shared" si="88"/>
        <v>High Claim Ratio</v>
      </c>
      <c r="AT819" t="str">
        <f t="shared" si="89"/>
        <v>High Profit</v>
      </c>
    </row>
    <row r="820" spans="1:46" x14ac:dyDescent="0.2">
      <c r="A820">
        <v>286</v>
      </c>
      <c r="B820">
        <v>41</v>
      </c>
      <c r="C820">
        <v>634499</v>
      </c>
      <c r="D820" s="1">
        <v>36764</v>
      </c>
      <c r="E820" t="s">
        <v>83</v>
      </c>
      <c r="F820" t="s">
        <v>40</v>
      </c>
      <c r="G820">
        <v>1000</v>
      </c>
      <c r="H820">
        <v>999.43</v>
      </c>
      <c r="I820">
        <v>0</v>
      </c>
      <c r="J820">
        <v>477947</v>
      </c>
      <c r="K820" t="s">
        <v>41</v>
      </c>
      <c r="L820" t="s">
        <v>141</v>
      </c>
      <c r="M820" t="s">
        <v>101</v>
      </c>
      <c r="N820" t="s">
        <v>165</v>
      </c>
      <c r="O820" t="s">
        <v>119</v>
      </c>
      <c r="P820">
        <v>25800</v>
      </c>
      <c r="Q820">
        <v>0</v>
      </c>
      <c r="R820" s="1">
        <v>42005</v>
      </c>
      <c r="S820" t="s">
        <v>61</v>
      </c>
      <c r="T820" t="s">
        <v>62</v>
      </c>
      <c r="U820" t="s">
        <v>212</v>
      </c>
      <c r="V820" t="s">
        <v>49</v>
      </c>
      <c r="W820" t="s">
        <v>113</v>
      </c>
      <c r="X820" t="s">
        <v>127</v>
      </c>
      <c r="Y820" t="s">
        <v>997</v>
      </c>
      <c r="Z820">
        <v>3</v>
      </c>
      <c r="AA820">
        <v>1</v>
      </c>
      <c r="AB820" t="s">
        <v>53</v>
      </c>
      <c r="AC820">
        <v>2</v>
      </c>
      <c r="AD820">
        <v>0</v>
      </c>
      <c r="AE820" t="s">
        <v>62</v>
      </c>
      <c r="AF820">
        <v>4100</v>
      </c>
      <c r="AG820">
        <v>820</v>
      </c>
      <c r="AH820">
        <v>410</v>
      </c>
      <c r="AI820">
        <v>2870</v>
      </c>
      <c r="AJ820" t="s">
        <v>89</v>
      </c>
      <c r="AK820" t="s">
        <v>245</v>
      </c>
      <c r="AL820">
        <v>2009</v>
      </c>
      <c r="AM820" t="s">
        <v>82</v>
      </c>
      <c r="AN820" s="2">
        <f t="shared" si="84"/>
        <v>4.0982377577641618</v>
      </c>
      <c r="AO820">
        <f t="shared" si="85"/>
        <v>-3100.57</v>
      </c>
      <c r="AP820" s="2">
        <f t="shared" si="86"/>
        <v>0.24370397464033161</v>
      </c>
      <c r="AQ820" s="2">
        <f t="shared" si="90"/>
        <v>6</v>
      </c>
      <c r="AR820">
        <f t="shared" si="87"/>
        <v>286</v>
      </c>
      <c r="AS820" t="str">
        <f t="shared" si="88"/>
        <v>Low Claim Ratio</v>
      </c>
      <c r="AT820" t="str">
        <f t="shared" si="89"/>
        <v>Low Profit</v>
      </c>
    </row>
    <row r="821" spans="1:46" x14ac:dyDescent="0.2">
      <c r="A821">
        <v>356</v>
      </c>
      <c r="B821">
        <v>47</v>
      </c>
      <c r="C821">
        <v>574707</v>
      </c>
      <c r="D821" s="1">
        <v>38587</v>
      </c>
      <c r="E821" t="s">
        <v>57</v>
      </c>
      <c r="F821" t="s">
        <v>40</v>
      </c>
      <c r="G821">
        <v>2000</v>
      </c>
      <c r="H821">
        <v>1155.97</v>
      </c>
      <c r="I821">
        <v>0</v>
      </c>
      <c r="J821">
        <v>431104</v>
      </c>
      <c r="K821" t="s">
        <v>41</v>
      </c>
      <c r="L821" t="s">
        <v>131</v>
      </c>
      <c r="M821" t="s">
        <v>101</v>
      </c>
      <c r="N821" t="s">
        <v>118</v>
      </c>
      <c r="O821" t="s">
        <v>45</v>
      </c>
      <c r="P821">
        <v>0</v>
      </c>
      <c r="Q821">
        <v>0</v>
      </c>
      <c r="R821" s="1">
        <v>42058</v>
      </c>
      <c r="S821" t="s">
        <v>46</v>
      </c>
      <c r="T821" t="s">
        <v>47</v>
      </c>
      <c r="U821" t="s">
        <v>63</v>
      </c>
      <c r="V821" t="s">
        <v>120</v>
      </c>
      <c r="W821" t="s">
        <v>50</v>
      </c>
      <c r="X821" t="s">
        <v>51</v>
      </c>
      <c r="Y821" t="s">
        <v>998</v>
      </c>
      <c r="Z821">
        <v>5</v>
      </c>
      <c r="AA821">
        <v>1</v>
      </c>
      <c r="AB821" t="s">
        <v>53</v>
      </c>
      <c r="AC821">
        <v>0</v>
      </c>
      <c r="AD821">
        <v>3</v>
      </c>
      <c r="AE821" t="s">
        <v>62</v>
      </c>
      <c r="AF821">
        <v>61490</v>
      </c>
      <c r="AG821">
        <v>5590</v>
      </c>
      <c r="AH821">
        <v>11180</v>
      </c>
      <c r="AI821">
        <v>44720</v>
      </c>
      <c r="AJ821" t="s">
        <v>80</v>
      </c>
      <c r="AK821" t="s">
        <v>81</v>
      </c>
      <c r="AL821">
        <v>2009</v>
      </c>
      <c r="AM821" t="s">
        <v>82</v>
      </c>
      <c r="AN821" s="2">
        <f t="shared" si="84"/>
        <v>53.14744548259678</v>
      </c>
      <c r="AO821">
        <f t="shared" si="85"/>
        <v>-60334.03</v>
      </c>
      <c r="AP821" s="2">
        <f t="shared" si="86"/>
        <v>1.8799011237416858E-2</v>
      </c>
      <c r="AQ821" s="2">
        <f t="shared" si="90"/>
        <v>6</v>
      </c>
      <c r="AR821">
        <f t="shared" si="87"/>
        <v>356</v>
      </c>
      <c r="AS821" t="str">
        <f t="shared" si="88"/>
        <v>High Claim Ratio</v>
      </c>
      <c r="AT821" t="str">
        <f t="shared" si="89"/>
        <v>High Profit</v>
      </c>
    </row>
    <row r="822" spans="1:46" x14ac:dyDescent="0.2">
      <c r="A822">
        <v>65</v>
      </c>
      <c r="B822">
        <v>29</v>
      </c>
      <c r="C822">
        <v>476839</v>
      </c>
      <c r="D822" s="1">
        <v>33094</v>
      </c>
      <c r="E822" t="s">
        <v>83</v>
      </c>
      <c r="F822" t="s">
        <v>40</v>
      </c>
      <c r="G822">
        <v>1000</v>
      </c>
      <c r="H822">
        <v>1726.91</v>
      </c>
      <c r="I822">
        <v>0</v>
      </c>
      <c r="J822">
        <v>456570</v>
      </c>
      <c r="K822" t="s">
        <v>41</v>
      </c>
      <c r="L822" t="s">
        <v>131</v>
      </c>
      <c r="M822" t="s">
        <v>111</v>
      </c>
      <c r="N822" t="s">
        <v>179</v>
      </c>
      <c r="O822" t="s">
        <v>74</v>
      </c>
      <c r="P822">
        <v>0</v>
      </c>
      <c r="Q822">
        <v>0</v>
      </c>
      <c r="R822" s="1">
        <v>42032</v>
      </c>
      <c r="S822" t="s">
        <v>61</v>
      </c>
      <c r="T822" t="s">
        <v>62</v>
      </c>
      <c r="U822" t="s">
        <v>212</v>
      </c>
      <c r="V822" t="s">
        <v>93</v>
      </c>
      <c r="W822" t="s">
        <v>64</v>
      </c>
      <c r="X822" t="s">
        <v>122</v>
      </c>
      <c r="Y822" t="s">
        <v>999</v>
      </c>
      <c r="Z822">
        <v>14</v>
      </c>
      <c r="AA822">
        <v>1</v>
      </c>
      <c r="AB822" t="s">
        <v>62</v>
      </c>
      <c r="AC822">
        <v>0</v>
      </c>
      <c r="AD822">
        <v>0</v>
      </c>
      <c r="AE822" t="s">
        <v>62</v>
      </c>
      <c r="AF822">
        <v>7200</v>
      </c>
      <c r="AG822">
        <v>720</v>
      </c>
      <c r="AH822">
        <v>1440</v>
      </c>
      <c r="AI822">
        <v>5040</v>
      </c>
      <c r="AJ822" t="s">
        <v>109</v>
      </c>
      <c r="AK822" t="s">
        <v>110</v>
      </c>
      <c r="AL822">
        <v>1999</v>
      </c>
      <c r="AM822" t="s">
        <v>82</v>
      </c>
      <c r="AN822" s="2">
        <f t="shared" si="84"/>
        <v>4.1668836918589509</v>
      </c>
      <c r="AO822">
        <f t="shared" si="85"/>
        <v>-5473.09</v>
      </c>
      <c r="AP822" s="2">
        <f t="shared" si="86"/>
        <v>0.23981530343007917</v>
      </c>
      <c r="AQ822" s="2">
        <f t="shared" si="90"/>
        <v>16</v>
      </c>
      <c r="AR822">
        <f t="shared" si="87"/>
        <v>65</v>
      </c>
      <c r="AS822" t="str">
        <f t="shared" si="88"/>
        <v>Low Claim Ratio</v>
      </c>
      <c r="AT822" t="str">
        <f t="shared" si="89"/>
        <v>High Profit</v>
      </c>
    </row>
    <row r="823" spans="1:46" x14ac:dyDescent="0.2">
      <c r="A823">
        <v>187</v>
      </c>
      <c r="B823">
        <v>34</v>
      </c>
      <c r="C823">
        <v>149601</v>
      </c>
      <c r="D823" s="1">
        <v>37708</v>
      </c>
      <c r="E823" t="s">
        <v>57</v>
      </c>
      <c r="F823" t="s">
        <v>91</v>
      </c>
      <c r="G823">
        <v>500</v>
      </c>
      <c r="H823">
        <v>1232.57</v>
      </c>
      <c r="I823">
        <v>0</v>
      </c>
      <c r="J823">
        <v>612986</v>
      </c>
      <c r="K823" t="s">
        <v>70</v>
      </c>
      <c r="L823" t="s">
        <v>71</v>
      </c>
      <c r="M823" t="s">
        <v>58</v>
      </c>
      <c r="N823" t="s">
        <v>173</v>
      </c>
      <c r="O823" t="s">
        <v>142</v>
      </c>
      <c r="P823">
        <v>59500</v>
      </c>
      <c r="Q823">
        <v>0</v>
      </c>
      <c r="R823" s="1">
        <v>42057</v>
      </c>
      <c r="S823" t="s">
        <v>75</v>
      </c>
      <c r="T823" t="s">
        <v>47</v>
      </c>
      <c r="U823" t="s">
        <v>63</v>
      </c>
      <c r="V823" t="s">
        <v>99</v>
      </c>
      <c r="W823" t="s">
        <v>77</v>
      </c>
      <c r="X823" t="s">
        <v>87</v>
      </c>
      <c r="Y823" t="s">
        <v>1000</v>
      </c>
      <c r="Z823">
        <v>7</v>
      </c>
      <c r="AA823">
        <v>3</v>
      </c>
      <c r="AB823" t="s">
        <v>62</v>
      </c>
      <c r="AC823">
        <v>0</v>
      </c>
      <c r="AD823">
        <v>0</v>
      </c>
      <c r="AE823" t="s">
        <v>62</v>
      </c>
      <c r="AF823">
        <v>45100</v>
      </c>
      <c r="AG823">
        <v>8200</v>
      </c>
      <c r="AH823">
        <v>4100</v>
      </c>
      <c r="AI823">
        <v>32800</v>
      </c>
      <c r="AJ823" t="s">
        <v>104</v>
      </c>
      <c r="AK823" t="s">
        <v>105</v>
      </c>
      <c r="AL823">
        <v>2011</v>
      </c>
      <c r="AM823" t="s">
        <v>82</v>
      </c>
      <c r="AN823" s="2">
        <f t="shared" si="84"/>
        <v>36.560551894096001</v>
      </c>
      <c r="AO823">
        <f t="shared" si="85"/>
        <v>-43867.43</v>
      </c>
      <c r="AP823" s="2">
        <f t="shared" si="86"/>
        <v>2.7329105784794128E-2</v>
      </c>
      <c r="AQ823" s="2">
        <f t="shared" si="90"/>
        <v>4</v>
      </c>
      <c r="AR823">
        <f t="shared" si="87"/>
        <v>187</v>
      </c>
      <c r="AS823" t="str">
        <f t="shared" si="88"/>
        <v>High Claim Ratio</v>
      </c>
      <c r="AT823" t="str">
        <f t="shared" si="89"/>
        <v>High Profit</v>
      </c>
    </row>
    <row r="824" spans="1:46" x14ac:dyDescent="0.2">
      <c r="A824">
        <v>386</v>
      </c>
      <c r="B824">
        <v>53</v>
      </c>
      <c r="C824">
        <v>630683</v>
      </c>
      <c r="D824" s="1">
        <v>39378</v>
      </c>
      <c r="E824" t="s">
        <v>39</v>
      </c>
      <c r="F824" t="s">
        <v>40</v>
      </c>
      <c r="G824">
        <v>500</v>
      </c>
      <c r="H824">
        <v>1078.6500000000001</v>
      </c>
      <c r="I824">
        <v>0</v>
      </c>
      <c r="J824">
        <v>615730</v>
      </c>
      <c r="K824" t="s">
        <v>41</v>
      </c>
      <c r="L824" t="s">
        <v>161</v>
      </c>
      <c r="M824" t="s">
        <v>43</v>
      </c>
      <c r="N824" t="s">
        <v>118</v>
      </c>
      <c r="O824" t="s">
        <v>142</v>
      </c>
      <c r="P824">
        <v>36800</v>
      </c>
      <c r="Q824">
        <v>0</v>
      </c>
      <c r="R824" s="1">
        <v>42007</v>
      </c>
      <c r="S824" t="s">
        <v>46</v>
      </c>
      <c r="T824" t="s">
        <v>86</v>
      </c>
      <c r="U824" t="s">
        <v>63</v>
      </c>
      <c r="V824" t="s">
        <v>49</v>
      </c>
      <c r="W824" t="s">
        <v>113</v>
      </c>
      <c r="X824" t="s">
        <v>127</v>
      </c>
      <c r="Y824" t="s">
        <v>1001</v>
      </c>
      <c r="Z824">
        <v>16</v>
      </c>
      <c r="AA824">
        <v>1</v>
      </c>
      <c r="AB824" t="s">
        <v>62</v>
      </c>
      <c r="AC824">
        <v>2</v>
      </c>
      <c r="AD824">
        <v>3</v>
      </c>
      <c r="AE824" t="s">
        <v>53</v>
      </c>
      <c r="AF824">
        <v>66660</v>
      </c>
      <c r="AG824">
        <v>12120</v>
      </c>
      <c r="AH824">
        <v>6060</v>
      </c>
      <c r="AI824">
        <v>48480</v>
      </c>
      <c r="AJ824" t="s">
        <v>209</v>
      </c>
      <c r="AK824" t="s">
        <v>210</v>
      </c>
      <c r="AL824">
        <v>2006</v>
      </c>
      <c r="AM824" t="s">
        <v>82</v>
      </c>
      <c r="AN824" s="2">
        <f t="shared" si="84"/>
        <v>61.742231278655112</v>
      </c>
      <c r="AO824">
        <f t="shared" si="85"/>
        <v>-65581.350000000006</v>
      </c>
      <c r="AP824" s="2">
        <f t="shared" si="86"/>
        <v>1.6181125395658632E-2</v>
      </c>
      <c r="AQ824" s="2">
        <f t="shared" si="90"/>
        <v>9</v>
      </c>
      <c r="AR824">
        <f t="shared" si="87"/>
        <v>386</v>
      </c>
      <c r="AS824" t="str">
        <f t="shared" si="88"/>
        <v>High Claim Ratio</v>
      </c>
      <c r="AT824" t="str">
        <f t="shared" si="89"/>
        <v>High Profit</v>
      </c>
    </row>
    <row r="825" spans="1:46" x14ac:dyDescent="0.2">
      <c r="A825">
        <v>197</v>
      </c>
      <c r="B825">
        <v>41</v>
      </c>
      <c r="C825">
        <v>500639</v>
      </c>
      <c r="D825" s="1">
        <v>35243</v>
      </c>
      <c r="E825" t="s">
        <v>39</v>
      </c>
      <c r="F825" t="s">
        <v>91</v>
      </c>
      <c r="G825">
        <v>1000</v>
      </c>
      <c r="H825">
        <v>1324.78</v>
      </c>
      <c r="I825">
        <v>0</v>
      </c>
      <c r="J825">
        <v>478640</v>
      </c>
      <c r="K825" t="s">
        <v>70</v>
      </c>
      <c r="L825" t="s">
        <v>71</v>
      </c>
      <c r="M825" t="s">
        <v>101</v>
      </c>
      <c r="N825" t="s">
        <v>179</v>
      </c>
      <c r="O825" t="s">
        <v>142</v>
      </c>
      <c r="P825">
        <v>0</v>
      </c>
      <c r="Q825">
        <v>-64500</v>
      </c>
      <c r="R825" s="1">
        <v>42014</v>
      </c>
      <c r="S825" t="s">
        <v>46</v>
      </c>
      <c r="T825" t="s">
        <v>86</v>
      </c>
      <c r="U825" t="s">
        <v>48</v>
      </c>
      <c r="V825" t="s">
        <v>49</v>
      </c>
      <c r="W825" t="s">
        <v>121</v>
      </c>
      <c r="X825" t="s">
        <v>156</v>
      </c>
      <c r="Y825" t="s">
        <v>1002</v>
      </c>
      <c r="Z825">
        <v>6</v>
      </c>
      <c r="AA825">
        <v>1</v>
      </c>
      <c r="AB825" t="s">
        <v>79</v>
      </c>
      <c r="AC825">
        <v>2</v>
      </c>
      <c r="AD825">
        <v>2</v>
      </c>
      <c r="AE825" t="s">
        <v>53</v>
      </c>
      <c r="AF825">
        <v>76400</v>
      </c>
      <c r="AG825">
        <v>15280</v>
      </c>
      <c r="AH825">
        <v>7640</v>
      </c>
      <c r="AI825">
        <v>53480</v>
      </c>
      <c r="AJ825" t="s">
        <v>214</v>
      </c>
      <c r="AK825" t="s">
        <v>258</v>
      </c>
      <c r="AL825">
        <v>1997</v>
      </c>
      <c r="AM825" t="s">
        <v>56</v>
      </c>
      <c r="AN825" s="2">
        <f t="shared" si="84"/>
        <v>57.626453861123267</v>
      </c>
      <c r="AO825">
        <f t="shared" si="85"/>
        <v>-75075.22</v>
      </c>
      <c r="AP825" s="2">
        <f t="shared" si="86"/>
        <v>1.7339825394955564E-2</v>
      </c>
      <c r="AQ825" s="2">
        <f t="shared" si="90"/>
        <v>18</v>
      </c>
      <c r="AR825">
        <f t="shared" si="87"/>
        <v>197</v>
      </c>
      <c r="AS825" t="str">
        <f t="shared" si="88"/>
        <v>High Claim Ratio</v>
      </c>
      <c r="AT825" t="str">
        <f t="shared" si="89"/>
        <v>High Profit</v>
      </c>
    </row>
    <row r="826" spans="1:46" x14ac:dyDescent="0.2">
      <c r="A826">
        <v>166</v>
      </c>
      <c r="B826">
        <v>37</v>
      </c>
      <c r="C826">
        <v>352120</v>
      </c>
      <c r="D826" s="1">
        <v>34679</v>
      </c>
      <c r="E826" t="s">
        <v>57</v>
      </c>
      <c r="F826" t="s">
        <v>40</v>
      </c>
      <c r="G826">
        <v>500</v>
      </c>
      <c r="H826">
        <v>1518.54</v>
      </c>
      <c r="I826">
        <v>0</v>
      </c>
      <c r="J826">
        <v>470510</v>
      </c>
      <c r="K826" t="s">
        <v>70</v>
      </c>
      <c r="L826" t="s">
        <v>42</v>
      </c>
      <c r="M826" t="s">
        <v>43</v>
      </c>
      <c r="N826" t="s">
        <v>170</v>
      </c>
      <c r="O826" t="s">
        <v>142</v>
      </c>
      <c r="P826">
        <v>0</v>
      </c>
      <c r="Q826">
        <v>0</v>
      </c>
      <c r="R826" s="1">
        <v>42029</v>
      </c>
      <c r="S826" t="s">
        <v>46</v>
      </c>
      <c r="T826" t="s">
        <v>76</v>
      </c>
      <c r="U826" t="s">
        <v>107</v>
      </c>
      <c r="V826" t="s">
        <v>136</v>
      </c>
      <c r="W826" t="s">
        <v>175</v>
      </c>
      <c r="X826" t="s">
        <v>65</v>
      </c>
      <c r="Y826" t="s">
        <v>1003</v>
      </c>
      <c r="Z826">
        <v>10</v>
      </c>
      <c r="AA826">
        <v>1</v>
      </c>
      <c r="AB826" t="s">
        <v>53</v>
      </c>
      <c r="AC826">
        <v>1</v>
      </c>
      <c r="AD826">
        <v>1</v>
      </c>
      <c r="AE826" t="s">
        <v>79</v>
      </c>
      <c r="AF826">
        <v>58300</v>
      </c>
      <c r="AG826">
        <v>10600</v>
      </c>
      <c r="AH826">
        <v>10600</v>
      </c>
      <c r="AI826">
        <v>37100</v>
      </c>
      <c r="AJ826" t="s">
        <v>129</v>
      </c>
      <c r="AK826" t="s">
        <v>130</v>
      </c>
      <c r="AL826">
        <v>2001</v>
      </c>
      <c r="AM826" t="s">
        <v>82</v>
      </c>
      <c r="AN826" s="2">
        <f t="shared" si="84"/>
        <v>38.3668741856088</v>
      </c>
      <c r="AO826">
        <f t="shared" si="85"/>
        <v>-56781.46</v>
      </c>
      <c r="AP826" s="2">
        <f t="shared" si="86"/>
        <v>2.6046551517126634E-2</v>
      </c>
      <c r="AQ826" s="2">
        <f t="shared" si="90"/>
        <v>14</v>
      </c>
      <c r="AR826">
        <f t="shared" si="87"/>
        <v>166</v>
      </c>
      <c r="AS826" t="str">
        <f t="shared" si="88"/>
        <v>High Claim Ratio</v>
      </c>
      <c r="AT826" t="str">
        <f t="shared" si="89"/>
        <v>High Profit</v>
      </c>
    </row>
    <row r="827" spans="1:46" x14ac:dyDescent="0.2">
      <c r="A827">
        <v>293</v>
      </c>
      <c r="B827">
        <v>49</v>
      </c>
      <c r="C827">
        <v>569245</v>
      </c>
      <c r="D827" s="1">
        <v>35038</v>
      </c>
      <c r="E827" t="s">
        <v>83</v>
      </c>
      <c r="F827" t="s">
        <v>69</v>
      </c>
      <c r="G827">
        <v>2000</v>
      </c>
      <c r="H827">
        <v>1239.06</v>
      </c>
      <c r="I827">
        <v>0</v>
      </c>
      <c r="J827">
        <v>439360</v>
      </c>
      <c r="K827" t="s">
        <v>70</v>
      </c>
      <c r="L827" t="s">
        <v>161</v>
      </c>
      <c r="M827" t="s">
        <v>145</v>
      </c>
      <c r="N827" t="s">
        <v>132</v>
      </c>
      <c r="O827" t="s">
        <v>45</v>
      </c>
      <c r="P827">
        <v>34900</v>
      </c>
      <c r="Q827">
        <v>0</v>
      </c>
      <c r="R827" s="1">
        <v>42014</v>
      </c>
      <c r="S827" t="s">
        <v>46</v>
      </c>
      <c r="T827" t="s">
        <v>86</v>
      </c>
      <c r="U827" t="s">
        <v>107</v>
      </c>
      <c r="V827" t="s">
        <v>49</v>
      </c>
      <c r="W827" t="s">
        <v>50</v>
      </c>
      <c r="X827" t="s">
        <v>65</v>
      </c>
      <c r="Y827" t="s">
        <v>1004</v>
      </c>
      <c r="Z827">
        <v>19</v>
      </c>
      <c r="AA827">
        <v>1</v>
      </c>
      <c r="AB827" t="s">
        <v>62</v>
      </c>
      <c r="AC827">
        <v>1</v>
      </c>
      <c r="AD827">
        <v>1</v>
      </c>
      <c r="AE827" t="s">
        <v>62</v>
      </c>
      <c r="AF827">
        <v>57310</v>
      </c>
      <c r="AG827">
        <v>5210</v>
      </c>
      <c r="AH827">
        <v>10420</v>
      </c>
      <c r="AI827">
        <v>41680</v>
      </c>
      <c r="AJ827" t="s">
        <v>214</v>
      </c>
      <c r="AK827" t="s">
        <v>215</v>
      </c>
      <c r="AL827">
        <v>2002</v>
      </c>
      <c r="AM827" t="s">
        <v>82</v>
      </c>
      <c r="AN827" s="2">
        <f t="shared" si="84"/>
        <v>46.215505701337037</v>
      </c>
      <c r="AO827">
        <f t="shared" si="85"/>
        <v>-56070.94</v>
      </c>
      <c r="AP827" s="2">
        <f t="shared" si="86"/>
        <v>2.1619933346129015E-2</v>
      </c>
      <c r="AQ827" s="2">
        <f t="shared" si="90"/>
        <v>13</v>
      </c>
      <c r="AR827">
        <f t="shared" si="87"/>
        <v>293</v>
      </c>
      <c r="AS827" t="str">
        <f t="shared" si="88"/>
        <v>High Claim Ratio</v>
      </c>
      <c r="AT827" t="str">
        <f t="shared" si="89"/>
        <v>High Profit</v>
      </c>
    </row>
    <row r="828" spans="1:46" x14ac:dyDescent="0.2">
      <c r="A828">
        <v>179</v>
      </c>
      <c r="B828">
        <v>32</v>
      </c>
      <c r="C828">
        <v>907012</v>
      </c>
      <c r="D828" s="1">
        <v>35414</v>
      </c>
      <c r="E828" t="s">
        <v>39</v>
      </c>
      <c r="F828" t="s">
        <v>91</v>
      </c>
      <c r="G828">
        <v>2000</v>
      </c>
      <c r="H828">
        <v>1246.68</v>
      </c>
      <c r="I828">
        <v>0</v>
      </c>
      <c r="J828">
        <v>440251</v>
      </c>
      <c r="K828" t="s">
        <v>70</v>
      </c>
      <c r="L828" t="s">
        <v>71</v>
      </c>
      <c r="M828" t="s">
        <v>117</v>
      </c>
      <c r="N828" t="s">
        <v>146</v>
      </c>
      <c r="O828" t="s">
        <v>74</v>
      </c>
      <c r="P828">
        <v>0</v>
      </c>
      <c r="Q828">
        <v>0</v>
      </c>
      <c r="R828" s="1">
        <v>42032</v>
      </c>
      <c r="S828" t="s">
        <v>46</v>
      </c>
      <c r="T828" t="s">
        <v>86</v>
      </c>
      <c r="U828" t="s">
        <v>63</v>
      </c>
      <c r="V828" t="s">
        <v>99</v>
      </c>
      <c r="W828" t="s">
        <v>77</v>
      </c>
      <c r="X828" t="s">
        <v>87</v>
      </c>
      <c r="Y828" t="s">
        <v>1005</v>
      </c>
      <c r="Z828">
        <v>10</v>
      </c>
      <c r="AA828">
        <v>1</v>
      </c>
      <c r="AB828" t="s">
        <v>62</v>
      </c>
      <c r="AC828">
        <v>0</v>
      </c>
      <c r="AD828">
        <v>1</v>
      </c>
      <c r="AE828" t="s">
        <v>62</v>
      </c>
      <c r="AF828">
        <v>53100</v>
      </c>
      <c r="AG828">
        <v>5900</v>
      </c>
      <c r="AH828">
        <v>5900</v>
      </c>
      <c r="AI828">
        <v>41300</v>
      </c>
      <c r="AJ828" t="s">
        <v>153</v>
      </c>
      <c r="AK828" t="s">
        <v>163</v>
      </c>
      <c r="AL828">
        <v>2006</v>
      </c>
      <c r="AM828" t="s">
        <v>82</v>
      </c>
      <c r="AN828" s="2">
        <f t="shared" si="84"/>
        <v>42.558989484483199</v>
      </c>
      <c r="AO828">
        <f t="shared" si="85"/>
        <v>-51853.32</v>
      </c>
      <c r="AP828" s="2">
        <f t="shared" si="86"/>
        <v>2.3477523963767163E-2</v>
      </c>
      <c r="AQ828" s="2">
        <f t="shared" si="90"/>
        <v>9</v>
      </c>
      <c r="AR828">
        <f t="shared" si="87"/>
        <v>179</v>
      </c>
      <c r="AS828" t="str">
        <f t="shared" si="88"/>
        <v>High Claim Ratio</v>
      </c>
      <c r="AT828" t="str">
        <f t="shared" si="89"/>
        <v>High Profit</v>
      </c>
    </row>
    <row r="829" spans="1:46" x14ac:dyDescent="0.2">
      <c r="A829">
        <v>76</v>
      </c>
      <c r="B829">
        <v>24</v>
      </c>
      <c r="C829">
        <v>700074</v>
      </c>
      <c r="D829" s="1">
        <v>40700</v>
      </c>
      <c r="E829" t="s">
        <v>39</v>
      </c>
      <c r="F829" t="s">
        <v>40</v>
      </c>
      <c r="G829">
        <v>1000</v>
      </c>
      <c r="H829">
        <v>1622.67</v>
      </c>
      <c r="I829">
        <v>0</v>
      </c>
      <c r="J829">
        <v>600313</v>
      </c>
      <c r="K829" t="s">
        <v>70</v>
      </c>
      <c r="L829" t="s">
        <v>42</v>
      </c>
      <c r="M829" t="s">
        <v>117</v>
      </c>
      <c r="N829" t="s">
        <v>165</v>
      </c>
      <c r="O829" t="s">
        <v>45</v>
      </c>
      <c r="P829">
        <v>0</v>
      </c>
      <c r="Q829">
        <v>0</v>
      </c>
      <c r="R829" s="1">
        <v>42053</v>
      </c>
      <c r="S829" t="s">
        <v>75</v>
      </c>
      <c r="T829" t="s">
        <v>47</v>
      </c>
      <c r="U829" t="s">
        <v>107</v>
      </c>
      <c r="V829" t="s">
        <v>136</v>
      </c>
      <c r="W829" t="s">
        <v>113</v>
      </c>
      <c r="X829" t="s">
        <v>65</v>
      </c>
      <c r="Y829" t="s">
        <v>1006</v>
      </c>
      <c r="Z829">
        <v>6</v>
      </c>
      <c r="AA829">
        <v>3</v>
      </c>
      <c r="AB829" t="s">
        <v>79</v>
      </c>
      <c r="AC829">
        <v>1</v>
      </c>
      <c r="AD829">
        <v>1</v>
      </c>
      <c r="AE829" t="s">
        <v>62</v>
      </c>
      <c r="AF829">
        <v>74700</v>
      </c>
      <c r="AG829">
        <v>14940</v>
      </c>
      <c r="AH829">
        <v>7470</v>
      </c>
      <c r="AI829">
        <v>52290</v>
      </c>
      <c r="AJ829" t="s">
        <v>153</v>
      </c>
      <c r="AK829" t="s">
        <v>167</v>
      </c>
      <c r="AL829">
        <v>1997</v>
      </c>
      <c r="AM829" t="s">
        <v>82</v>
      </c>
      <c r="AN829" s="2">
        <f t="shared" si="84"/>
        <v>46.006885635627924</v>
      </c>
      <c r="AO829">
        <f t="shared" si="85"/>
        <v>-73077.33</v>
      </c>
      <c r="AP829" s="2">
        <f t="shared" si="86"/>
        <v>2.1722199167347158E-2</v>
      </c>
      <c r="AQ829" s="2">
        <f t="shared" si="90"/>
        <v>18</v>
      </c>
      <c r="AR829">
        <f t="shared" si="87"/>
        <v>76</v>
      </c>
      <c r="AS829" t="str">
        <f t="shared" si="88"/>
        <v>High Claim Ratio</v>
      </c>
      <c r="AT829" t="str">
        <f t="shared" si="89"/>
        <v>High Profit</v>
      </c>
    </row>
    <row r="830" spans="1:46" x14ac:dyDescent="0.2">
      <c r="A830">
        <v>105</v>
      </c>
      <c r="B830">
        <v>28</v>
      </c>
      <c r="C830">
        <v>866805</v>
      </c>
      <c r="D830" s="1">
        <v>35046</v>
      </c>
      <c r="E830" t="s">
        <v>39</v>
      </c>
      <c r="F830" t="s">
        <v>40</v>
      </c>
      <c r="G830">
        <v>500</v>
      </c>
      <c r="H830">
        <v>1082.3599999999999</v>
      </c>
      <c r="I830">
        <v>0</v>
      </c>
      <c r="J830">
        <v>452216</v>
      </c>
      <c r="K830" t="s">
        <v>70</v>
      </c>
      <c r="L830" t="s">
        <v>92</v>
      </c>
      <c r="M830" t="s">
        <v>101</v>
      </c>
      <c r="N830" t="s">
        <v>112</v>
      </c>
      <c r="O830" t="s">
        <v>74</v>
      </c>
      <c r="P830">
        <v>0</v>
      </c>
      <c r="Q830">
        <v>0</v>
      </c>
      <c r="R830" s="1">
        <v>42028</v>
      </c>
      <c r="S830" t="s">
        <v>75</v>
      </c>
      <c r="T830" t="s">
        <v>76</v>
      </c>
      <c r="U830" t="s">
        <v>48</v>
      </c>
      <c r="V830" t="s">
        <v>99</v>
      </c>
      <c r="W830" t="s">
        <v>50</v>
      </c>
      <c r="X830" t="s">
        <v>65</v>
      </c>
      <c r="Y830" t="s">
        <v>1007</v>
      </c>
      <c r="Z830">
        <v>12</v>
      </c>
      <c r="AA830">
        <v>3</v>
      </c>
      <c r="AB830" t="s">
        <v>79</v>
      </c>
      <c r="AC830">
        <v>2</v>
      </c>
      <c r="AD830">
        <v>2</v>
      </c>
      <c r="AE830" t="s">
        <v>79</v>
      </c>
      <c r="AF830">
        <v>60500</v>
      </c>
      <c r="AG830">
        <v>12100</v>
      </c>
      <c r="AH830">
        <v>6050</v>
      </c>
      <c r="AI830">
        <v>42350</v>
      </c>
      <c r="AJ830" t="s">
        <v>109</v>
      </c>
      <c r="AK830" t="s">
        <v>110</v>
      </c>
      <c r="AL830">
        <v>1995</v>
      </c>
      <c r="AM830" t="s">
        <v>82</v>
      </c>
      <c r="AN830" s="2">
        <f t="shared" si="84"/>
        <v>55.844779205434946</v>
      </c>
      <c r="AO830">
        <f t="shared" si="85"/>
        <v>-59417.64</v>
      </c>
      <c r="AP830" s="2">
        <f t="shared" si="86"/>
        <v>1.7889952232194507E-2</v>
      </c>
      <c r="AQ830" s="2">
        <f t="shared" si="90"/>
        <v>20</v>
      </c>
      <c r="AR830">
        <f t="shared" si="87"/>
        <v>105</v>
      </c>
      <c r="AS830" t="str">
        <f t="shared" si="88"/>
        <v>High Claim Ratio</v>
      </c>
      <c r="AT830" t="str">
        <f t="shared" si="89"/>
        <v>High Profit</v>
      </c>
    </row>
    <row r="831" spans="1:46" x14ac:dyDescent="0.2">
      <c r="A831">
        <v>97</v>
      </c>
      <c r="B831">
        <v>26</v>
      </c>
      <c r="C831">
        <v>951863</v>
      </c>
      <c r="D831" s="1">
        <v>35731</v>
      </c>
      <c r="E831" t="s">
        <v>39</v>
      </c>
      <c r="F831" t="s">
        <v>40</v>
      </c>
      <c r="G831">
        <v>1000</v>
      </c>
      <c r="H831">
        <v>1270.55</v>
      </c>
      <c r="I831">
        <v>0</v>
      </c>
      <c r="J831">
        <v>478532</v>
      </c>
      <c r="K831" t="s">
        <v>41</v>
      </c>
      <c r="L831" t="s">
        <v>124</v>
      </c>
      <c r="M831" t="s">
        <v>135</v>
      </c>
      <c r="N831" t="s">
        <v>168</v>
      </c>
      <c r="O831" t="s">
        <v>85</v>
      </c>
      <c r="P831">
        <v>0</v>
      </c>
      <c r="Q831">
        <v>-72100</v>
      </c>
      <c r="R831" s="1">
        <v>42024</v>
      </c>
      <c r="S831" t="s">
        <v>75</v>
      </c>
      <c r="T831" t="s">
        <v>47</v>
      </c>
      <c r="U831" t="s">
        <v>107</v>
      </c>
      <c r="V831" t="s">
        <v>120</v>
      </c>
      <c r="W831" t="s">
        <v>121</v>
      </c>
      <c r="X831" t="s">
        <v>65</v>
      </c>
      <c r="Y831" t="s">
        <v>1008</v>
      </c>
      <c r="Z831">
        <v>10</v>
      </c>
      <c r="AA831">
        <v>3</v>
      </c>
      <c r="AB831" t="s">
        <v>53</v>
      </c>
      <c r="AC831">
        <v>2</v>
      </c>
      <c r="AD831">
        <v>3</v>
      </c>
      <c r="AE831" t="s">
        <v>79</v>
      </c>
      <c r="AF831">
        <v>84920</v>
      </c>
      <c r="AG831">
        <v>7720</v>
      </c>
      <c r="AH831">
        <v>15440</v>
      </c>
      <c r="AI831">
        <v>61760</v>
      </c>
      <c r="AJ831" t="s">
        <v>197</v>
      </c>
      <c r="AK831" t="s">
        <v>198</v>
      </c>
      <c r="AL831">
        <v>2006</v>
      </c>
      <c r="AM831" t="s">
        <v>56</v>
      </c>
      <c r="AN831" s="2">
        <f t="shared" si="84"/>
        <v>66.784632928315844</v>
      </c>
      <c r="AO831">
        <f t="shared" si="85"/>
        <v>-83649.45</v>
      </c>
      <c r="AP831" s="2">
        <f t="shared" si="86"/>
        <v>1.4961552501736908E-2</v>
      </c>
      <c r="AQ831" s="2">
        <f t="shared" si="90"/>
        <v>9</v>
      </c>
      <c r="AR831">
        <f t="shared" si="87"/>
        <v>97</v>
      </c>
      <c r="AS831" t="str">
        <f t="shared" si="88"/>
        <v>High Claim Ratio</v>
      </c>
      <c r="AT831" t="str">
        <f t="shared" si="89"/>
        <v>High Profit</v>
      </c>
    </row>
    <row r="832" spans="1:46" x14ac:dyDescent="0.2">
      <c r="A832">
        <v>148</v>
      </c>
      <c r="B832">
        <v>36</v>
      </c>
      <c r="C832">
        <v>211578</v>
      </c>
      <c r="D832" s="1">
        <v>35068</v>
      </c>
      <c r="E832" t="s">
        <v>83</v>
      </c>
      <c r="F832" t="s">
        <v>91</v>
      </c>
      <c r="G832">
        <v>1000</v>
      </c>
      <c r="H832">
        <v>1236.32</v>
      </c>
      <c r="I832">
        <v>5000000</v>
      </c>
      <c r="J832">
        <v>616929</v>
      </c>
      <c r="K832" t="s">
        <v>70</v>
      </c>
      <c r="L832" t="s">
        <v>42</v>
      </c>
      <c r="M832" t="s">
        <v>185</v>
      </c>
      <c r="N832" t="s">
        <v>149</v>
      </c>
      <c r="O832" t="s">
        <v>74</v>
      </c>
      <c r="P832">
        <v>55100</v>
      </c>
      <c r="Q832">
        <v>0</v>
      </c>
      <c r="R832" s="1">
        <v>42014</v>
      </c>
      <c r="S832" t="s">
        <v>46</v>
      </c>
      <c r="T832" t="s">
        <v>47</v>
      </c>
      <c r="U832" t="s">
        <v>107</v>
      </c>
      <c r="V832" t="s">
        <v>49</v>
      </c>
      <c r="W832" t="s">
        <v>175</v>
      </c>
      <c r="X832" t="s">
        <v>156</v>
      </c>
      <c r="Y832" t="s">
        <v>1009</v>
      </c>
      <c r="Z832">
        <v>0</v>
      </c>
      <c r="AA832">
        <v>1</v>
      </c>
      <c r="AB832" t="s">
        <v>79</v>
      </c>
      <c r="AC832">
        <v>2</v>
      </c>
      <c r="AD832">
        <v>0</v>
      </c>
      <c r="AE832" t="s">
        <v>79</v>
      </c>
      <c r="AF832">
        <v>61050</v>
      </c>
      <c r="AG832">
        <v>5550</v>
      </c>
      <c r="AH832">
        <v>11100</v>
      </c>
      <c r="AI832">
        <v>44400</v>
      </c>
      <c r="AJ832" t="s">
        <v>80</v>
      </c>
      <c r="AK832" t="s">
        <v>144</v>
      </c>
      <c r="AL832">
        <v>2009</v>
      </c>
      <c r="AM832" t="s">
        <v>82</v>
      </c>
      <c r="AN832" s="2">
        <f t="shared" si="84"/>
        <v>49.340510134807488</v>
      </c>
      <c r="AO832">
        <f t="shared" si="85"/>
        <v>-59813.68</v>
      </c>
      <c r="AP832" s="2">
        <f t="shared" si="86"/>
        <v>2.0250610145615959E-2</v>
      </c>
      <c r="AQ832" s="2">
        <f t="shared" si="90"/>
        <v>6</v>
      </c>
      <c r="AR832">
        <f t="shared" si="87"/>
        <v>148</v>
      </c>
      <c r="AS832" t="str">
        <f t="shared" si="88"/>
        <v>High Claim Ratio</v>
      </c>
      <c r="AT832" t="str">
        <f t="shared" si="89"/>
        <v>High Profit</v>
      </c>
    </row>
    <row r="833" spans="1:46" x14ac:dyDescent="0.2">
      <c r="A833">
        <v>77</v>
      </c>
      <c r="B833">
        <v>26</v>
      </c>
      <c r="C833">
        <v>357394</v>
      </c>
      <c r="D833" s="1">
        <v>39577</v>
      </c>
      <c r="E833" t="s">
        <v>83</v>
      </c>
      <c r="F833" t="s">
        <v>40</v>
      </c>
      <c r="G833">
        <v>2000</v>
      </c>
      <c r="H833">
        <v>785.82</v>
      </c>
      <c r="I833">
        <v>0</v>
      </c>
      <c r="J833">
        <v>620207</v>
      </c>
      <c r="K833" t="s">
        <v>41</v>
      </c>
      <c r="L833" t="s">
        <v>161</v>
      </c>
      <c r="M833" t="s">
        <v>125</v>
      </c>
      <c r="N833" t="s">
        <v>146</v>
      </c>
      <c r="O833" t="s">
        <v>60</v>
      </c>
      <c r="P833">
        <v>49700</v>
      </c>
      <c r="Q833">
        <v>0</v>
      </c>
      <c r="R833" s="1">
        <v>42011</v>
      </c>
      <c r="S833" t="s">
        <v>75</v>
      </c>
      <c r="T833" t="s">
        <v>76</v>
      </c>
      <c r="U833" t="s">
        <v>48</v>
      </c>
      <c r="V833" t="s">
        <v>49</v>
      </c>
      <c r="W833" t="s">
        <v>77</v>
      </c>
      <c r="X833" t="s">
        <v>122</v>
      </c>
      <c r="Y833" t="s">
        <v>1010</v>
      </c>
      <c r="Z833">
        <v>12</v>
      </c>
      <c r="AA833">
        <v>3</v>
      </c>
      <c r="AB833" t="s">
        <v>53</v>
      </c>
      <c r="AC833">
        <v>2</v>
      </c>
      <c r="AD833">
        <v>0</v>
      </c>
      <c r="AE833" t="s">
        <v>62</v>
      </c>
      <c r="AF833">
        <v>69080</v>
      </c>
      <c r="AG833">
        <v>12560</v>
      </c>
      <c r="AH833">
        <v>6280</v>
      </c>
      <c r="AI833">
        <v>50240</v>
      </c>
      <c r="AJ833" t="s">
        <v>109</v>
      </c>
      <c r="AK833" t="s">
        <v>110</v>
      </c>
      <c r="AL833">
        <v>2009</v>
      </c>
      <c r="AM833" t="s">
        <v>56</v>
      </c>
      <c r="AN833" s="2">
        <f t="shared" si="84"/>
        <v>87.796446455351912</v>
      </c>
      <c r="AO833">
        <f t="shared" si="85"/>
        <v>-68294.179999999993</v>
      </c>
      <c r="AP833" s="2">
        <f t="shared" si="86"/>
        <v>1.1375341989838018E-2</v>
      </c>
      <c r="AQ833" s="2">
        <f t="shared" si="90"/>
        <v>6</v>
      </c>
      <c r="AR833">
        <f t="shared" si="87"/>
        <v>77</v>
      </c>
      <c r="AS833" t="str">
        <f t="shared" si="88"/>
        <v>High Claim Ratio</v>
      </c>
      <c r="AT833" t="str">
        <f t="shared" si="89"/>
        <v>High Profit</v>
      </c>
    </row>
    <row r="834" spans="1:46" x14ac:dyDescent="0.2">
      <c r="A834">
        <v>295</v>
      </c>
      <c r="B834">
        <v>46</v>
      </c>
      <c r="C834">
        <v>863749</v>
      </c>
      <c r="D834" s="1">
        <v>40152</v>
      </c>
      <c r="E834" t="s">
        <v>57</v>
      </c>
      <c r="F834" t="s">
        <v>40</v>
      </c>
      <c r="G834">
        <v>500</v>
      </c>
      <c r="H834">
        <v>1265.8399999999999</v>
      </c>
      <c r="I834">
        <v>0</v>
      </c>
      <c r="J834">
        <v>605743</v>
      </c>
      <c r="K834" t="s">
        <v>70</v>
      </c>
      <c r="L834" t="s">
        <v>161</v>
      </c>
      <c r="M834" t="s">
        <v>101</v>
      </c>
      <c r="N834" t="s">
        <v>165</v>
      </c>
      <c r="O834" t="s">
        <v>74</v>
      </c>
      <c r="P834">
        <v>52200</v>
      </c>
      <c r="Q834">
        <v>-44500</v>
      </c>
      <c r="R834" s="1">
        <v>42020</v>
      </c>
      <c r="S834" t="s">
        <v>61</v>
      </c>
      <c r="T834" t="s">
        <v>62</v>
      </c>
      <c r="U834" t="s">
        <v>63</v>
      </c>
      <c r="V834" t="s">
        <v>93</v>
      </c>
      <c r="W834" t="s">
        <v>64</v>
      </c>
      <c r="X834" t="s">
        <v>87</v>
      </c>
      <c r="Y834" t="s">
        <v>1011</v>
      </c>
      <c r="Z834">
        <v>10</v>
      </c>
      <c r="AA834">
        <v>1</v>
      </c>
      <c r="AB834" t="s">
        <v>53</v>
      </c>
      <c r="AC834">
        <v>1</v>
      </c>
      <c r="AD834">
        <v>3</v>
      </c>
      <c r="AE834" t="s">
        <v>53</v>
      </c>
      <c r="AF834">
        <v>4560</v>
      </c>
      <c r="AG834">
        <v>760</v>
      </c>
      <c r="AH834">
        <v>380</v>
      </c>
      <c r="AI834">
        <v>3420</v>
      </c>
      <c r="AJ834" t="s">
        <v>104</v>
      </c>
      <c r="AK834" t="s">
        <v>105</v>
      </c>
      <c r="AL834">
        <v>2007</v>
      </c>
      <c r="AM834" t="s">
        <v>82</v>
      </c>
      <c r="AN834" s="2">
        <f t="shared" si="84"/>
        <v>3.5995074358245716</v>
      </c>
      <c r="AO834">
        <f t="shared" si="85"/>
        <v>-3294.16</v>
      </c>
      <c r="AP834" s="2">
        <f t="shared" si="86"/>
        <v>0.27753562815172111</v>
      </c>
      <c r="AQ834" s="2">
        <f t="shared" si="90"/>
        <v>8</v>
      </c>
      <c r="AR834">
        <f t="shared" si="87"/>
        <v>295</v>
      </c>
      <c r="AS834" t="str">
        <f t="shared" si="88"/>
        <v>Low Claim Ratio</v>
      </c>
      <c r="AT834" t="str">
        <f t="shared" si="89"/>
        <v>Low Profit</v>
      </c>
    </row>
    <row r="835" spans="1:46" x14ac:dyDescent="0.2">
      <c r="A835">
        <v>126</v>
      </c>
      <c r="B835">
        <v>28</v>
      </c>
      <c r="C835">
        <v>596914</v>
      </c>
      <c r="D835" s="1">
        <v>33608</v>
      </c>
      <c r="E835" t="s">
        <v>57</v>
      </c>
      <c r="F835" t="s">
        <v>40</v>
      </c>
      <c r="G835">
        <v>500</v>
      </c>
      <c r="H835">
        <v>1508.9</v>
      </c>
      <c r="I835">
        <v>0</v>
      </c>
      <c r="J835">
        <v>472814</v>
      </c>
      <c r="K835" t="s">
        <v>70</v>
      </c>
      <c r="L835" t="s">
        <v>161</v>
      </c>
      <c r="M835" t="s">
        <v>58</v>
      </c>
      <c r="N835" t="s">
        <v>132</v>
      </c>
      <c r="O835" t="s">
        <v>60</v>
      </c>
      <c r="P835">
        <v>0</v>
      </c>
      <c r="Q835">
        <v>0</v>
      </c>
      <c r="R835" s="1">
        <v>42005</v>
      </c>
      <c r="S835" t="s">
        <v>75</v>
      </c>
      <c r="T835" t="s">
        <v>76</v>
      </c>
      <c r="U835" t="s">
        <v>107</v>
      </c>
      <c r="V835" t="s">
        <v>49</v>
      </c>
      <c r="W835" t="s">
        <v>113</v>
      </c>
      <c r="X835" t="s">
        <v>127</v>
      </c>
      <c r="Y835" t="s">
        <v>1012</v>
      </c>
      <c r="Z835">
        <v>3</v>
      </c>
      <c r="AA835">
        <v>4</v>
      </c>
      <c r="AB835" t="s">
        <v>79</v>
      </c>
      <c r="AC835">
        <v>0</v>
      </c>
      <c r="AD835">
        <v>1</v>
      </c>
      <c r="AE835" t="s">
        <v>62</v>
      </c>
      <c r="AF835">
        <v>67800</v>
      </c>
      <c r="AG835">
        <v>11300</v>
      </c>
      <c r="AH835">
        <v>11300</v>
      </c>
      <c r="AI835">
        <v>45200</v>
      </c>
      <c r="AJ835" t="s">
        <v>129</v>
      </c>
      <c r="AK835" t="s">
        <v>130</v>
      </c>
      <c r="AL835">
        <v>2011</v>
      </c>
      <c r="AM835" t="s">
        <v>82</v>
      </c>
      <c r="AN835" s="2">
        <f t="shared" ref="AN835:AN898" si="91">AF835/(H835+1)</f>
        <v>44.90363600238426</v>
      </c>
      <c r="AO835">
        <f t="shared" ref="AO835:AO898" si="92">H835-AF835</f>
        <v>-66291.100000000006</v>
      </c>
      <c r="AP835" s="2">
        <f t="shared" ref="AP835:AP898" si="93">H835/(AF835+1)</f>
        <v>2.2254833999498534E-2</v>
      </c>
      <c r="AQ835" s="2">
        <f t="shared" si="90"/>
        <v>4</v>
      </c>
      <c r="AR835">
        <f t="shared" ref="AR835:AR898" si="94">A835</f>
        <v>126</v>
      </c>
      <c r="AS835" t="str">
        <f t="shared" ref="AS835:AS898" si="95">IF(AN835&lt;5,"Low Claim Ratio",
 IF(AN835&lt;20,"Medium Claim Ratio",
 "High Claim Ratio"))</f>
        <v>High Claim Ratio</v>
      </c>
      <c r="AT835" t="str">
        <f t="shared" ref="AT835:AT898" si="96">IF(-AO835&lt;0,"Loss Making",
 IF(-AO835&lt;5000,"Low Profit",
 "High Profit"))</f>
        <v>High Profit</v>
      </c>
    </row>
    <row r="836" spans="1:46" x14ac:dyDescent="0.2">
      <c r="A836">
        <v>132</v>
      </c>
      <c r="B836">
        <v>32</v>
      </c>
      <c r="C836">
        <v>684653</v>
      </c>
      <c r="D836" s="1">
        <v>35749</v>
      </c>
      <c r="E836" t="s">
        <v>39</v>
      </c>
      <c r="F836" t="s">
        <v>40</v>
      </c>
      <c r="G836">
        <v>2000</v>
      </c>
      <c r="H836">
        <v>1106.8399999999999</v>
      </c>
      <c r="I836">
        <v>0</v>
      </c>
      <c r="J836">
        <v>464362</v>
      </c>
      <c r="K836" t="s">
        <v>41</v>
      </c>
      <c r="L836" t="s">
        <v>71</v>
      </c>
      <c r="M836" t="s">
        <v>111</v>
      </c>
      <c r="N836" t="s">
        <v>59</v>
      </c>
      <c r="O836" t="s">
        <v>119</v>
      </c>
      <c r="P836">
        <v>43100</v>
      </c>
      <c r="Q836">
        <v>-31900</v>
      </c>
      <c r="R836" s="1">
        <v>42011</v>
      </c>
      <c r="S836" t="s">
        <v>61</v>
      </c>
      <c r="T836" t="s">
        <v>62</v>
      </c>
      <c r="U836" t="s">
        <v>63</v>
      </c>
      <c r="V836" t="s">
        <v>49</v>
      </c>
      <c r="W836" t="s">
        <v>50</v>
      </c>
      <c r="X836" t="s">
        <v>65</v>
      </c>
      <c r="Y836" t="s">
        <v>1013</v>
      </c>
      <c r="Z836">
        <v>21</v>
      </c>
      <c r="AA836">
        <v>1</v>
      </c>
      <c r="AB836" t="s">
        <v>53</v>
      </c>
      <c r="AC836">
        <v>1</v>
      </c>
      <c r="AD836">
        <v>1</v>
      </c>
      <c r="AE836" t="s">
        <v>53</v>
      </c>
      <c r="AF836">
        <v>5600</v>
      </c>
      <c r="AG836">
        <v>1120</v>
      </c>
      <c r="AH836">
        <v>560</v>
      </c>
      <c r="AI836">
        <v>3920</v>
      </c>
      <c r="AJ836" t="s">
        <v>153</v>
      </c>
      <c r="AK836" t="s">
        <v>154</v>
      </c>
      <c r="AL836">
        <v>2005</v>
      </c>
      <c r="AM836" t="s">
        <v>82</v>
      </c>
      <c r="AN836" s="2">
        <f t="shared" si="91"/>
        <v>5.0548815713460433</v>
      </c>
      <c r="AO836">
        <f t="shared" si="92"/>
        <v>-4493.16</v>
      </c>
      <c r="AP836" s="2">
        <f t="shared" si="93"/>
        <v>0.19761471165863237</v>
      </c>
      <c r="AQ836" s="2">
        <f t="shared" ref="AQ836:AQ899" si="97">YEAR(R836)-(AL836)</f>
        <v>10</v>
      </c>
      <c r="AR836">
        <f t="shared" si="94"/>
        <v>132</v>
      </c>
      <c r="AS836" t="str">
        <f t="shared" si="95"/>
        <v>Medium Claim Ratio</v>
      </c>
      <c r="AT836" t="str">
        <f t="shared" si="96"/>
        <v>Low Profit</v>
      </c>
    </row>
    <row r="837" spans="1:46" x14ac:dyDescent="0.2">
      <c r="A837">
        <v>370</v>
      </c>
      <c r="B837">
        <v>55</v>
      </c>
      <c r="C837">
        <v>528259</v>
      </c>
      <c r="D837" s="1">
        <v>41265</v>
      </c>
      <c r="E837" t="s">
        <v>57</v>
      </c>
      <c r="F837" t="s">
        <v>91</v>
      </c>
      <c r="G837">
        <v>2000</v>
      </c>
      <c r="H837">
        <v>1389.13</v>
      </c>
      <c r="I837">
        <v>7000000</v>
      </c>
      <c r="J837">
        <v>456203</v>
      </c>
      <c r="K837" t="s">
        <v>41</v>
      </c>
      <c r="L837" t="s">
        <v>161</v>
      </c>
      <c r="M837" t="s">
        <v>111</v>
      </c>
      <c r="N837" t="s">
        <v>179</v>
      </c>
      <c r="O837" t="s">
        <v>119</v>
      </c>
      <c r="P837">
        <v>0</v>
      </c>
      <c r="Q837">
        <v>-53200</v>
      </c>
      <c r="R837" s="1">
        <v>42052</v>
      </c>
      <c r="S837" t="s">
        <v>61</v>
      </c>
      <c r="T837" t="s">
        <v>62</v>
      </c>
      <c r="U837" t="s">
        <v>63</v>
      </c>
      <c r="V837" t="s">
        <v>93</v>
      </c>
      <c r="W837" t="s">
        <v>121</v>
      </c>
      <c r="X837" t="s">
        <v>156</v>
      </c>
      <c r="Y837" t="s">
        <v>1014</v>
      </c>
      <c r="Z837">
        <v>6</v>
      </c>
      <c r="AA837">
        <v>1</v>
      </c>
      <c r="AB837" t="s">
        <v>62</v>
      </c>
      <c r="AC837">
        <v>0</v>
      </c>
      <c r="AD837">
        <v>2</v>
      </c>
      <c r="AE837" t="s">
        <v>62</v>
      </c>
      <c r="AF837">
        <v>9000</v>
      </c>
      <c r="AG837">
        <v>900</v>
      </c>
      <c r="AH837">
        <v>1800</v>
      </c>
      <c r="AI837">
        <v>6300</v>
      </c>
      <c r="AJ837" t="s">
        <v>67</v>
      </c>
      <c r="AK837" t="s">
        <v>271</v>
      </c>
      <c r="AL837">
        <v>2015</v>
      </c>
      <c r="AM837" t="s">
        <v>82</v>
      </c>
      <c r="AN837" s="2">
        <f t="shared" si="91"/>
        <v>6.4742146417960909</v>
      </c>
      <c r="AO837">
        <f t="shared" si="92"/>
        <v>-7610.87</v>
      </c>
      <c r="AP837" s="2">
        <f t="shared" si="93"/>
        <v>0.15433062993000779</v>
      </c>
      <c r="AQ837" s="2">
        <f t="shared" si="97"/>
        <v>0</v>
      </c>
      <c r="AR837">
        <f t="shared" si="94"/>
        <v>370</v>
      </c>
      <c r="AS837" t="str">
        <f t="shared" si="95"/>
        <v>Medium Claim Ratio</v>
      </c>
      <c r="AT837" t="str">
        <f t="shared" si="96"/>
        <v>High Profit</v>
      </c>
    </row>
    <row r="838" spans="1:46" x14ac:dyDescent="0.2">
      <c r="A838">
        <v>257</v>
      </c>
      <c r="B838">
        <v>43</v>
      </c>
      <c r="C838">
        <v>797636</v>
      </c>
      <c r="D838" s="1">
        <v>33743</v>
      </c>
      <c r="E838" t="s">
        <v>57</v>
      </c>
      <c r="F838" t="s">
        <v>69</v>
      </c>
      <c r="G838">
        <v>1000</v>
      </c>
      <c r="H838">
        <v>974.84</v>
      </c>
      <c r="I838">
        <v>0</v>
      </c>
      <c r="J838">
        <v>468984</v>
      </c>
      <c r="K838" t="s">
        <v>70</v>
      </c>
      <c r="L838" t="s">
        <v>161</v>
      </c>
      <c r="M838" t="s">
        <v>145</v>
      </c>
      <c r="N838" t="s">
        <v>170</v>
      </c>
      <c r="O838" t="s">
        <v>60</v>
      </c>
      <c r="P838">
        <v>52100</v>
      </c>
      <c r="Q838">
        <v>0</v>
      </c>
      <c r="R838" s="1">
        <v>42061</v>
      </c>
      <c r="S838" t="s">
        <v>46</v>
      </c>
      <c r="T838" t="s">
        <v>76</v>
      </c>
      <c r="U838" t="s">
        <v>107</v>
      </c>
      <c r="V838" t="s">
        <v>49</v>
      </c>
      <c r="W838" t="s">
        <v>64</v>
      </c>
      <c r="X838" t="s">
        <v>127</v>
      </c>
      <c r="Y838" t="s">
        <v>1015</v>
      </c>
      <c r="Z838">
        <v>0</v>
      </c>
      <c r="AA838">
        <v>1</v>
      </c>
      <c r="AB838" t="s">
        <v>79</v>
      </c>
      <c r="AC838">
        <v>0</v>
      </c>
      <c r="AD838">
        <v>1</v>
      </c>
      <c r="AE838" t="s">
        <v>53</v>
      </c>
      <c r="AF838">
        <v>85320</v>
      </c>
      <c r="AG838">
        <v>21330</v>
      </c>
      <c r="AH838">
        <v>7110</v>
      </c>
      <c r="AI838">
        <v>56880</v>
      </c>
      <c r="AJ838" t="s">
        <v>104</v>
      </c>
      <c r="AK838" t="s">
        <v>105</v>
      </c>
      <c r="AL838">
        <v>2006</v>
      </c>
      <c r="AM838" t="s">
        <v>82</v>
      </c>
      <c r="AN838" s="2">
        <f t="shared" si="91"/>
        <v>87.432365961633053</v>
      </c>
      <c r="AO838">
        <f t="shared" si="92"/>
        <v>-84345.16</v>
      </c>
      <c r="AP838" s="2">
        <f t="shared" si="93"/>
        <v>1.1425557600121893E-2</v>
      </c>
      <c r="AQ838" s="2">
        <f t="shared" si="97"/>
        <v>9</v>
      </c>
      <c r="AR838">
        <f t="shared" si="94"/>
        <v>257</v>
      </c>
      <c r="AS838" t="str">
        <f t="shared" si="95"/>
        <v>High Claim Ratio</v>
      </c>
      <c r="AT838" t="str">
        <f t="shared" si="96"/>
        <v>High Profit</v>
      </c>
    </row>
    <row r="839" spans="1:46" x14ac:dyDescent="0.2">
      <c r="A839">
        <v>9</v>
      </c>
      <c r="B839">
        <v>24</v>
      </c>
      <c r="C839">
        <v>326180</v>
      </c>
      <c r="D839" s="1">
        <v>37401</v>
      </c>
      <c r="E839" t="s">
        <v>83</v>
      </c>
      <c r="F839" t="s">
        <v>69</v>
      </c>
      <c r="G839">
        <v>2000</v>
      </c>
      <c r="H839">
        <v>1304.46</v>
      </c>
      <c r="I839">
        <v>0</v>
      </c>
      <c r="J839">
        <v>473349</v>
      </c>
      <c r="K839" t="s">
        <v>70</v>
      </c>
      <c r="L839" t="s">
        <v>71</v>
      </c>
      <c r="M839" t="s">
        <v>58</v>
      </c>
      <c r="N839" t="s">
        <v>112</v>
      </c>
      <c r="O839" t="s">
        <v>60</v>
      </c>
      <c r="P839">
        <v>51700</v>
      </c>
      <c r="Q839">
        <v>-33300</v>
      </c>
      <c r="R839" s="1">
        <v>42035</v>
      </c>
      <c r="S839" t="s">
        <v>61</v>
      </c>
      <c r="T839" t="s">
        <v>62</v>
      </c>
      <c r="U839" t="s">
        <v>212</v>
      </c>
      <c r="V839" t="s">
        <v>93</v>
      </c>
      <c r="W839" t="s">
        <v>121</v>
      </c>
      <c r="X839" t="s">
        <v>87</v>
      </c>
      <c r="Y839" t="s">
        <v>1016</v>
      </c>
      <c r="Z839">
        <v>6</v>
      </c>
      <c r="AA839">
        <v>1</v>
      </c>
      <c r="AB839" t="s">
        <v>79</v>
      </c>
      <c r="AC839">
        <v>0</v>
      </c>
      <c r="AD839">
        <v>3</v>
      </c>
      <c r="AE839" t="s">
        <v>53</v>
      </c>
      <c r="AF839">
        <v>5940</v>
      </c>
      <c r="AG839">
        <v>540</v>
      </c>
      <c r="AH839">
        <v>1080</v>
      </c>
      <c r="AI839">
        <v>4320</v>
      </c>
      <c r="AJ839" t="s">
        <v>109</v>
      </c>
      <c r="AK839" t="s">
        <v>110</v>
      </c>
      <c r="AL839">
        <v>2001</v>
      </c>
      <c r="AM839" t="s">
        <v>56</v>
      </c>
      <c r="AN839" s="2">
        <f t="shared" si="91"/>
        <v>4.5501202641214586</v>
      </c>
      <c r="AO839">
        <f t="shared" si="92"/>
        <v>-4635.54</v>
      </c>
      <c r="AP839" s="2">
        <f t="shared" si="93"/>
        <v>0.2195690961117657</v>
      </c>
      <c r="AQ839" s="2">
        <f t="shared" si="97"/>
        <v>14</v>
      </c>
      <c r="AR839">
        <f t="shared" si="94"/>
        <v>9</v>
      </c>
      <c r="AS839" t="str">
        <f t="shared" si="95"/>
        <v>Low Claim Ratio</v>
      </c>
      <c r="AT839" t="str">
        <f t="shared" si="96"/>
        <v>Low Profit</v>
      </c>
    </row>
    <row r="840" spans="1:46" x14ac:dyDescent="0.2">
      <c r="A840">
        <v>185</v>
      </c>
      <c r="B840">
        <v>34</v>
      </c>
      <c r="C840">
        <v>620075</v>
      </c>
      <c r="D840" s="1">
        <v>40289</v>
      </c>
      <c r="E840" t="s">
        <v>39</v>
      </c>
      <c r="F840" t="s">
        <v>40</v>
      </c>
      <c r="G840">
        <v>500</v>
      </c>
      <c r="H840">
        <v>1257.3599999999999</v>
      </c>
      <c r="I840">
        <v>0</v>
      </c>
      <c r="J840">
        <v>474771</v>
      </c>
      <c r="K840" t="s">
        <v>70</v>
      </c>
      <c r="L840" t="s">
        <v>71</v>
      </c>
      <c r="M840" t="s">
        <v>84</v>
      </c>
      <c r="N840" t="s">
        <v>146</v>
      </c>
      <c r="O840" t="s">
        <v>45</v>
      </c>
      <c r="P840">
        <v>0</v>
      </c>
      <c r="Q840">
        <v>0</v>
      </c>
      <c r="R840" s="1">
        <v>42062</v>
      </c>
      <c r="S840" t="s">
        <v>75</v>
      </c>
      <c r="T840" t="s">
        <v>47</v>
      </c>
      <c r="U840" t="s">
        <v>48</v>
      </c>
      <c r="V840" t="s">
        <v>99</v>
      </c>
      <c r="W840" t="s">
        <v>50</v>
      </c>
      <c r="X840" t="s">
        <v>87</v>
      </c>
      <c r="Y840" t="s">
        <v>1017</v>
      </c>
      <c r="Z840">
        <v>20</v>
      </c>
      <c r="AA840">
        <v>3</v>
      </c>
      <c r="AB840" t="s">
        <v>53</v>
      </c>
      <c r="AC840">
        <v>1</v>
      </c>
      <c r="AD840">
        <v>1</v>
      </c>
      <c r="AE840" t="s">
        <v>62</v>
      </c>
      <c r="AF840">
        <v>51370</v>
      </c>
      <c r="AG840">
        <v>9340</v>
      </c>
      <c r="AH840">
        <v>4670</v>
      </c>
      <c r="AI840">
        <v>37360</v>
      </c>
      <c r="AJ840" t="s">
        <v>187</v>
      </c>
      <c r="AK840" t="s">
        <v>201</v>
      </c>
      <c r="AL840">
        <v>2000</v>
      </c>
      <c r="AM840" t="s">
        <v>56</v>
      </c>
      <c r="AN840" s="2">
        <f t="shared" si="91"/>
        <v>40.822975936933787</v>
      </c>
      <c r="AO840">
        <f t="shared" si="92"/>
        <v>-50112.639999999999</v>
      </c>
      <c r="AP840" s="2">
        <f t="shared" si="93"/>
        <v>2.4476066263066708E-2</v>
      </c>
      <c r="AQ840" s="2">
        <f t="shared" si="97"/>
        <v>15</v>
      </c>
      <c r="AR840">
        <f t="shared" si="94"/>
        <v>185</v>
      </c>
      <c r="AS840" t="str">
        <f t="shared" si="95"/>
        <v>High Claim Ratio</v>
      </c>
      <c r="AT840" t="str">
        <f t="shared" si="96"/>
        <v>High Profit</v>
      </c>
    </row>
    <row r="841" spans="1:46" x14ac:dyDescent="0.2">
      <c r="A841">
        <v>234</v>
      </c>
      <c r="B841">
        <v>43</v>
      </c>
      <c r="C841">
        <v>965187</v>
      </c>
      <c r="D841" s="1">
        <v>32958</v>
      </c>
      <c r="E841" t="s">
        <v>39</v>
      </c>
      <c r="F841" t="s">
        <v>40</v>
      </c>
      <c r="G841">
        <v>500</v>
      </c>
      <c r="H841">
        <v>1257.04</v>
      </c>
      <c r="I841">
        <v>0</v>
      </c>
      <c r="J841">
        <v>448294</v>
      </c>
      <c r="K841" t="s">
        <v>41</v>
      </c>
      <c r="L841" t="s">
        <v>92</v>
      </c>
      <c r="M841" t="s">
        <v>135</v>
      </c>
      <c r="N841" t="s">
        <v>59</v>
      </c>
      <c r="O841" t="s">
        <v>74</v>
      </c>
      <c r="P841">
        <v>0</v>
      </c>
      <c r="Q841">
        <v>-48800</v>
      </c>
      <c r="R841" s="1">
        <v>42064</v>
      </c>
      <c r="S841" t="s">
        <v>46</v>
      </c>
      <c r="T841" t="s">
        <v>76</v>
      </c>
      <c r="U841" t="s">
        <v>48</v>
      </c>
      <c r="V841" t="s">
        <v>49</v>
      </c>
      <c r="W841" t="s">
        <v>50</v>
      </c>
      <c r="X841" t="s">
        <v>156</v>
      </c>
      <c r="Y841" t="s">
        <v>1018</v>
      </c>
      <c r="Z841">
        <v>4</v>
      </c>
      <c r="AA841">
        <v>1</v>
      </c>
      <c r="AB841" t="s">
        <v>79</v>
      </c>
      <c r="AC841">
        <v>2</v>
      </c>
      <c r="AD841">
        <v>2</v>
      </c>
      <c r="AE841" t="s">
        <v>53</v>
      </c>
      <c r="AF841">
        <v>51600</v>
      </c>
      <c r="AG841">
        <v>10320</v>
      </c>
      <c r="AH841">
        <v>5160</v>
      </c>
      <c r="AI841">
        <v>36120</v>
      </c>
      <c r="AJ841" t="s">
        <v>80</v>
      </c>
      <c r="AK841" t="s">
        <v>144</v>
      </c>
      <c r="AL841">
        <v>2011</v>
      </c>
      <c r="AM841" t="s">
        <v>82</v>
      </c>
      <c r="AN841" s="2">
        <f t="shared" si="91"/>
        <v>41.016183905122254</v>
      </c>
      <c r="AO841">
        <f t="shared" si="92"/>
        <v>-50342.96</v>
      </c>
      <c r="AP841" s="2">
        <f t="shared" si="93"/>
        <v>2.4360768202166625E-2</v>
      </c>
      <c r="AQ841" s="2">
        <f t="shared" si="97"/>
        <v>4</v>
      </c>
      <c r="AR841">
        <f t="shared" si="94"/>
        <v>234</v>
      </c>
      <c r="AS841" t="str">
        <f t="shared" si="95"/>
        <v>High Claim Ratio</v>
      </c>
      <c r="AT841" t="str">
        <f t="shared" si="96"/>
        <v>High Profit</v>
      </c>
    </row>
    <row r="842" spans="1:46" x14ac:dyDescent="0.2">
      <c r="A842">
        <v>253</v>
      </c>
      <c r="B842">
        <v>44</v>
      </c>
      <c r="C842">
        <v>516182</v>
      </c>
      <c r="D842" s="1">
        <v>39214</v>
      </c>
      <c r="E842" t="s">
        <v>39</v>
      </c>
      <c r="F842" t="s">
        <v>69</v>
      </c>
      <c r="G842">
        <v>2000</v>
      </c>
      <c r="H842">
        <v>719.52</v>
      </c>
      <c r="I842">
        <v>0</v>
      </c>
      <c r="J842">
        <v>606606</v>
      </c>
      <c r="K842" t="s">
        <v>70</v>
      </c>
      <c r="L842" t="s">
        <v>131</v>
      </c>
      <c r="M842" t="s">
        <v>189</v>
      </c>
      <c r="N842" t="s">
        <v>112</v>
      </c>
      <c r="O842" t="s">
        <v>74</v>
      </c>
      <c r="P842">
        <v>45800</v>
      </c>
      <c r="Q842">
        <v>0</v>
      </c>
      <c r="R842" s="1">
        <v>42048</v>
      </c>
      <c r="S842" t="s">
        <v>138</v>
      </c>
      <c r="T842" t="s">
        <v>62</v>
      </c>
      <c r="U842" t="s">
        <v>212</v>
      </c>
      <c r="V842" t="s">
        <v>93</v>
      </c>
      <c r="W842" t="s">
        <v>50</v>
      </c>
      <c r="X842" t="s">
        <v>87</v>
      </c>
      <c r="Y842" t="s">
        <v>1019</v>
      </c>
      <c r="Z842">
        <v>9</v>
      </c>
      <c r="AA842">
        <v>1</v>
      </c>
      <c r="AB842" t="s">
        <v>79</v>
      </c>
      <c r="AC842">
        <v>0</v>
      </c>
      <c r="AD842">
        <v>3</v>
      </c>
      <c r="AE842" t="s">
        <v>62</v>
      </c>
      <c r="AF842">
        <v>5400</v>
      </c>
      <c r="AG842">
        <v>600</v>
      </c>
      <c r="AH842">
        <v>600</v>
      </c>
      <c r="AI842">
        <v>4200</v>
      </c>
      <c r="AJ842" t="s">
        <v>89</v>
      </c>
      <c r="AK842" t="s">
        <v>245</v>
      </c>
      <c r="AL842">
        <v>1998</v>
      </c>
      <c r="AM842" t="s">
        <v>82</v>
      </c>
      <c r="AN842" s="2">
        <f t="shared" si="91"/>
        <v>7.4945872425470492</v>
      </c>
      <c r="AO842">
        <f t="shared" si="92"/>
        <v>-4680.4799999999996</v>
      </c>
      <c r="AP842" s="2">
        <f t="shared" si="93"/>
        <v>0.13321977411590447</v>
      </c>
      <c r="AQ842" s="2">
        <f t="shared" si="97"/>
        <v>17</v>
      </c>
      <c r="AR842">
        <f t="shared" si="94"/>
        <v>253</v>
      </c>
      <c r="AS842" t="str">
        <f t="shared" si="95"/>
        <v>Medium Claim Ratio</v>
      </c>
      <c r="AT842" t="str">
        <f t="shared" si="96"/>
        <v>Low Profit</v>
      </c>
    </row>
    <row r="843" spans="1:46" x14ac:dyDescent="0.2">
      <c r="A843">
        <v>233</v>
      </c>
      <c r="B843">
        <v>39</v>
      </c>
      <c r="C843">
        <v>728839</v>
      </c>
      <c r="D843" s="1">
        <v>36893</v>
      </c>
      <c r="E843" t="s">
        <v>39</v>
      </c>
      <c r="F843" t="s">
        <v>91</v>
      </c>
      <c r="G843">
        <v>2000</v>
      </c>
      <c r="H843">
        <v>1524.18</v>
      </c>
      <c r="I843">
        <v>0</v>
      </c>
      <c r="J843">
        <v>605220</v>
      </c>
      <c r="K843" t="s">
        <v>41</v>
      </c>
      <c r="L843" t="s">
        <v>161</v>
      </c>
      <c r="M843" t="s">
        <v>43</v>
      </c>
      <c r="N843" t="s">
        <v>59</v>
      </c>
      <c r="O843" t="s">
        <v>85</v>
      </c>
      <c r="P843">
        <v>0</v>
      </c>
      <c r="Q843">
        <v>0</v>
      </c>
      <c r="R843" s="1">
        <v>42012</v>
      </c>
      <c r="S843" t="s">
        <v>75</v>
      </c>
      <c r="T843" t="s">
        <v>76</v>
      </c>
      <c r="U843" t="s">
        <v>63</v>
      </c>
      <c r="V843" t="s">
        <v>99</v>
      </c>
      <c r="W843" t="s">
        <v>50</v>
      </c>
      <c r="X843" t="s">
        <v>156</v>
      </c>
      <c r="Y843" t="s">
        <v>1020</v>
      </c>
      <c r="Z843">
        <v>20</v>
      </c>
      <c r="AA843">
        <v>3</v>
      </c>
      <c r="AB843" t="s">
        <v>62</v>
      </c>
      <c r="AC843">
        <v>1</v>
      </c>
      <c r="AD843">
        <v>0</v>
      </c>
      <c r="AE843" t="s">
        <v>53</v>
      </c>
      <c r="AF843">
        <v>48870</v>
      </c>
      <c r="AG843">
        <v>5430</v>
      </c>
      <c r="AH843">
        <v>5430</v>
      </c>
      <c r="AI843">
        <v>38010</v>
      </c>
      <c r="AJ843" t="s">
        <v>54</v>
      </c>
      <c r="AK843">
        <v>95</v>
      </c>
      <c r="AL843">
        <v>1999</v>
      </c>
      <c r="AM843" t="s">
        <v>82</v>
      </c>
      <c r="AN843" s="2">
        <f t="shared" si="91"/>
        <v>32.042119618667961</v>
      </c>
      <c r="AO843">
        <f t="shared" si="92"/>
        <v>-47345.82</v>
      </c>
      <c r="AP843" s="2">
        <f t="shared" si="93"/>
        <v>3.1187820998137956E-2</v>
      </c>
      <c r="AQ843" s="2">
        <f t="shared" si="97"/>
        <v>16</v>
      </c>
      <c r="AR843">
        <f t="shared" si="94"/>
        <v>233</v>
      </c>
      <c r="AS843" t="str">
        <f t="shared" si="95"/>
        <v>High Claim Ratio</v>
      </c>
      <c r="AT843" t="str">
        <f t="shared" si="96"/>
        <v>High Profit</v>
      </c>
    </row>
    <row r="844" spans="1:46" x14ac:dyDescent="0.2">
      <c r="A844">
        <v>274</v>
      </c>
      <c r="B844">
        <v>44</v>
      </c>
      <c r="C844">
        <v>771509</v>
      </c>
      <c r="D844" s="1">
        <v>38939</v>
      </c>
      <c r="E844" t="s">
        <v>57</v>
      </c>
      <c r="F844" t="s">
        <v>91</v>
      </c>
      <c r="G844">
        <v>500</v>
      </c>
      <c r="H844">
        <v>1395.58</v>
      </c>
      <c r="I844">
        <v>0</v>
      </c>
      <c r="J844">
        <v>466612</v>
      </c>
      <c r="K844" t="s">
        <v>70</v>
      </c>
      <c r="L844" t="s">
        <v>161</v>
      </c>
      <c r="M844" t="s">
        <v>97</v>
      </c>
      <c r="N844" t="s">
        <v>59</v>
      </c>
      <c r="O844" t="s">
        <v>45</v>
      </c>
      <c r="P844">
        <v>0</v>
      </c>
      <c r="Q844">
        <v>0</v>
      </c>
      <c r="R844" s="1">
        <v>42040</v>
      </c>
      <c r="S844" t="s">
        <v>61</v>
      </c>
      <c r="T844" t="s">
        <v>62</v>
      </c>
      <c r="U844" t="s">
        <v>63</v>
      </c>
      <c r="V844" t="s">
        <v>49</v>
      </c>
      <c r="W844" t="s">
        <v>113</v>
      </c>
      <c r="X844" t="s">
        <v>102</v>
      </c>
      <c r="Y844" t="s">
        <v>1021</v>
      </c>
      <c r="Z844">
        <v>7</v>
      </c>
      <c r="AA844">
        <v>1</v>
      </c>
      <c r="AB844" t="s">
        <v>79</v>
      </c>
      <c r="AC844">
        <v>2</v>
      </c>
      <c r="AD844">
        <v>1</v>
      </c>
      <c r="AE844" t="s">
        <v>62</v>
      </c>
      <c r="AF844">
        <v>5590</v>
      </c>
      <c r="AG844">
        <v>860</v>
      </c>
      <c r="AH844">
        <v>860</v>
      </c>
      <c r="AI844">
        <v>3870</v>
      </c>
      <c r="AJ844" t="s">
        <v>187</v>
      </c>
      <c r="AK844" t="s">
        <v>203</v>
      </c>
      <c r="AL844">
        <v>2000</v>
      </c>
      <c r="AM844" t="s">
        <v>82</v>
      </c>
      <c r="AN844" s="2">
        <f t="shared" si="91"/>
        <v>4.0026350083776085</v>
      </c>
      <c r="AO844">
        <f t="shared" si="92"/>
        <v>-4194.42</v>
      </c>
      <c r="AP844" s="2">
        <f t="shared" si="93"/>
        <v>0.24961187622965478</v>
      </c>
      <c r="AQ844" s="2">
        <f t="shared" si="97"/>
        <v>15</v>
      </c>
      <c r="AR844">
        <f t="shared" si="94"/>
        <v>274</v>
      </c>
      <c r="AS844" t="str">
        <f t="shared" si="95"/>
        <v>Low Claim Ratio</v>
      </c>
      <c r="AT844" t="str">
        <f t="shared" si="96"/>
        <v>Low Profit</v>
      </c>
    </row>
    <row r="845" spans="1:46" x14ac:dyDescent="0.2">
      <c r="A845">
        <v>297</v>
      </c>
      <c r="B845">
        <v>48</v>
      </c>
      <c r="C845">
        <v>264221</v>
      </c>
      <c r="D845" s="1">
        <v>41848</v>
      </c>
      <c r="E845" t="s">
        <v>83</v>
      </c>
      <c r="F845" t="s">
        <v>91</v>
      </c>
      <c r="G845">
        <v>1000</v>
      </c>
      <c r="H845">
        <v>1243.68</v>
      </c>
      <c r="I845">
        <v>0</v>
      </c>
      <c r="J845">
        <v>463331</v>
      </c>
      <c r="K845" t="s">
        <v>41</v>
      </c>
      <c r="L845" t="s">
        <v>124</v>
      </c>
      <c r="M845" t="s">
        <v>135</v>
      </c>
      <c r="N845" t="s">
        <v>118</v>
      </c>
      <c r="O845" t="s">
        <v>119</v>
      </c>
      <c r="P845">
        <v>0</v>
      </c>
      <c r="Q845">
        <v>-71400</v>
      </c>
      <c r="R845" s="1">
        <v>42055</v>
      </c>
      <c r="S845" t="s">
        <v>75</v>
      </c>
      <c r="T845" t="s">
        <v>86</v>
      </c>
      <c r="U845" t="s">
        <v>48</v>
      </c>
      <c r="V845" t="s">
        <v>120</v>
      </c>
      <c r="W845" t="s">
        <v>77</v>
      </c>
      <c r="X845" t="s">
        <v>102</v>
      </c>
      <c r="Y845" t="s">
        <v>1022</v>
      </c>
      <c r="Z845">
        <v>18</v>
      </c>
      <c r="AA845">
        <v>3</v>
      </c>
      <c r="AB845" t="s">
        <v>62</v>
      </c>
      <c r="AC845">
        <v>0</v>
      </c>
      <c r="AD845">
        <v>2</v>
      </c>
      <c r="AE845" t="s">
        <v>62</v>
      </c>
      <c r="AF845">
        <v>54960</v>
      </c>
      <c r="AG845">
        <v>6870</v>
      </c>
      <c r="AH845">
        <v>0</v>
      </c>
      <c r="AI845">
        <v>48090</v>
      </c>
      <c r="AJ845" t="s">
        <v>115</v>
      </c>
      <c r="AK845" t="s">
        <v>183</v>
      </c>
      <c r="AL845">
        <v>2002</v>
      </c>
      <c r="AM845" t="s">
        <v>56</v>
      </c>
      <c r="AN845" s="2">
        <f t="shared" si="91"/>
        <v>44.155927627984703</v>
      </c>
      <c r="AO845">
        <f t="shared" si="92"/>
        <v>-53716.32</v>
      </c>
      <c r="AP845" s="2">
        <f t="shared" si="93"/>
        <v>2.2628409235639819E-2</v>
      </c>
      <c r="AQ845" s="2">
        <f t="shared" si="97"/>
        <v>13</v>
      </c>
      <c r="AR845">
        <f t="shared" si="94"/>
        <v>297</v>
      </c>
      <c r="AS845" t="str">
        <f t="shared" si="95"/>
        <v>High Claim Ratio</v>
      </c>
      <c r="AT845" t="str">
        <f t="shared" si="96"/>
        <v>High Profit</v>
      </c>
    </row>
    <row r="846" spans="1:46" x14ac:dyDescent="0.2">
      <c r="A846">
        <v>273</v>
      </c>
      <c r="B846">
        <v>47</v>
      </c>
      <c r="C846">
        <v>602704</v>
      </c>
      <c r="D846" s="1">
        <v>40813</v>
      </c>
      <c r="E846" t="s">
        <v>39</v>
      </c>
      <c r="F846" t="s">
        <v>91</v>
      </c>
      <c r="G846">
        <v>1000</v>
      </c>
      <c r="H846">
        <v>1189.04</v>
      </c>
      <c r="I846">
        <v>0</v>
      </c>
      <c r="J846">
        <v>457843</v>
      </c>
      <c r="K846" t="s">
        <v>70</v>
      </c>
      <c r="L846" t="s">
        <v>92</v>
      </c>
      <c r="M846" t="s">
        <v>101</v>
      </c>
      <c r="N846" t="s">
        <v>181</v>
      </c>
      <c r="O846" t="s">
        <v>74</v>
      </c>
      <c r="P846">
        <v>59600</v>
      </c>
      <c r="Q846">
        <v>0</v>
      </c>
      <c r="R846" s="1">
        <v>42028</v>
      </c>
      <c r="S846" t="s">
        <v>75</v>
      </c>
      <c r="T846" t="s">
        <v>47</v>
      </c>
      <c r="U846" t="s">
        <v>63</v>
      </c>
      <c r="V846" t="s">
        <v>49</v>
      </c>
      <c r="W846" t="s">
        <v>64</v>
      </c>
      <c r="X846" t="s">
        <v>156</v>
      </c>
      <c r="Y846" t="s">
        <v>1023</v>
      </c>
      <c r="Z846">
        <v>0</v>
      </c>
      <c r="AA846">
        <v>3</v>
      </c>
      <c r="AB846" t="s">
        <v>79</v>
      </c>
      <c r="AC846">
        <v>1</v>
      </c>
      <c r="AD846">
        <v>3</v>
      </c>
      <c r="AE846" t="s">
        <v>62</v>
      </c>
      <c r="AF846">
        <v>39800</v>
      </c>
      <c r="AG846">
        <v>7960</v>
      </c>
      <c r="AH846">
        <v>3980</v>
      </c>
      <c r="AI846">
        <v>27860</v>
      </c>
      <c r="AJ846" t="s">
        <v>197</v>
      </c>
      <c r="AK846" t="s">
        <v>198</v>
      </c>
      <c r="AL846">
        <v>2014</v>
      </c>
      <c r="AM846" t="s">
        <v>82</v>
      </c>
      <c r="AN846" s="2">
        <f t="shared" si="91"/>
        <v>33.444253974656313</v>
      </c>
      <c r="AO846">
        <f t="shared" si="92"/>
        <v>-38610.959999999999</v>
      </c>
      <c r="AP846" s="2">
        <f t="shared" si="93"/>
        <v>2.9874626265671715E-2</v>
      </c>
      <c r="AQ846" s="2">
        <f t="shared" si="97"/>
        <v>1</v>
      </c>
      <c r="AR846">
        <f t="shared" si="94"/>
        <v>273</v>
      </c>
      <c r="AS846" t="str">
        <f t="shared" si="95"/>
        <v>High Claim Ratio</v>
      </c>
      <c r="AT846" t="str">
        <f t="shared" si="96"/>
        <v>High Profit</v>
      </c>
    </row>
    <row r="847" spans="1:46" x14ac:dyDescent="0.2">
      <c r="A847">
        <v>147</v>
      </c>
      <c r="B847">
        <v>37</v>
      </c>
      <c r="C847">
        <v>672416</v>
      </c>
      <c r="D847" s="1">
        <v>41384</v>
      </c>
      <c r="E847" t="s">
        <v>57</v>
      </c>
      <c r="F847" t="s">
        <v>91</v>
      </c>
      <c r="G847">
        <v>2000</v>
      </c>
      <c r="H847">
        <v>1375.29</v>
      </c>
      <c r="I847">
        <v>0</v>
      </c>
      <c r="J847">
        <v>609226</v>
      </c>
      <c r="K847" t="s">
        <v>70</v>
      </c>
      <c r="L847" t="s">
        <v>124</v>
      </c>
      <c r="M847" t="s">
        <v>84</v>
      </c>
      <c r="N847" t="s">
        <v>168</v>
      </c>
      <c r="O847" t="s">
        <v>74</v>
      </c>
      <c r="P847">
        <v>0</v>
      </c>
      <c r="Q847">
        <v>0</v>
      </c>
      <c r="R847" s="1">
        <v>42035</v>
      </c>
      <c r="S847" t="s">
        <v>75</v>
      </c>
      <c r="T847" t="s">
        <v>47</v>
      </c>
      <c r="U847" t="s">
        <v>48</v>
      </c>
      <c r="V847" t="s">
        <v>136</v>
      </c>
      <c r="W847" t="s">
        <v>50</v>
      </c>
      <c r="X847" t="s">
        <v>51</v>
      </c>
      <c r="Y847" t="s">
        <v>1024</v>
      </c>
      <c r="Z847">
        <v>11</v>
      </c>
      <c r="AA847">
        <v>3</v>
      </c>
      <c r="AB847" t="s">
        <v>62</v>
      </c>
      <c r="AC847">
        <v>0</v>
      </c>
      <c r="AD847">
        <v>1</v>
      </c>
      <c r="AE847" t="s">
        <v>62</v>
      </c>
      <c r="AF847">
        <v>56160</v>
      </c>
      <c r="AG847">
        <v>6240</v>
      </c>
      <c r="AH847">
        <v>6240</v>
      </c>
      <c r="AI847">
        <v>43680</v>
      </c>
      <c r="AJ847" t="s">
        <v>129</v>
      </c>
      <c r="AK847" t="s">
        <v>249</v>
      </c>
      <c r="AL847">
        <v>2015</v>
      </c>
      <c r="AM847" t="s">
        <v>56</v>
      </c>
      <c r="AN847" s="2">
        <f t="shared" si="91"/>
        <v>40.805353522876722</v>
      </c>
      <c r="AO847">
        <f t="shared" si="92"/>
        <v>-54784.71</v>
      </c>
      <c r="AP847" s="2">
        <f t="shared" si="93"/>
        <v>2.4488346005234949E-2</v>
      </c>
      <c r="AQ847" s="2">
        <f t="shared" si="97"/>
        <v>0</v>
      </c>
      <c r="AR847">
        <f t="shared" si="94"/>
        <v>147</v>
      </c>
      <c r="AS847" t="str">
        <f t="shared" si="95"/>
        <v>High Claim Ratio</v>
      </c>
      <c r="AT847" t="str">
        <f t="shared" si="96"/>
        <v>High Profit</v>
      </c>
    </row>
    <row r="848" spans="1:46" x14ac:dyDescent="0.2">
      <c r="A848">
        <v>285</v>
      </c>
      <c r="B848">
        <v>42</v>
      </c>
      <c r="C848">
        <v>545506</v>
      </c>
      <c r="D848" s="1">
        <v>33317</v>
      </c>
      <c r="E848" t="s">
        <v>57</v>
      </c>
      <c r="F848" t="s">
        <v>69</v>
      </c>
      <c r="G848">
        <v>500</v>
      </c>
      <c r="H848">
        <v>1389.13</v>
      </c>
      <c r="I848">
        <v>0</v>
      </c>
      <c r="J848">
        <v>452942</v>
      </c>
      <c r="K848" t="s">
        <v>41</v>
      </c>
      <c r="L848" t="s">
        <v>92</v>
      </c>
      <c r="M848" t="s">
        <v>117</v>
      </c>
      <c r="N848" t="s">
        <v>112</v>
      </c>
      <c r="O848" t="s">
        <v>142</v>
      </c>
      <c r="P848">
        <v>63100</v>
      </c>
      <c r="Q848">
        <v>-79400</v>
      </c>
      <c r="R848" s="1">
        <v>42027</v>
      </c>
      <c r="S848" t="s">
        <v>46</v>
      </c>
      <c r="T848" t="s">
        <v>47</v>
      </c>
      <c r="U848" t="s">
        <v>107</v>
      </c>
      <c r="V848" t="s">
        <v>99</v>
      </c>
      <c r="W848" t="s">
        <v>64</v>
      </c>
      <c r="X848" t="s">
        <v>122</v>
      </c>
      <c r="Y848" t="s">
        <v>1025</v>
      </c>
      <c r="Z848">
        <v>13</v>
      </c>
      <c r="AA848">
        <v>1</v>
      </c>
      <c r="AB848" t="s">
        <v>79</v>
      </c>
      <c r="AC848">
        <v>0</v>
      </c>
      <c r="AD848">
        <v>3</v>
      </c>
      <c r="AE848" t="s">
        <v>62</v>
      </c>
      <c r="AF848">
        <v>52700</v>
      </c>
      <c r="AG848">
        <v>5270</v>
      </c>
      <c r="AH848">
        <v>10540</v>
      </c>
      <c r="AI848">
        <v>36890</v>
      </c>
      <c r="AJ848" t="s">
        <v>115</v>
      </c>
      <c r="AK848" t="s">
        <v>183</v>
      </c>
      <c r="AL848">
        <v>2005</v>
      </c>
      <c r="AM848" t="s">
        <v>82</v>
      </c>
      <c r="AN848" s="2">
        <f t="shared" si="91"/>
        <v>37.910123513628221</v>
      </c>
      <c r="AO848">
        <f t="shared" si="92"/>
        <v>-51310.87</v>
      </c>
      <c r="AP848" s="2">
        <f t="shared" si="93"/>
        <v>2.6358702870913266E-2</v>
      </c>
      <c r="AQ848" s="2">
        <f t="shared" si="97"/>
        <v>10</v>
      </c>
      <c r="AR848">
        <f t="shared" si="94"/>
        <v>285</v>
      </c>
      <c r="AS848" t="str">
        <f t="shared" si="95"/>
        <v>High Claim Ratio</v>
      </c>
      <c r="AT848" t="str">
        <f t="shared" si="96"/>
        <v>High Profit</v>
      </c>
    </row>
    <row r="849" spans="1:46" x14ac:dyDescent="0.2">
      <c r="A849">
        <v>289</v>
      </c>
      <c r="B849">
        <v>43</v>
      </c>
      <c r="C849">
        <v>777533</v>
      </c>
      <c r="D849" s="1">
        <v>37611</v>
      </c>
      <c r="E849" t="s">
        <v>39</v>
      </c>
      <c r="F849" t="s">
        <v>91</v>
      </c>
      <c r="G849">
        <v>1000</v>
      </c>
      <c r="H849">
        <v>1387.51</v>
      </c>
      <c r="I849">
        <v>0</v>
      </c>
      <c r="J849">
        <v>609390</v>
      </c>
      <c r="K849" t="s">
        <v>70</v>
      </c>
      <c r="L849" t="s">
        <v>92</v>
      </c>
      <c r="M849" t="s">
        <v>72</v>
      </c>
      <c r="N849" t="s">
        <v>106</v>
      </c>
      <c r="O849" t="s">
        <v>142</v>
      </c>
      <c r="P849">
        <v>0</v>
      </c>
      <c r="Q849">
        <v>0</v>
      </c>
      <c r="R849" s="1">
        <v>42015</v>
      </c>
      <c r="S849" t="s">
        <v>75</v>
      </c>
      <c r="T849" t="s">
        <v>47</v>
      </c>
      <c r="U849" t="s">
        <v>63</v>
      </c>
      <c r="V849" t="s">
        <v>99</v>
      </c>
      <c r="W849" t="s">
        <v>77</v>
      </c>
      <c r="X849" t="s">
        <v>65</v>
      </c>
      <c r="Y849" t="s">
        <v>1026</v>
      </c>
      <c r="Z849">
        <v>19</v>
      </c>
      <c r="AA849">
        <v>3</v>
      </c>
      <c r="AB849" t="s">
        <v>53</v>
      </c>
      <c r="AC849">
        <v>1</v>
      </c>
      <c r="AD849">
        <v>3</v>
      </c>
      <c r="AE849" t="s">
        <v>62</v>
      </c>
      <c r="AF849">
        <v>68580</v>
      </c>
      <c r="AG849">
        <v>7620</v>
      </c>
      <c r="AH849">
        <v>7620</v>
      </c>
      <c r="AI849">
        <v>53340</v>
      </c>
      <c r="AJ849" t="s">
        <v>197</v>
      </c>
      <c r="AK849" t="s">
        <v>198</v>
      </c>
      <c r="AL849">
        <v>2010</v>
      </c>
      <c r="AM849" t="s">
        <v>82</v>
      </c>
      <c r="AN849" s="2">
        <f t="shared" si="91"/>
        <v>49.391073884955816</v>
      </c>
      <c r="AO849">
        <f t="shared" si="92"/>
        <v>-67192.490000000005</v>
      </c>
      <c r="AP849" s="2">
        <f t="shared" si="93"/>
        <v>2.0231696825651419E-2</v>
      </c>
      <c r="AQ849" s="2">
        <f t="shared" si="97"/>
        <v>5</v>
      </c>
      <c r="AR849">
        <f t="shared" si="94"/>
        <v>289</v>
      </c>
      <c r="AS849" t="str">
        <f t="shared" si="95"/>
        <v>High Claim Ratio</v>
      </c>
      <c r="AT849" t="str">
        <f t="shared" si="96"/>
        <v>High Profit</v>
      </c>
    </row>
    <row r="850" spans="1:46" x14ac:dyDescent="0.2">
      <c r="A850">
        <v>427</v>
      </c>
      <c r="B850">
        <v>60</v>
      </c>
      <c r="C850">
        <v>953334</v>
      </c>
      <c r="D850" s="1">
        <v>38689</v>
      </c>
      <c r="E850" t="s">
        <v>57</v>
      </c>
      <c r="F850" t="s">
        <v>69</v>
      </c>
      <c r="G850">
        <v>1000</v>
      </c>
      <c r="H850">
        <v>1178.6099999999999</v>
      </c>
      <c r="I850">
        <v>7000000</v>
      </c>
      <c r="J850">
        <v>446608</v>
      </c>
      <c r="K850" t="s">
        <v>41</v>
      </c>
      <c r="L850" t="s">
        <v>42</v>
      </c>
      <c r="M850" t="s">
        <v>43</v>
      </c>
      <c r="N850" t="s">
        <v>73</v>
      </c>
      <c r="O850" t="s">
        <v>74</v>
      </c>
      <c r="P850">
        <v>0</v>
      </c>
      <c r="Q850">
        <v>-54400</v>
      </c>
      <c r="R850" s="1">
        <v>42055</v>
      </c>
      <c r="S850" t="s">
        <v>46</v>
      </c>
      <c r="T850" t="s">
        <v>47</v>
      </c>
      <c r="U850" t="s">
        <v>48</v>
      </c>
      <c r="V850" t="s">
        <v>136</v>
      </c>
      <c r="W850" t="s">
        <v>77</v>
      </c>
      <c r="X850" t="s">
        <v>102</v>
      </c>
      <c r="Y850" t="s">
        <v>1027</v>
      </c>
      <c r="Z850">
        <v>23</v>
      </c>
      <c r="AA850">
        <v>1</v>
      </c>
      <c r="AB850" t="s">
        <v>53</v>
      </c>
      <c r="AC850">
        <v>1</v>
      </c>
      <c r="AD850">
        <v>2</v>
      </c>
      <c r="AE850" t="s">
        <v>53</v>
      </c>
      <c r="AF850">
        <v>90860</v>
      </c>
      <c r="AG850">
        <v>12980</v>
      </c>
      <c r="AH850">
        <v>19470</v>
      </c>
      <c r="AI850">
        <v>58410</v>
      </c>
      <c r="AJ850" t="s">
        <v>214</v>
      </c>
      <c r="AK850" t="s">
        <v>258</v>
      </c>
      <c r="AL850">
        <v>2004</v>
      </c>
      <c r="AM850" t="s">
        <v>56</v>
      </c>
      <c r="AN850" s="2">
        <f t="shared" si="91"/>
        <v>77.025457566483851</v>
      </c>
      <c r="AO850">
        <f t="shared" si="92"/>
        <v>-89681.39</v>
      </c>
      <c r="AP850" s="2">
        <f t="shared" si="93"/>
        <v>1.2971571961567669E-2</v>
      </c>
      <c r="AQ850" s="2">
        <f t="shared" si="97"/>
        <v>11</v>
      </c>
      <c r="AR850">
        <f t="shared" si="94"/>
        <v>427</v>
      </c>
      <c r="AS850" t="str">
        <f t="shared" si="95"/>
        <v>High Claim Ratio</v>
      </c>
      <c r="AT850" t="str">
        <f t="shared" si="96"/>
        <v>High Profit</v>
      </c>
    </row>
    <row r="851" spans="1:46" x14ac:dyDescent="0.2">
      <c r="A851">
        <v>380</v>
      </c>
      <c r="B851">
        <v>53</v>
      </c>
      <c r="C851">
        <v>369781</v>
      </c>
      <c r="D851" s="1">
        <v>40688</v>
      </c>
      <c r="E851" t="s">
        <v>83</v>
      </c>
      <c r="F851" t="s">
        <v>40</v>
      </c>
      <c r="G851">
        <v>2000</v>
      </c>
      <c r="H851">
        <v>1166.6199999999999</v>
      </c>
      <c r="I851">
        <v>6000000</v>
      </c>
      <c r="J851">
        <v>602500</v>
      </c>
      <c r="K851" t="s">
        <v>41</v>
      </c>
      <c r="L851" t="s">
        <v>92</v>
      </c>
      <c r="M851" t="s">
        <v>117</v>
      </c>
      <c r="N851" t="s">
        <v>98</v>
      </c>
      <c r="O851" t="s">
        <v>119</v>
      </c>
      <c r="P851">
        <v>0</v>
      </c>
      <c r="Q851">
        <v>0</v>
      </c>
      <c r="R851" s="1">
        <v>42059</v>
      </c>
      <c r="S851" t="s">
        <v>138</v>
      </c>
      <c r="T851" t="s">
        <v>62</v>
      </c>
      <c r="U851" t="s">
        <v>212</v>
      </c>
      <c r="V851" t="s">
        <v>49</v>
      </c>
      <c r="W851" t="s">
        <v>121</v>
      </c>
      <c r="X851" t="s">
        <v>127</v>
      </c>
      <c r="Y851" t="s">
        <v>1028</v>
      </c>
      <c r="Z851">
        <v>23</v>
      </c>
      <c r="AA851">
        <v>1</v>
      </c>
      <c r="AB851" t="s">
        <v>79</v>
      </c>
      <c r="AC851">
        <v>0</v>
      </c>
      <c r="AD851">
        <v>3</v>
      </c>
      <c r="AE851" t="s">
        <v>79</v>
      </c>
      <c r="AF851">
        <v>5700</v>
      </c>
      <c r="AG851">
        <v>570</v>
      </c>
      <c r="AH851">
        <v>570</v>
      </c>
      <c r="AI851">
        <v>4560</v>
      </c>
      <c r="AJ851" t="s">
        <v>54</v>
      </c>
      <c r="AK851">
        <v>93</v>
      </c>
      <c r="AL851">
        <v>2001</v>
      </c>
      <c r="AM851" t="s">
        <v>82</v>
      </c>
      <c r="AN851" s="2">
        <f t="shared" si="91"/>
        <v>4.8817252188211926</v>
      </c>
      <c r="AO851">
        <f t="shared" si="92"/>
        <v>-4533.38</v>
      </c>
      <c r="AP851" s="2">
        <f t="shared" si="93"/>
        <v>0.20463427468865109</v>
      </c>
      <c r="AQ851" s="2">
        <f t="shared" si="97"/>
        <v>14</v>
      </c>
      <c r="AR851">
        <f t="shared" si="94"/>
        <v>380</v>
      </c>
      <c r="AS851" t="str">
        <f t="shared" si="95"/>
        <v>Low Claim Ratio</v>
      </c>
      <c r="AT851" t="str">
        <f t="shared" si="96"/>
        <v>Low Profit</v>
      </c>
    </row>
    <row r="852" spans="1:46" x14ac:dyDescent="0.2">
      <c r="A852">
        <v>13</v>
      </c>
      <c r="B852">
        <v>21</v>
      </c>
      <c r="C852">
        <v>990998</v>
      </c>
      <c r="D852" s="1">
        <v>39008</v>
      </c>
      <c r="E852" t="s">
        <v>57</v>
      </c>
      <c r="F852" t="s">
        <v>69</v>
      </c>
      <c r="G852">
        <v>1000</v>
      </c>
      <c r="H852">
        <v>1556.31</v>
      </c>
      <c r="I852">
        <v>0</v>
      </c>
      <c r="J852">
        <v>463809</v>
      </c>
      <c r="K852" t="s">
        <v>41</v>
      </c>
      <c r="L852" t="s">
        <v>92</v>
      </c>
      <c r="M852" t="s">
        <v>101</v>
      </c>
      <c r="N852" t="s">
        <v>112</v>
      </c>
      <c r="O852" t="s">
        <v>142</v>
      </c>
      <c r="P852">
        <v>0</v>
      </c>
      <c r="Q852">
        <v>-75000</v>
      </c>
      <c r="R852" s="1">
        <v>42023</v>
      </c>
      <c r="S852" t="s">
        <v>75</v>
      </c>
      <c r="T852" t="s">
        <v>47</v>
      </c>
      <c r="U852" t="s">
        <v>107</v>
      </c>
      <c r="V852" t="s">
        <v>49</v>
      </c>
      <c r="W852" t="s">
        <v>77</v>
      </c>
      <c r="X852" t="s">
        <v>122</v>
      </c>
      <c r="Y852" t="s">
        <v>1029</v>
      </c>
      <c r="Z852">
        <v>19</v>
      </c>
      <c r="AA852">
        <v>3</v>
      </c>
      <c r="AB852" t="s">
        <v>53</v>
      </c>
      <c r="AC852">
        <v>2</v>
      </c>
      <c r="AD852">
        <v>0</v>
      </c>
      <c r="AE852" t="s">
        <v>53</v>
      </c>
      <c r="AF852">
        <v>94930</v>
      </c>
      <c r="AG852">
        <v>8630</v>
      </c>
      <c r="AH852">
        <v>8630</v>
      </c>
      <c r="AI852">
        <v>77670</v>
      </c>
      <c r="AJ852" t="s">
        <v>95</v>
      </c>
      <c r="AK852" t="s">
        <v>96</v>
      </c>
      <c r="AL852">
        <v>2014</v>
      </c>
      <c r="AM852" t="s">
        <v>82</v>
      </c>
      <c r="AN852" s="2">
        <f t="shared" si="91"/>
        <v>60.957677019989596</v>
      </c>
      <c r="AO852">
        <f t="shared" si="92"/>
        <v>-93373.69</v>
      </c>
      <c r="AP852" s="2">
        <f t="shared" si="93"/>
        <v>1.6394117832952353E-2</v>
      </c>
      <c r="AQ852" s="2">
        <f t="shared" si="97"/>
        <v>1</v>
      </c>
      <c r="AR852">
        <f t="shared" si="94"/>
        <v>13</v>
      </c>
      <c r="AS852" t="str">
        <f t="shared" si="95"/>
        <v>High Claim Ratio</v>
      </c>
      <c r="AT852" t="str">
        <f t="shared" si="96"/>
        <v>High Profit</v>
      </c>
    </row>
    <row r="853" spans="1:46" x14ac:dyDescent="0.2">
      <c r="A853">
        <v>282</v>
      </c>
      <c r="B853">
        <v>43</v>
      </c>
      <c r="C853">
        <v>982678</v>
      </c>
      <c r="D853" s="1">
        <v>38917</v>
      </c>
      <c r="E853" t="s">
        <v>39</v>
      </c>
      <c r="F853" t="s">
        <v>40</v>
      </c>
      <c r="G853">
        <v>500</v>
      </c>
      <c r="H853">
        <v>1452.27</v>
      </c>
      <c r="I853">
        <v>0</v>
      </c>
      <c r="J853">
        <v>611996</v>
      </c>
      <c r="K853" t="s">
        <v>41</v>
      </c>
      <c r="L853" t="s">
        <v>42</v>
      </c>
      <c r="M853" t="s">
        <v>189</v>
      </c>
      <c r="N853" t="s">
        <v>181</v>
      </c>
      <c r="O853" t="s">
        <v>142</v>
      </c>
      <c r="P853">
        <v>75800</v>
      </c>
      <c r="Q853">
        <v>0</v>
      </c>
      <c r="R853" s="1">
        <v>42012</v>
      </c>
      <c r="S853" t="s">
        <v>46</v>
      </c>
      <c r="T853" t="s">
        <v>47</v>
      </c>
      <c r="U853" t="s">
        <v>48</v>
      </c>
      <c r="V853" t="s">
        <v>136</v>
      </c>
      <c r="W853" t="s">
        <v>50</v>
      </c>
      <c r="X853" t="s">
        <v>127</v>
      </c>
      <c r="Y853" t="s">
        <v>1030</v>
      </c>
      <c r="Z853">
        <v>19</v>
      </c>
      <c r="AA853">
        <v>1</v>
      </c>
      <c r="AB853" t="s">
        <v>79</v>
      </c>
      <c r="AC853">
        <v>1</v>
      </c>
      <c r="AD853">
        <v>2</v>
      </c>
      <c r="AE853" t="s">
        <v>79</v>
      </c>
      <c r="AF853">
        <v>46800</v>
      </c>
      <c r="AG853">
        <v>4680</v>
      </c>
      <c r="AH853">
        <v>9360</v>
      </c>
      <c r="AI853">
        <v>32760</v>
      </c>
      <c r="AJ853" t="s">
        <v>109</v>
      </c>
      <c r="AK853" t="s">
        <v>110</v>
      </c>
      <c r="AL853">
        <v>2007</v>
      </c>
      <c r="AM853" t="s">
        <v>56</v>
      </c>
      <c r="AN853" s="2">
        <f t="shared" si="91"/>
        <v>32.203238214509348</v>
      </c>
      <c r="AO853">
        <f t="shared" si="92"/>
        <v>-45347.73</v>
      </c>
      <c r="AP853" s="2">
        <f t="shared" si="93"/>
        <v>3.1030747206256277E-2</v>
      </c>
      <c r="AQ853" s="2">
        <f t="shared" si="97"/>
        <v>8</v>
      </c>
      <c r="AR853">
        <f t="shared" si="94"/>
        <v>282</v>
      </c>
      <c r="AS853" t="str">
        <f t="shared" si="95"/>
        <v>High Claim Ratio</v>
      </c>
      <c r="AT853" t="str">
        <f t="shared" si="96"/>
        <v>High Profit</v>
      </c>
    </row>
    <row r="854" spans="1:46" x14ac:dyDescent="0.2">
      <c r="A854">
        <v>312</v>
      </c>
      <c r="B854">
        <v>47</v>
      </c>
      <c r="C854">
        <v>646069</v>
      </c>
      <c r="D854" s="1">
        <v>37415</v>
      </c>
      <c r="E854" t="s">
        <v>39</v>
      </c>
      <c r="F854" t="s">
        <v>91</v>
      </c>
      <c r="G854">
        <v>1000</v>
      </c>
      <c r="H854">
        <v>1212.07</v>
      </c>
      <c r="I854">
        <v>0</v>
      </c>
      <c r="J854">
        <v>459298</v>
      </c>
      <c r="K854" t="s">
        <v>70</v>
      </c>
      <c r="L854" t="s">
        <v>42</v>
      </c>
      <c r="M854" t="s">
        <v>125</v>
      </c>
      <c r="N854" t="s">
        <v>173</v>
      </c>
      <c r="O854" t="s">
        <v>119</v>
      </c>
      <c r="P854">
        <v>66900</v>
      </c>
      <c r="Q854">
        <v>-51800</v>
      </c>
      <c r="R854" s="1">
        <v>42064</v>
      </c>
      <c r="S854" t="s">
        <v>75</v>
      </c>
      <c r="T854" t="s">
        <v>47</v>
      </c>
      <c r="U854" t="s">
        <v>107</v>
      </c>
      <c r="V854" t="s">
        <v>99</v>
      </c>
      <c r="W854" t="s">
        <v>77</v>
      </c>
      <c r="X854" t="s">
        <v>127</v>
      </c>
      <c r="Y854" t="s">
        <v>1031</v>
      </c>
      <c r="Z854">
        <v>17</v>
      </c>
      <c r="AA854">
        <v>3</v>
      </c>
      <c r="AB854" t="s">
        <v>79</v>
      </c>
      <c r="AC854">
        <v>2</v>
      </c>
      <c r="AD854">
        <v>3</v>
      </c>
      <c r="AE854" t="s">
        <v>79</v>
      </c>
      <c r="AF854">
        <v>56320</v>
      </c>
      <c r="AG854">
        <v>7040</v>
      </c>
      <c r="AH854">
        <v>7040</v>
      </c>
      <c r="AI854">
        <v>42240</v>
      </c>
      <c r="AJ854" t="s">
        <v>67</v>
      </c>
      <c r="AK854" t="s">
        <v>271</v>
      </c>
      <c r="AL854">
        <v>2000</v>
      </c>
      <c r="AM854" t="s">
        <v>82</v>
      </c>
      <c r="AN854" s="2">
        <f t="shared" si="91"/>
        <v>46.427658750113352</v>
      </c>
      <c r="AO854">
        <f t="shared" si="92"/>
        <v>-55107.93</v>
      </c>
      <c r="AP854" s="2">
        <f t="shared" si="93"/>
        <v>2.1520747145824824E-2</v>
      </c>
      <c r="AQ854" s="2">
        <f t="shared" si="97"/>
        <v>15</v>
      </c>
      <c r="AR854">
        <f t="shared" si="94"/>
        <v>312</v>
      </c>
      <c r="AS854" t="str">
        <f t="shared" si="95"/>
        <v>High Claim Ratio</v>
      </c>
      <c r="AT854" t="str">
        <f t="shared" si="96"/>
        <v>High Profit</v>
      </c>
    </row>
    <row r="855" spans="1:46" x14ac:dyDescent="0.2">
      <c r="A855">
        <v>266</v>
      </c>
      <c r="B855">
        <v>46</v>
      </c>
      <c r="C855">
        <v>331683</v>
      </c>
      <c r="D855" s="1">
        <v>39856</v>
      </c>
      <c r="E855" t="s">
        <v>39</v>
      </c>
      <c r="F855" t="s">
        <v>69</v>
      </c>
      <c r="G855">
        <v>2000</v>
      </c>
      <c r="H855">
        <v>1578.54</v>
      </c>
      <c r="I855">
        <v>0</v>
      </c>
      <c r="J855">
        <v>468158</v>
      </c>
      <c r="K855" t="s">
        <v>41</v>
      </c>
      <c r="L855" t="s">
        <v>92</v>
      </c>
      <c r="M855" t="s">
        <v>159</v>
      </c>
      <c r="N855" t="s">
        <v>168</v>
      </c>
      <c r="O855" t="s">
        <v>45</v>
      </c>
      <c r="P855">
        <v>0</v>
      </c>
      <c r="Q855">
        <v>-41400</v>
      </c>
      <c r="R855" s="1">
        <v>42025</v>
      </c>
      <c r="S855" t="s">
        <v>46</v>
      </c>
      <c r="T855" t="s">
        <v>86</v>
      </c>
      <c r="U855" t="s">
        <v>63</v>
      </c>
      <c r="V855" t="s">
        <v>99</v>
      </c>
      <c r="W855" t="s">
        <v>113</v>
      </c>
      <c r="X855" t="s">
        <v>122</v>
      </c>
      <c r="Y855" t="s">
        <v>1032</v>
      </c>
      <c r="Z855">
        <v>18</v>
      </c>
      <c r="AA855">
        <v>1</v>
      </c>
      <c r="AB855" t="s">
        <v>79</v>
      </c>
      <c r="AC855">
        <v>1</v>
      </c>
      <c r="AD855">
        <v>3</v>
      </c>
      <c r="AE855" t="s">
        <v>53</v>
      </c>
      <c r="AF855">
        <v>83490</v>
      </c>
      <c r="AG855">
        <v>7590</v>
      </c>
      <c r="AH855">
        <v>15180</v>
      </c>
      <c r="AI855">
        <v>60720</v>
      </c>
      <c r="AJ855" t="s">
        <v>104</v>
      </c>
      <c r="AK855" t="s">
        <v>105</v>
      </c>
      <c r="AL855">
        <v>1996</v>
      </c>
      <c r="AM855" t="s">
        <v>82</v>
      </c>
      <c r="AN855" s="2">
        <f t="shared" si="91"/>
        <v>52.857160945591758</v>
      </c>
      <c r="AO855">
        <f t="shared" si="92"/>
        <v>-81911.460000000006</v>
      </c>
      <c r="AP855" s="2">
        <f t="shared" si="93"/>
        <v>1.8906708507503801E-2</v>
      </c>
      <c r="AQ855" s="2">
        <f t="shared" si="97"/>
        <v>19</v>
      </c>
      <c r="AR855">
        <f t="shared" si="94"/>
        <v>266</v>
      </c>
      <c r="AS855" t="str">
        <f t="shared" si="95"/>
        <v>High Claim Ratio</v>
      </c>
      <c r="AT855" t="str">
        <f t="shared" si="96"/>
        <v>High Profit</v>
      </c>
    </row>
    <row r="856" spans="1:46" x14ac:dyDescent="0.2">
      <c r="A856">
        <v>30</v>
      </c>
      <c r="B856">
        <v>36</v>
      </c>
      <c r="C856">
        <v>364055</v>
      </c>
      <c r="D856" s="1">
        <v>37025</v>
      </c>
      <c r="E856" t="s">
        <v>57</v>
      </c>
      <c r="F856" t="s">
        <v>91</v>
      </c>
      <c r="G856">
        <v>500</v>
      </c>
      <c r="H856">
        <v>1488.26</v>
      </c>
      <c r="I856">
        <v>0</v>
      </c>
      <c r="J856">
        <v>440831</v>
      </c>
      <c r="K856" t="s">
        <v>70</v>
      </c>
      <c r="L856" t="s">
        <v>141</v>
      </c>
      <c r="M856" t="s">
        <v>58</v>
      </c>
      <c r="N856" t="s">
        <v>112</v>
      </c>
      <c r="O856" t="s">
        <v>119</v>
      </c>
      <c r="P856">
        <v>0</v>
      </c>
      <c r="Q856">
        <v>-63500</v>
      </c>
      <c r="R856" s="1">
        <v>42063</v>
      </c>
      <c r="S856" t="s">
        <v>75</v>
      </c>
      <c r="T856" t="s">
        <v>47</v>
      </c>
      <c r="U856" t="s">
        <v>107</v>
      </c>
      <c r="V856" t="s">
        <v>49</v>
      </c>
      <c r="W856" t="s">
        <v>113</v>
      </c>
      <c r="X856" t="s">
        <v>156</v>
      </c>
      <c r="Y856" t="s">
        <v>1033</v>
      </c>
      <c r="Z856">
        <v>17</v>
      </c>
      <c r="AA856">
        <v>3</v>
      </c>
      <c r="AB856" t="s">
        <v>79</v>
      </c>
      <c r="AC856">
        <v>2</v>
      </c>
      <c r="AD856">
        <v>2</v>
      </c>
      <c r="AE856" t="s">
        <v>62</v>
      </c>
      <c r="AF856">
        <v>57900</v>
      </c>
      <c r="AG856">
        <v>5790</v>
      </c>
      <c r="AH856">
        <v>5790</v>
      </c>
      <c r="AI856">
        <v>46320</v>
      </c>
      <c r="AJ856" t="s">
        <v>54</v>
      </c>
      <c r="AK856">
        <v>95</v>
      </c>
      <c r="AL856">
        <v>2008</v>
      </c>
      <c r="AM856" t="s">
        <v>82</v>
      </c>
      <c r="AN856" s="2">
        <f t="shared" si="91"/>
        <v>38.878369122920105</v>
      </c>
      <c r="AO856">
        <f t="shared" si="92"/>
        <v>-56411.74</v>
      </c>
      <c r="AP856" s="2">
        <f t="shared" si="93"/>
        <v>2.5703528436469145E-2</v>
      </c>
      <c r="AQ856" s="2">
        <f t="shared" si="97"/>
        <v>7</v>
      </c>
      <c r="AR856">
        <f t="shared" si="94"/>
        <v>30</v>
      </c>
      <c r="AS856" t="str">
        <f t="shared" si="95"/>
        <v>High Claim Ratio</v>
      </c>
      <c r="AT856" t="str">
        <f t="shared" si="96"/>
        <v>High Profit</v>
      </c>
    </row>
    <row r="857" spans="1:46" x14ac:dyDescent="0.2">
      <c r="A857">
        <v>198</v>
      </c>
      <c r="B857">
        <v>36</v>
      </c>
      <c r="C857">
        <v>521854</v>
      </c>
      <c r="D857" s="1">
        <v>36938</v>
      </c>
      <c r="E857" t="s">
        <v>57</v>
      </c>
      <c r="F857" t="s">
        <v>40</v>
      </c>
      <c r="G857">
        <v>1000</v>
      </c>
      <c r="H857">
        <v>1096.3900000000001</v>
      </c>
      <c r="I857">
        <v>0</v>
      </c>
      <c r="J857">
        <v>603848</v>
      </c>
      <c r="K857" t="s">
        <v>41</v>
      </c>
      <c r="L857" t="s">
        <v>131</v>
      </c>
      <c r="M857" t="s">
        <v>84</v>
      </c>
      <c r="N857" t="s">
        <v>170</v>
      </c>
      <c r="O857" t="s">
        <v>74</v>
      </c>
      <c r="P857">
        <v>0</v>
      </c>
      <c r="Q857">
        <v>0</v>
      </c>
      <c r="R857" s="1">
        <v>42030</v>
      </c>
      <c r="S857" t="s">
        <v>75</v>
      </c>
      <c r="T857" t="s">
        <v>76</v>
      </c>
      <c r="U857" t="s">
        <v>107</v>
      </c>
      <c r="V857" t="s">
        <v>99</v>
      </c>
      <c r="W857" t="s">
        <v>50</v>
      </c>
      <c r="X857" t="s">
        <v>102</v>
      </c>
      <c r="Y857" t="s">
        <v>1034</v>
      </c>
      <c r="Z857">
        <v>11</v>
      </c>
      <c r="AA857">
        <v>3</v>
      </c>
      <c r="AB857" t="s">
        <v>62</v>
      </c>
      <c r="AC857">
        <v>1</v>
      </c>
      <c r="AD857">
        <v>3</v>
      </c>
      <c r="AE857" t="s">
        <v>53</v>
      </c>
      <c r="AF857">
        <v>49410</v>
      </c>
      <c r="AG857">
        <v>5490</v>
      </c>
      <c r="AH857">
        <v>5490</v>
      </c>
      <c r="AI857">
        <v>38430</v>
      </c>
      <c r="AJ857" t="s">
        <v>109</v>
      </c>
      <c r="AK857" t="s">
        <v>134</v>
      </c>
      <c r="AL857">
        <v>2015</v>
      </c>
      <c r="AM857" t="s">
        <v>82</v>
      </c>
      <c r="AN857" s="2">
        <f t="shared" si="91"/>
        <v>45.025013896609224</v>
      </c>
      <c r="AO857">
        <f t="shared" si="92"/>
        <v>-48313.61</v>
      </c>
      <c r="AP857" s="2">
        <f t="shared" si="93"/>
        <v>2.218918864220518E-2</v>
      </c>
      <c r="AQ857" s="2">
        <f t="shared" si="97"/>
        <v>0</v>
      </c>
      <c r="AR857">
        <f t="shared" si="94"/>
        <v>198</v>
      </c>
      <c r="AS857" t="str">
        <f t="shared" si="95"/>
        <v>High Claim Ratio</v>
      </c>
      <c r="AT857" t="str">
        <f t="shared" si="96"/>
        <v>High Profit</v>
      </c>
    </row>
    <row r="858" spans="1:46" x14ac:dyDescent="0.2">
      <c r="A858">
        <v>290</v>
      </c>
      <c r="B858">
        <v>45</v>
      </c>
      <c r="C858">
        <v>737252</v>
      </c>
      <c r="D858" s="1">
        <v>34291</v>
      </c>
      <c r="E858" t="s">
        <v>39</v>
      </c>
      <c r="F858" t="s">
        <v>91</v>
      </c>
      <c r="G858">
        <v>2000</v>
      </c>
      <c r="H858">
        <v>1215.3599999999999</v>
      </c>
      <c r="I858">
        <v>0</v>
      </c>
      <c r="J858">
        <v>617739</v>
      </c>
      <c r="K858" t="s">
        <v>41</v>
      </c>
      <c r="L858" t="s">
        <v>92</v>
      </c>
      <c r="M858" t="s">
        <v>97</v>
      </c>
      <c r="N858" t="s">
        <v>59</v>
      </c>
      <c r="O858" t="s">
        <v>74</v>
      </c>
      <c r="P858">
        <v>54400</v>
      </c>
      <c r="Q858">
        <v>0</v>
      </c>
      <c r="R858" s="1">
        <v>42035</v>
      </c>
      <c r="S858" t="s">
        <v>75</v>
      </c>
      <c r="T858" t="s">
        <v>47</v>
      </c>
      <c r="U858" t="s">
        <v>63</v>
      </c>
      <c r="V858" t="s">
        <v>99</v>
      </c>
      <c r="W858" t="s">
        <v>113</v>
      </c>
      <c r="X858" t="s">
        <v>127</v>
      </c>
      <c r="Y858" t="s">
        <v>1035</v>
      </c>
      <c r="Z858">
        <v>22</v>
      </c>
      <c r="AA858">
        <v>3</v>
      </c>
      <c r="AB858" t="s">
        <v>62</v>
      </c>
      <c r="AC858">
        <v>0</v>
      </c>
      <c r="AD858">
        <v>1</v>
      </c>
      <c r="AE858" t="s">
        <v>79</v>
      </c>
      <c r="AF858">
        <v>66200</v>
      </c>
      <c r="AG858">
        <v>6620</v>
      </c>
      <c r="AH858">
        <v>6620</v>
      </c>
      <c r="AI858">
        <v>52960</v>
      </c>
      <c r="AJ858" t="s">
        <v>153</v>
      </c>
      <c r="AK858" t="s">
        <v>163</v>
      </c>
      <c r="AL858">
        <v>2012</v>
      </c>
      <c r="AM858" t="s">
        <v>82</v>
      </c>
      <c r="AN858" s="2">
        <f t="shared" si="91"/>
        <v>54.424676904863695</v>
      </c>
      <c r="AO858">
        <f t="shared" si="92"/>
        <v>-64984.639999999999</v>
      </c>
      <c r="AP858" s="2">
        <f t="shared" si="93"/>
        <v>1.8358635065935557E-2</v>
      </c>
      <c r="AQ858" s="2">
        <f t="shared" si="97"/>
        <v>3</v>
      </c>
      <c r="AR858">
        <f t="shared" si="94"/>
        <v>290</v>
      </c>
      <c r="AS858" t="str">
        <f t="shared" si="95"/>
        <v>High Claim Ratio</v>
      </c>
      <c r="AT858" t="str">
        <f t="shared" si="96"/>
        <v>High Profit</v>
      </c>
    </row>
    <row r="859" spans="1:46" x14ac:dyDescent="0.2">
      <c r="A859">
        <v>260</v>
      </c>
      <c r="B859">
        <v>46</v>
      </c>
      <c r="C859">
        <v>344480</v>
      </c>
      <c r="D859" s="1">
        <v>32922</v>
      </c>
      <c r="E859" t="s">
        <v>39</v>
      </c>
      <c r="F859" t="s">
        <v>69</v>
      </c>
      <c r="G859">
        <v>2000</v>
      </c>
      <c r="H859">
        <v>1482.57</v>
      </c>
      <c r="I859">
        <v>0</v>
      </c>
      <c r="J859">
        <v>607133</v>
      </c>
      <c r="K859" t="s">
        <v>41</v>
      </c>
      <c r="L859" t="s">
        <v>42</v>
      </c>
      <c r="M859" t="s">
        <v>117</v>
      </c>
      <c r="N859" t="s">
        <v>59</v>
      </c>
      <c r="O859" t="s">
        <v>45</v>
      </c>
      <c r="P859">
        <v>35000</v>
      </c>
      <c r="Q859">
        <v>0</v>
      </c>
      <c r="R859" s="1">
        <v>42055</v>
      </c>
      <c r="S859" t="s">
        <v>46</v>
      </c>
      <c r="T859" t="s">
        <v>86</v>
      </c>
      <c r="U859" t="s">
        <v>63</v>
      </c>
      <c r="V859" t="s">
        <v>99</v>
      </c>
      <c r="W859" t="s">
        <v>77</v>
      </c>
      <c r="X859" t="s">
        <v>51</v>
      </c>
      <c r="Y859" t="s">
        <v>1036</v>
      </c>
      <c r="Z859">
        <v>7</v>
      </c>
      <c r="AA859">
        <v>1</v>
      </c>
      <c r="AB859" t="s">
        <v>79</v>
      </c>
      <c r="AC859">
        <v>0</v>
      </c>
      <c r="AD859">
        <v>1</v>
      </c>
      <c r="AE859" t="s">
        <v>79</v>
      </c>
      <c r="AF859">
        <v>64080</v>
      </c>
      <c r="AG859">
        <v>10680</v>
      </c>
      <c r="AH859">
        <v>10680</v>
      </c>
      <c r="AI859">
        <v>42720</v>
      </c>
      <c r="AJ859" t="s">
        <v>115</v>
      </c>
      <c r="AK859" t="s">
        <v>116</v>
      </c>
      <c r="AL859">
        <v>2005</v>
      </c>
      <c r="AM859" t="s">
        <v>82</v>
      </c>
      <c r="AN859" s="2">
        <f t="shared" si="91"/>
        <v>43.193108515270602</v>
      </c>
      <c r="AO859">
        <f t="shared" si="92"/>
        <v>-62597.43</v>
      </c>
      <c r="AP859" s="2">
        <f t="shared" si="93"/>
        <v>2.3135874908319157E-2</v>
      </c>
      <c r="AQ859" s="2">
        <f t="shared" si="97"/>
        <v>10</v>
      </c>
      <c r="AR859">
        <f t="shared" si="94"/>
        <v>260</v>
      </c>
      <c r="AS859" t="str">
        <f t="shared" si="95"/>
        <v>High Claim Ratio</v>
      </c>
      <c r="AT859" t="str">
        <f t="shared" si="96"/>
        <v>High Profit</v>
      </c>
    </row>
    <row r="860" spans="1:46" x14ac:dyDescent="0.2">
      <c r="A860">
        <v>233</v>
      </c>
      <c r="B860">
        <v>43</v>
      </c>
      <c r="C860">
        <v>898519</v>
      </c>
      <c r="D860" s="1">
        <v>36667</v>
      </c>
      <c r="E860" t="s">
        <v>39</v>
      </c>
      <c r="F860" t="s">
        <v>40</v>
      </c>
      <c r="G860">
        <v>1000</v>
      </c>
      <c r="H860">
        <v>954.18</v>
      </c>
      <c r="I860">
        <v>0</v>
      </c>
      <c r="J860">
        <v>437470</v>
      </c>
      <c r="K860" t="s">
        <v>70</v>
      </c>
      <c r="L860" t="s">
        <v>141</v>
      </c>
      <c r="M860" t="s">
        <v>97</v>
      </c>
      <c r="N860" t="s">
        <v>126</v>
      </c>
      <c r="O860" t="s">
        <v>60</v>
      </c>
      <c r="P860">
        <v>0</v>
      </c>
      <c r="Q860">
        <v>0</v>
      </c>
      <c r="R860" s="1">
        <v>42052</v>
      </c>
      <c r="S860" t="s">
        <v>75</v>
      </c>
      <c r="T860" t="s">
        <v>47</v>
      </c>
      <c r="U860" t="s">
        <v>63</v>
      </c>
      <c r="V860" t="s">
        <v>120</v>
      </c>
      <c r="W860" t="s">
        <v>50</v>
      </c>
      <c r="X860" t="s">
        <v>156</v>
      </c>
      <c r="Y860" t="s">
        <v>1037</v>
      </c>
      <c r="Z860">
        <v>17</v>
      </c>
      <c r="AA860">
        <v>3</v>
      </c>
      <c r="AB860" t="s">
        <v>62</v>
      </c>
      <c r="AC860">
        <v>2</v>
      </c>
      <c r="AD860">
        <v>3</v>
      </c>
      <c r="AE860" t="s">
        <v>53</v>
      </c>
      <c r="AF860">
        <v>42500</v>
      </c>
      <c r="AG860">
        <v>8500</v>
      </c>
      <c r="AH860">
        <v>4250</v>
      </c>
      <c r="AI860">
        <v>29750</v>
      </c>
      <c r="AJ860" t="s">
        <v>104</v>
      </c>
      <c r="AK860" t="s">
        <v>105</v>
      </c>
      <c r="AL860">
        <v>2000</v>
      </c>
      <c r="AM860" t="s">
        <v>82</v>
      </c>
      <c r="AN860" s="2">
        <f t="shared" si="91"/>
        <v>44.494231453757408</v>
      </c>
      <c r="AO860">
        <f t="shared" si="92"/>
        <v>-41545.82</v>
      </c>
      <c r="AP860" s="2">
        <f t="shared" si="93"/>
        <v>2.2450765864332603E-2</v>
      </c>
      <c r="AQ860" s="2">
        <f t="shared" si="97"/>
        <v>15</v>
      </c>
      <c r="AR860">
        <f t="shared" si="94"/>
        <v>233</v>
      </c>
      <c r="AS860" t="str">
        <f t="shared" si="95"/>
        <v>High Claim Ratio</v>
      </c>
      <c r="AT860" t="str">
        <f t="shared" si="96"/>
        <v>High Profit</v>
      </c>
    </row>
    <row r="861" spans="1:46" x14ac:dyDescent="0.2">
      <c r="A861">
        <v>130</v>
      </c>
      <c r="B861">
        <v>30</v>
      </c>
      <c r="C861">
        <v>957816</v>
      </c>
      <c r="D861" s="1">
        <v>41147</v>
      </c>
      <c r="E861" t="s">
        <v>83</v>
      </c>
      <c r="F861" t="s">
        <v>91</v>
      </c>
      <c r="G861">
        <v>2000</v>
      </c>
      <c r="H861">
        <v>1193.4000000000001</v>
      </c>
      <c r="I861">
        <v>0</v>
      </c>
      <c r="J861">
        <v>461372</v>
      </c>
      <c r="K861" t="s">
        <v>41</v>
      </c>
      <c r="L861" t="s">
        <v>71</v>
      </c>
      <c r="M861" t="s">
        <v>125</v>
      </c>
      <c r="N861" t="s">
        <v>98</v>
      </c>
      <c r="O861" t="s">
        <v>74</v>
      </c>
      <c r="P861">
        <v>0</v>
      </c>
      <c r="Q861">
        <v>-40800</v>
      </c>
      <c r="R861" s="1">
        <v>42037</v>
      </c>
      <c r="S861" t="s">
        <v>75</v>
      </c>
      <c r="T861" t="s">
        <v>47</v>
      </c>
      <c r="U861" t="s">
        <v>107</v>
      </c>
      <c r="V861" t="s">
        <v>120</v>
      </c>
      <c r="W861" t="s">
        <v>50</v>
      </c>
      <c r="X861" t="s">
        <v>51</v>
      </c>
      <c r="Y861" t="s">
        <v>1038</v>
      </c>
      <c r="Z861">
        <v>16</v>
      </c>
      <c r="AA861">
        <v>3</v>
      </c>
      <c r="AB861" t="s">
        <v>79</v>
      </c>
      <c r="AC861">
        <v>2</v>
      </c>
      <c r="AD861">
        <v>3</v>
      </c>
      <c r="AE861" t="s">
        <v>62</v>
      </c>
      <c r="AF861">
        <v>48950</v>
      </c>
      <c r="AG861">
        <v>8900</v>
      </c>
      <c r="AH861">
        <v>4450</v>
      </c>
      <c r="AI861">
        <v>35600</v>
      </c>
      <c r="AJ861" t="s">
        <v>153</v>
      </c>
      <c r="AK861" t="s">
        <v>154</v>
      </c>
      <c r="AL861">
        <v>2005</v>
      </c>
      <c r="AM861" t="s">
        <v>82</v>
      </c>
      <c r="AN861" s="2">
        <f t="shared" si="91"/>
        <v>40.982920294708634</v>
      </c>
      <c r="AO861">
        <f t="shared" si="92"/>
        <v>-47756.6</v>
      </c>
      <c r="AP861" s="2">
        <f t="shared" si="93"/>
        <v>2.4379481522338667E-2</v>
      </c>
      <c r="AQ861" s="2">
        <f t="shared" si="97"/>
        <v>10</v>
      </c>
      <c r="AR861">
        <f t="shared" si="94"/>
        <v>130</v>
      </c>
      <c r="AS861" t="str">
        <f t="shared" si="95"/>
        <v>High Claim Ratio</v>
      </c>
      <c r="AT861" t="str">
        <f t="shared" si="96"/>
        <v>High Profit</v>
      </c>
    </row>
    <row r="862" spans="1:46" x14ac:dyDescent="0.2">
      <c r="A862">
        <v>230</v>
      </c>
      <c r="B862">
        <v>42</v>
      </c>
      <c r="C862">
        <v>175960</v>
      </c>
      <c r="D862" s="1">
        <v>38307</v>
      </c>
      <c r="E862" t="s">
        <v>57</v>
      </c>
      <c r="F862" t="s">
        <v>69</v>
      </c>
      <c r="G862">
        <v>1000</v>
      </c>
      <c r="H862">
        <v>1023.11</v>
      </c>
      <c r="I862">
        <v>0</v>
      </c>
      <c r="J862">
        <v>476130</v>
      </c>
      <c r="K862" t="s">
        <v>70</v>
      </c>
      <c r="L862" t="s">
        <v>42</v>
      </c>
      <c r="M862" t="s">
        <v>185</v>
      </c>
      <c r="N862" t="s">
        <v>112</v>
      </c>
      <c r="O862" t="s">
        <v>74</v>
      </c>
      <c r="P862">
        <v>0</v>
      </c>
      <c r="Q862">
        <v>-45300</v>
      </c>
      <c r="R862" s="1">
        <v>42041</v>
      </c>
      <c r="S862" t="s">
        <v>75</v>
      </c>
      <c r="T862" t="s">
        <v>76</v>
      </c>
      <c r="U862" t="s">
        <v>63</v>
      </c>
      <c r="V862" t="s">
        <v>120</v>
      </c>
      <c r="W862" t="s">
        <v>77</v>
      </c>
      <c r="X862" t="s">
        <v>127</v>
      </c>
      <c r="Y862" t="s">
        <v>1039</v>
      </c>
      <c r="Z862">
        <v>13</v>
      </c>
      <c r="AA862">
        <v>3</v>
      </c>
      <c r="AB862" t="s">
        <v>79</v>
      </c>
      <c r="AC862">
        <v>1</v>
      </c>
      <c r="AD862">
        <v>2</v>
      </c>
      <c r="AE862" t="s">
        <v>53</v>
      </c>
      <c r="AF862">
        <v>58850</v>
      </c>
      <c r="AG862">
        <v>10700</v>
      </c>
      <c r="AH862">
        <v>10700</v>
      </c>
      <c r="AI862">
        <v>37450</v>
      </c>
      <c r="AJ862" t="s">
        <v>95</v>
      </c>
      <c r="AK862" t="s">
        <v>148</v>
      </c>
      <c r="AL862">
        <v>1999</v>
      </c>
      <c r="AM862" t="s">
        <v>82</v>
      </c>
      <c r="AN862" s="2">
        <f t="shared" si="91"/>
        <v>57.46453017742234</v>
      </c>
      <c r="AO862">
        <f t="shared" si="92"/>
        <v>-57826.89</v>
      </c>
      <c r="AP862" s="2">
        <f t="shared" si="93"/>
        <v>1.738475132113303E-2</v>
      </c>
      <c r="AQ862" s="2">
        <f t="shared" si="97"/>
        <v>16</v>
      </c>
      <c r="AR862">
        <f t="shared" si="94"/>
        <v>230</v>
      </c>
      <c r="AS862" t="str">
        <f t="shared" si="95"/>
        <v>High Claim Ratio</v>
      </c>
      <c r="AT862" t="str">
        <f t="shared" si="96"/>
        <v>High Profit</v>
      </c>
    </row>
    <row r="863" spans="1:46" x14ac:dyDescent="0.2">
      <c r="A863">
        <v>212</v>
      </c>
      <c r="B863">
        <v>40</v>
      </c>
      <c r="C863">
        <v>489618</v>
      </c>
      <c r="D863" s="1">
        <v>37644</v>
      </c>
      <c r="E863" t="s">
        <v>83</v>
      </c>
      <c r="F863" t="s">
        <v>91</v>
      </c>
      <c r="G863">
        <v>1000</v>
      </c>
      <c r="H863">
        <v>1524.45</v>
      </c>
      <c r="I863">
        <v>0</v>
      </c>
      <c r="J863">
        <v>452438</v>
      </c>
      <c r="K863" t="s">
        <v>70</v>
      </c>
      <c r="L863" t="s">
        <v>124</v>
      </c>
      <c r="M863" t="s">
        <v>111</v>
      </c>
      <c r="N863" t="s">
        <v>112</v>
      </c>
      <c r="O863" t="s">
        <v>45</v>
      </c>
      <c r="P863">
        <v>73200</v>
      </c>
      <c r="Q863">
        <v>0</v>
      </c>
      <c r="R863" s="1">
        <v>42046</v>
      </c>
      <c r="S863" t="s">
        <v>75</v>
      </c>
      <c r="T863" t="s">
        <v>47</v>
      </c>
      <c r="U863" t="s">
        <v>63</v>
      </c>
      <c r="V863" t="s">
        <v>120</v>
      </c>
      <c r="W863" t="s">
        <v>77</v>
      </c>
      <c r="X863" t="s">
        <v>156</v>
      </c>
      <c r="Y863" t="s">
        <v>1040</v>
      </c>
      <c r="Z863">
        <v>17</v>
      </c>
      <c r="AA863">
        <v>3</v>
      </c>
      <c r="AB863" t="s">
        <v>53</v>
      </c>
      <c r="AC863">
        <v>0</v>
      </c>
      <c r="AD863">
        <v>2</v>
      </c>
      <c r="AE863" t="s">
        <v>53</v>
      </c>
      <c r="AF863">
        <v>82400</v>
      </c>
      <c r="AG863">
        <v>8240</v>
      </c>
      <c r="AH863">
        <v>8240</v>
      </c>
      <c r="AI863">
        <v>65920</v>
      </c>
      <c r="AJ863" t="s">
        <v>104</v>
      </c>
      <c r="AK863" t="s">
        <v>105</v>
      </c>
      <c r="AL863">
        <v>2006</v>
      </c>
      <c r="AM863" t="s">
        <v>82</v>
      </c>
      <c r="AN863" s="2">
        <f t="shared" si="91"/>
        <v>54.016847487626599</v>
      </c>
      <c r="AO863">
        <f t="shared" si="92"/>
        <v>-80875.55</v>
      </c>
      <c r="AP863" s="2">
        <f t="shared" si="93"/>
        <v>1.8500382276914116E-2</v>
      </c>
      <c r="AQ863" s="2">
        <f t="shared" si="97"/>
        <v>9</v>
      </c>
      <c r="AR863">
        <f t="shared" si="94"/>
        <v>212</v>
      </c>
      <c r="AS863" t="str">
        <f t="shared" si="95"/>
        <v>High Claim Ratio</v>
      </c>
      <c r="AT863" t="str">
        <f t="shared" si="96"/>
        <v>High Profit</v>
      </c>
    </row>
    <row r="864" spans="1:46" x14ac:dyDescent="0.2">
      <c r="A864">
        <v>299</v>
      </c>
      <c r="B864">
        <v>44</v>
      </c>
      <c r="C864">
        <v>717044</v>
      </c>
      <c r="D864" s="1">
        <v>39759</v>
      </c>
      <c r="E864" t="s">
        <v>39</v>
      </c>
      <c r="F864" t="s">
        <v>91</v>
      </c>
      <c r="G864">
        <v>1000</v>
      </c>
      <c r="H864">
        <v>1653.32</v>
      </c>
      <c r="I864">
        <v>0</v>
      </c>
      <c r="J864">
        <v>460517</v>
      </c>
      <c r="K864" t="s">
        <v>70</v>
      </c>
      <c r="L864" t="s">
        <v>141</v>
      </c>
      <c r="M864" t="s">
        <v>111</v>
      </c>
      <c r="N864" t="s">
        <v>98</v>
      </c>
      <c r="O864" t="s">
        <v>60</v>
      </c>
      <c r="P864">
        <v>0</v>
      </c>
      <c r="Q864">
        <v>-48800</v>
      </c>
      <c r="R864" s="1">
        <v>42029</v>
      </c>
      <c r="S864" t="s">
        <v>46</v>
      </c>
      <c r="T864" t="s">
        <v>76</v>
      </c>
      <c r="U864" t="s">
        <v>63</v>
      </c>
      <c r="V864" t="s">
        <v>136</v>
      </c>
      <c r="W864" t="s">
        <v>113</v>
      </c>
      <c r="X864" t="s">
        <v>102</v>
      </c>
      <c r="Y864" t="s">
        <v>1041</v>
      </c>
      <c r="Z864">
        <v>3</v>
      </c>
      <c r="AA864">
        <v>1</v>
      </c>
      <c r="AB864" t="s">
        <v>53</v>
      </c>
      <c r="AC864">
        <v>2</v>
      </c>
      <c r="AD864">
        <v>0</v>
      </c>
      <c r="AE864" t="s">
        <v>62</v>
      </c>
      <c r="AF864">
        <v>54240</v>
      </c>
      <c r="AG864">
        <v>6780</v>
      </c>
      <c r="AH864">
        <v>6780</v>
      </c>
      <c r="AI864">
        <v>40680</v>
      </c>
      <c r="AJ864" t="s">
        <v>153</v>
      </c>
      <c r="AK864" t="s">
        <v>163</v>
      </c>
      <c r="AL864">
        <v>2009</v>
      </c>
      <c r="AM864" t="s">
        <v>82</v>
      </c>
      <c r="AN864" s="2">
        <f t="shared" si="91"/>
        <v>32.786885245901644</v>
      </c>
      <c r="AO864">
        <f t="shared" si="92"/>
        <v>-52586.68</v>
      </c>
      <c r="AP864" s="2">
        <f t="shared" si="93"/>
        <v>3.0481001456462823E-2</v>
      </c>
      <c r="AQ864" s="2">
        <f t="shared" si="97"/>
        <v>6</v>
      </c>
      <c r="AR864">
        <f t="shared" si="94"/>
        <v>299</v>
      </c>
      <c r="AS864" t="str">
        <f t="shared" si="95"/>
        <v>High Claim Ratio</v>
      </c>
      <c r="AT864" t="str">
        <f t="shared" si="96"/>
        <v>High Profit</v>
      </c>
    </row>
    <row r="865" spans="1:46" x14ac:dyDescent="0.2">
      <c r="A865">
        <v>91</v>
      </c>
      <c r="B865">
        <v>26</v>
      </c>
      <c r="C865">
        <v>101421</v>
      </c>
      <c r="D865" s="1">
        <v>36452</v>
      </c>
      <c r="E865" t="s">
        <v>83</v>
      </c>
      <c r="F865" t="s">
        <v>40</v>
      </c>
      <c r="G865">
        <v>1000</v>
      </c>
      <c r="H865">
        <v>1022.46</v>
      </c>
      <c r="I865">
        <v>0</v>
      </c>
      <c r="J865">
        <v>444896</v>
      </c>
      <c r="K865" t="s">
        <v>70</v>
      </c>
      <c r="L865" t="s">
        <v>92</v>
      </c>
      <c r="M865" t="s">
        <v>84</v>
      </c>
      <c r="N865" t="s">
        <v>181</v>
      </c>
      <c r="O865" t="s">
        <v>60</v>
      </c>
      <c r="P865">
        <v>52700</v>
      </c>
      <c r="Q865">
        <v>0</v>
      </c>
      <c r="R865" s="1">
        <v>42058</v>
      </c>
      <c r="S865" t="s">
        <v>75</v>
      </c>
      <c r="T865" t="s">
        <v>86</v>
      </c>
      <c r="U865" t="s">
        <v>63</v>
      </c>
      <c r="V865" t="s">
        <v>120</v>
      </c>
      <c r="W865" t="s">
        <v>50</v>
      </c>
      <c r="X865" t="s">
        <v>87</v>
      </c>
      <c r="Y865" t="s">
        <v>1042</v>
      </c>
      <c r="Z865">
        <v>15</v>
      </c>
      <c r="AA865">
        <v>3</v>
      </c>
      <c r="AB865" t="s">
        <v>62</v>
      </c>
      <c r="AC865">
        <v>0</v>
      </c>
      <c r="AD865">
        <v>2</v>
      </c>
      <c r="AE865" t="s">
        <v>62</v>
      </c>
      <c r="AF865">
        <v>74200</v>
      </c>
      <c r="AG865">
        <v>7420</v>
      </c>
      <c r="AH865">
        <v>7420</v>
      </c>
      <c r="AI865">
        <v>59360</v>
      </c>
      <c r="AJ865" t="s">
        <v>197</v>
      </c>
      <c r="AK865" t="s">
        <v>198</v>
      </c>
      <c r="AL865">
        <v>1996</v>
      </c>
      <c r="AM865" t="s">
        <v>82</v>
      </c>
      <c r="AN865" s="2">
        <f t="shared" si="91"/>
        <v>72.499169483907522</v>
      </c>
      <c r="AO865">
        <f t="shared" si="92"/>
        <v>-73177.539999999994</v>
      </c>
      <c r="AP865" s="2">
        <f t="shared" si="93"/>
        <v>1.3779598657700032E-2</v>
      </c>
      <c r="AQ865" s="2">
        <f t="shared" si="97"/>
        <v>19</v>
      </c>
      <c r="AR865">
        <f t="shared" si="94"/>
        <v>91</v>
      </c>
      <c r="AS865" t="str">
        <f t="shared" si="95"/>
        <v>High Claim Ratio</v>
      </c>
      <c r="AT865" t="str">
        <f t="shared" si="96"/>
        <v>High Profit</v>
      </c>
    </row>
    <row r="866" spans="1:46" x14ac:dyDescent="0.2">
      <c r="A866">
        <v>398</v>
      </c>
      <c r="B866">
        <v>53</v>
      </c>
      <c r="C866">
        <v>793948</v>
      </c>
      <c r="D866" s="1">
        <v>33227</v>
      </c>
      <c r="E866" t="s">
        <v>83</v>
      </c>
      <c r="F866" t="s">
        <v>69</v>
      </c>
      <c r="G866">
        <v>2000</v>
      </c>
      <c r="H866">
        <v>1396.43</v>
      </c>
      <c r="I866">
        <v>0</v>
      </c>
      <c r="J866">
        <v>448722</v>
      </c>
      <c r="K866" t="s">
        <v>70</v>
      </c>
      <c r="L866" t="s">
        <v>92</v>
      </c>
      <c r="M866" t="s">
        <v>117</v>
      </c>
      <c r="N866" t="s">
        <v>106</v>
      </c>
      <c r="O866" t="s">
        <v>85</v>
      </c>
      <c r="P866">
        <v>21500</v>
      </c>
      <c r="Q866">
        <v>0</v>
      </c>
      <c r="R866" s="1">
        <v>42033</v>
      </c>
      <c r="S866" t="s">
        <v>46</v>
      </c>
      <c r="T866" t="s">
        <v>86</v>
      </c>
      <c r="U866" t="s">
        <v>107</v>
      </c>
      <c r="V866" t="s">
        <v>99</v>
      </c>
      <c r="W866" t="s">
        <v>113</v>
      </c>
      <c r="X866" t="s">
        <v>122</v>
      </c>
      <c r="Y866" t="s">
        <v>1043</v>
      </c>
      <c r="Z866">
        <v>16</v>
      </c>
      <c r="AA866">
        <v>1</v>
      </c>
      <c r="AB866" t="s">
        <v>53</v>
      </c>
      <c r="AC866">
        <v>2</v>
      </c>
      <c r="AD866">
        <v>1</v>
      </c>
      <c r="AE866" t="s">
        <v>62</v>
      </c>
      <c r="AF866">
        <v>47430</v>
      </c>
      <c r="AG866">
        <v>5270</v>
      </c>
      <c r="AH866">
        <v>5270</v>
      </c>
      <c r="AI866">
        <v>36890</v>
      </c>
      <c r="AJ866" t="s">
        <v>115</v>
      </c>
      <c r="AK866" t="s">
        <v>116</v>
      </c>
      <c r="AL866">
        <v>2000</v>
      </c>
      <c r="AM866" t="s">
        <v>82</v>
      </c>
      <c r="AN866" s="2">
        <f t="shared" si="91"/>
        <v>33.940877181683518</v>
      </c>
      <c r="AO866">
        <f t="shared" si="92"/>
        <v>-46033.57</v>
      </c>
      <c r="AP866" s="2">
        <f t="shared" si="93"/>
        <v>2.9441293668697688E-2</v>
      </c>
      <c r="AQ866" s="2">
        <f t="shared" si="97"/>
        <v>15</v>
      </c>
      <c r="AR866">
        <f t="shared" si="94"/>
        <v>398</v>
      </c>
      <c r="AS866" t="str">
        <f t="shared" si="95"/>
        <v>High Claim Ratio</v>
      </c>
      <c r="AT866" t="str">
        <f t="shared" si="96"/>
        <v>High Profit</v>
      </c>
    </row>
    <row r="867" spans="1:46" x14ac:dyDescent="0.2">
      <c r="A867">
        <v>218</v>
      </c>
      <c r="B867">
        <v>43</v>
      </c>
      <c r="C867">
        <v>737483</v>
      </c>
      <c r="D867" s="1">
        <v>35109</v>
      </c>
      <c r="E867" t="s">
        <v>83</v>
      </c>
      <c r="F867" t="s">
        <v>40</v>
      </c>
      <c r="G867">
        <v>500</v>
      </c>
      <c r="H867">
        <v>1521.55</v>
      </c>
      <c r="I867">
        <v>0</v>
      </c>
      <c r="J867">
        <v>477856</v>
      </c>
      <c r="K867" t="s">
        <v>70</v>
      </c>
      <c r="L867" t="s">
        <v>92</v>
      </c>
      <c r="M867" t="s">
        <v>117</v>
      </c>
      <c r="N867" t="s">
        <v>173</v>
      </c>
      <c r="O867" t="s">
        <v>60</v>
      </c>
      <c r="P867">
        <v>61100</v>
      </c>
      <c r="Q867">
        <v>-64500</v>
      </c>
      <c r="R867" s="1">
        <v>42006</v>
      </c>
      <c r="S867" t="s">
        <v>46</v>
      </c>
      <c r="T867" t="s">
        <v>76</v>
      </c>
      <c r="U867" t="s">
        <v>48</v>
      </c>
      <c r="V867" t="s">
        <v>99</v>
      </c>
      <c r="W867" t="s">
        <v>50</v>
      </c>
      <c r="X867" t="s">
        <v>122</v>
      </c>
      <c r="Y867" t="s">
        <v>1044</v>
      </c>
      <c r="Z867">
        <v>18</v>
      </c>
      <c r="AA867">
        <v>1</v>
      </c>
      <c r="AB867" t="s">
        <v>62</v>
      </c>
      <c r="AC867">
        <v>1</v>
      </c>
      <c r="AD867">
        <v>3</v>
      </c>
      <c r="AE867" t="s">
        <v>53</v>
      </c>
      <c r="AF867">
        <v>68200</v>
      </c>
      <c r="AG867">
        <v>13640</v>
      </c>
      <c r="AH867">
        <v>6820</v>
      </c>
      <c r="AI867">
        <v>47740</v>
      </c>
      <c r="AJ867" t="s">
        <v>80</v>
      </c>
      <c r="AK867" t="s">
        <v>81</v>
      </c>
      <c r="AL867">
        <v>2003</v>
      </c>
      <c r="AM867" t="s">
        <v>56</v>
      </c>
      <c r="AN867" s="2">
        <f t="shared" si="91"/>
        <v>44.793274440905058</v>
      </c>
      <c r="AO867">
        <f t="shared" si="92"/>
        <v>-66678.45</v>
      </c>
      <c r="AP867" s="2">
        <f t="shared" si="93"/>
        <v>2.2309790179029631E-2</v>
      </c>
      <c r="AQ867" s="2">
        <f t="shared" si="97"/>
        <v>12</v>
      </c>
      <c r="AR867">
        <f t="shared" si="94"/>
        <v>218</v>
      </c>
      <c r="AS867" t="str">
        <f t="shared" si="95"/>
        <v>High Claim Ratio</v>
      </c>
      <c r="AT867" t="str">
        <f t="shared" si="96"/>
        <v>High Profit</v>
      </c>
    </row>
    <row r="868" spans="1:46" x14ac:dyDescent="0.2">
      <c r="A868">
        <v>152</v>
      </c>
      <c r="B868">
        <v>33</v>
      </c>
      <c r="C868">
        <v>695117</v>
      </c>
      <c r="D868" s="1">
        <v>37052</v>
      </c>
      <c r="E868" t="s">
        <v>57</v>
      </c>
      <c r="F868" t="s">
        <v>69</v>
      </c>
      <c r="G868">
        <v>1000</v>
      </c>
      <c r="H868">
        <v>1034.27</v>
      </c>
      <c r="I868">
        <v>0</v>
      </c>
      <c r="J868">
        <v>617721</v>
      </c>
      <c r="K868" t="s">
        <v>70</v>
      </c>
      <c r="L868" t="s">
        <v>161</v>
      </c>
      <c r="M868" t="s">
        <v>84</v>
      </c>
      <c r="N868" t="s">
        <v>264</v>
      </c>
      <c r="O868" t="s">
        <v>45</v>
      </c>
      <c r="P868">
        <v>0</v>
      </c>
      <c r="Q868">
        <v>0</v>
      </c>
      <c r="R868" s="1">
        <v>42041</v>
      </c>
      <c r="S868" t="s">
        <v>46</v>
      </c>
      <c r="T868" t="s">
        <v>86</v>
      </c>
      <c r="U868" t="s">
        <v>63</v>
      </c>
      <c r="V868" t="s">
        <v>99</v>
      </c>
      <c r="W868" t="s">
        <v>77</v>
      </c>
      <c r="X868" t="s">
        <v>122</v>
      </c>
      <c r="Y868" t="s">
        <v>1045</v>
      </c>
      <c r="Z868">
        <v>18</v>
      </c>
      <c r="AA868">
        <v>1</v>
      </c>
      <c r="AB868" t="s">
        <v>79</v>
      </c>
      <c r="AC868">
        <v>1</v>
      </c>
      <c r="AD868">
        <v>0</v>
      </c>
      <c r="AE868" t="s">
        <v>79</v>
      </c>
      <c r="AF868">
        <v>63900</v>
      </c>
      <c r="AG868">
        <v>7100</v>
      </c>
      <c r="AH868">
        <v>7100</v>
      </c>
      <c r="AI868">
        <v>49700</v>
      </c>
      <c r="AJ868" t="s">
        <v>95</v>
      </c>
      <c r="AK868" t="s">
        <v>158</v>
      </c>
      <c r="AL868">
        <v>2014</v>
      </c>
      <c r="AM868" t="s">
        <v>82</v>
      </c>
      <c r="AN868" s="2">
        <f t="shared" si="91"/>
        <v>61.723028775102151</v>
      </c>
      <c r="AO868">
        <f t="shared" si="92"/>
        <v>-62865.73</v>
      </c>
      <c r="AP868" s="2">
        <f t="shared" si="93"/>
        <v>1.6185505704136086E-2</v>
      </c>
      <c r="AQ868" s="2">
        <f t="shared" si="97"/>
        <v>1</v>
      </c>
      <c r="AR868">
        <f t="shared" si="94"/>
        <v>152</v>
      </c>
      <c r="AS868" t="str">
        <f t="shared" si="95"/>
        <v>High Claim Ratio</v>
      </c>
      <c r="AT868" t="str">
        <f t="shared" si="96"/>
        <v>High Profit</v>
      </c>
    </row>
    <row r="869" spans="1:46" x14ac:dyDescent="0.2">
      <c r="A869">
        <v>212</v>
      </c>
      <c r="B869">
        <v>39</v>
      </c>
      <c r="C869">
        <v>167466</v>
      </c>
      <c r="D869" s="1">
        <v>40254</v>
      </c>
      <c r="E869" t="s">
        <v>39</v>
      </c>
      <c r="F869" t="s">
        <v>69</v>
      </c>
      <c r="G869">
        <v>1000</v>
      </c>
      <c r="H869">
        <v>1255.3499999999999</v>
      </c>
      <c r="I869">
        <v>0</v>
      </c>
      <c r="J869">
        <v>454176</v>
      </c>
      <c r="K869" t="s">
        <v>70</v>
      </c>
      <c r="L869" t="s">
        <v>161</v>
      </c>
      <c r="M869" t="s">
        <v>135</v>
      </c>
      <c r="N869" t="s">
        <v>132</v>
      </c>
      <c r="O869" t="s">
        <v>142</v>
      </c>
      <c r="P869">
        <v>60300</v>
      </c>
      <c r="Q869">
        <v>-58900</v>
      </c>
      <c r="R869" s="1">
        <v>42049</v>
      </c>
      <c r="S869" t="s">
        <v>75</v>
      </c>
      <c r="T869" t="s">
        <v>76</v>
      </c>
      <c r="U869" t="s">
        <v>107</v>
      </c>
      <c r="V869" t="s">
        <v>136</v>
      </c>
      <c r="W869" t="s">
        <v>77</v>
      </c>
      <c r="X869" t="s">
        <v>65</v>
      </c>
      <c r="Y869" t="s">
        <v>1046</v>
      </c>
      <c r="Z869">
        <v>22</v>
      </c>
      <c r="AA869">
        <v>2</v>
      </c>
      <c r="AB869" t="s">
        <v>79</v>
      </c>
      <c r="AC869">
        <v>0</v>
      </c>
      <c r="AD869">
        <v>3</v>
      </c>
      <c r="AE869" t="s">
        <v>53</v>
      </c>
      <c r="AF869">
        <v>59300</v>
      </c>
      <c r="AG869">
        <v>11860</v>
      </c>
      <c r="AH869">
        <v>5930</v>
      </c>
      <c r="AI869">
        <v>41510</v>
      </c>
      <c r="AJ869" t="s">
        <v>80</v>
      </c>
      <c r="AK869" t="s">
        <v>81</v>
      </c>
      <c r="AL869">
        <v>2008</v>
      </c>
      <c r="AM869" t="s">
        <v>82</v>
      </c>
      <c r="AN869" s="2">
        <f t="shared" si="91"/>
        <v>47.200222867831421</v>
      </c>
      <c r="AO869">
        <f t="shared" si="92"/>
        <v>-58044.65</v>
      </c>
      <c r="AP869" s="2">
        <f t="shared" si="93"/>
        <v>2.1169120250923254E-2</v>
      </c>
      <c r="AQ869" s="2">
        <f t="shared" si="97"/>
        <v>7</v>
      </c>
      <c r="AR869">
        <f t="shared" si="94"/>
        <v>212</v>
      </c>
      <c r="AS869" t="str">
        <f t="shared" si="95"/>
        <v>High Claim Ratio</v>
      </c>
      <c r="AT869" t="str">
        <f t="shared" si="96"/>
        <v>High Profit</v>
      </c>
    </row>
    <row r="870" spans="1:46" x14ac:dyDescent="0.2">
      <c r="A870">
        <v>242</v>
      </c>
      <c r="B870">
        <v>44</v>
      </c>
      <c r="C870">
        <v>664732</v>
      </c>
      <c r="D870" s="1">
        <v>37832</v>
      </c>
      <c r="E870" t="s">
        <v>83</v>
      </c>
      <c r="F870" t="s">
        <v>91</v>
      </c>
      <c r="G870">
        <v>2000</v>
      </c>
      <c r="H870">
        <v>1396.89</v>
      </c>
      <c r="I870">
        <v>6000000</v>
      </c>
      <c r="J870">
        <v>618127</v>
      </c>
      <c r="K870" t="s">
        <v>70</v>
      </c>
      <c r="L870" t="s">
        <v>141</v>
      </c>
      <c r="M870" t="s">
        <v>117</v>
      </c>
      <c r="N870" t="s">
        <v>168</v>
      </c>
      <c r="O870" t="s">
        <v>60</v>
      </c>
      <c r="P870">
        <v>0</v>
      </c>
      <c r="Q870">
        <v>-61600</v>
      </c>
      <c r="R870" s="1">
        <v>42039</v>
      </c>
      <c r="S870" t="s">
        <v>75</v>
      </c>
      <c r="T870" t="s">
        <v>86</v>
      </c>
      <c r="U870" t="s">
        <v>63</v>
      </c>
      <c r="V870" t="s">
        <v>120</v>
      </c>
      <c r="W870" t="s">
        <v>50</v>
      </c>
      <c r="X870" t="s">
        <v>102</v>
      </c>
      <c r="Y870" t="s">
        <v>1047</v>
      </c>
      <c r="Z870">
        <v>15</v>
      </c>
      <c r="AA870">
        <v>3</v>
      </c>
      <c r="AB870" t="s">
        <v>79</v>
      </c>
      <c r="AC870">
        <v>1</v>
      </c>
      <c r="AD870">
        <v>2</v>
      </c>
      <c r="AE870" t="s">
        <v>53</v>
      </c>
      <c r="AF870">
        <v>66900</v>
      </c>
      <c r="AG870">
        <v>6690</v>
      </c>
      <c r="AH870">
        <v>13380</v>
      </c>
      <c r="AI870">
        <v>46830</v>
      </c>
      <c r="AJ870" t="s">
        <v>153</v>
      </c>
      <c r="AK870" t="s">
        <v>167</v>
      </c>
      <c r="AL870">
        <v>1999</v>
      </c>
      <c r="AM870" t="s">
        <v>56</v>
      </c>
      <c r="AN870" s="2">
        <f t="shared" si="91"/>
        <v>47.857842891786902</v>
      </c>
      <c r="AO870">
        <f t="shared" si="92"/>
        <v>-65503.11</v>
      </c>
      <c r="AP870" s="2">
        <f t="shared" si="93"/>
        <v>2.0879956951316125E-2</v>
      </c>
      <c r="AQ870" s="2">
        <f t="shared" si="97"/>
        <v>16</v>
      </c>
      <c r="AR870">
        <f t="shared" si="94"/>
        <v>242</v>
      </c>
      <c r="AS870" t="str">
        <f t="shared" si="95"/>
        <v>High Claim Ratio</v>
      </c>
      <c r="AT870" t="str">
        <f t="shared" si="96"/>
        <v>High Profit</v>
      </c>
    </row>
    <row r="871" spans="1:46" x14ac:dyDescent="0.2">
      <c r="A871">
        <v>80</v>
      </c>
      <c r="B871">
        <v>27</v>
      </c>
      <c r="C871">
        <v>143038</v>
      </c>
      <c r="D871" s="1">
        <v>41899</v>
      </c>
      <c r="E871" t="s">
        <v>39</v>
      </c>
      <c r="F871" t="s">
        <v>91</v>
      </c>
      <c r="G871">
        <v>500</v>
      </c>
      <c r="H871">
        <v>795.31</v>
      </c>
      <c r="I871">
        <v>0</v>
      </c>
      <c r="J871">
        <v>441923</v>
      </c>
      <c r="K871" t="s">
        <v>41</v>
      </c>
      <c r="L871" t="s">
        <v>161</v>
      </c>
      <c r="M871" t="s">
        <v>189</v>
      </c>
      <c r="N871" t="s">
        <v>132</v>
      </c>
      <c r="O871" t="s">
        <v>45</v>
      </c>
      <c r="P871">
        <v>0</v>
      </c>
      <c r="Q871">
        <v>-51000</v>
      </c>
      <c r="R871" s="1">
        <v>42047</v>
      </c>
      <c r="S871" t="s">
        <v>75</v>
      </c>
      <c r="T871" t="s">
        <v>76</v>
      </c>
      <c r="U871" t="s">
        <v>48</v>
      </c>
      <c r="V871" t="s">
        <v>49</v>
      </c>
      <c r="W871" t="s">
        <v>39</v>
      </c>
      <c r="X871" t="s">
        <v>87</v>
      </c>
      <c r="Y871" t="s">
        <v>1048</v>
      </c>
      <c r="Z871">
        <v>16</v>
      </c>
      <c r="AA871">
        <v>3</v>
      </c>
      <c r="AB871" t="s">
        <v>53</v>
      </c>
      <c r="AC871">
        <v>1</v>
      </c>
      <c r="AD871">
        <v>3</v>
      </c>
      <c r="AE871" t="s">
        <v>62</v>
      </c>
      <c r="AF871">
        <v>40810</v>
      </c>
      <c r="AG871">
        <v>3710</v>
      </c>
      <c r="AH871">
        <v>7420</v>
      </c>
      <c r="AI871">
        <v>29680</v>
      </c>
      <c r="AJ871" t="s">
        <v>129</v>
      </c>
      <c r="AK871" t="s">
        <v>130</v>
      </c>
      <c r="AL871">
        <v>2000</v>
      </c>
      <c r="AM871" t="s">
        <v>56</v>
      </c>
      <c r="AN871" s="2">
        <f t="shared" si="91"/>
        <v>51.248885484296324</v>
      </c>
      <c r="AO871">
        <f t="shared" si="92"/>
        <v>-40014.69</v>
      </c>
      <c r="AP871" s="2">
        <f t="shared" si="93"/>
        <v>1.9487638136776848E-2</v>
      </c>
      <c r="AQ871" s="2">
        <f t="shared" si="97"/>
        <v>15</v>
      </c>
      <c r="AR871">
        <f t="shared" si="94"/>
        <v>80</v>
      </c>
      <c r="AS871" t="str">
        <f t="shared" si="95"/>
        <v>High Claim Ratio</v>
      </c>
      <c r="AT871" t="str">
        <f t="shared" si="96"/>
        <v>High Profit</v>
      </c>
    </row>
    <row r="872" spans="1:46" x14ac:dyDescent="0.2">
      <c r="A872">
        <v>260</v>
      </c>
      <c r="B872">
        <v>43</v>
      </c>
      <c r="C872">
        <v>979963</v>
      </c>
      <c r="D872" s="1">
        <v>39967</v>
      </c>
      <c r="E872" t="s">
        <v>57</v>
      </c>
      <c r="F872" t="s">
        <v>69</v>
      </c>
      <c r="G872">
        <v>500</v>
      </c>
      <c r="H872">
        <v>982.22</v>
      </c>
      <c r="I872">
        <v>0</v>
      </c>
      <c r="J872">
        <v>604279</v>
      </c>
      <c r="K872" t="s">
        <v>70</v>
      </c>
      <c r="L872" t="s">
        <v>161</v>
      </c>
      <c r="M872" t="s">
        <v>125</v>
      </c>
      <c r="N872" t="s">
        <v>132</v>
      </c>
      <c r="O872" t="s">
        <v>142</v>
      </c>
      <c r="P872">
        <v>54500</v>
      </c>
      <c r="Q872">
        <v>-72100</v>
      </c>
      <c r="R872" s="1">
        <v>42047</v>
      </c>
      <c r="S872" t="s">
        <v>46</v>
      </c>
      <c r="T872" t="s">
        <v>86</v>
      </c>
      <c r="U872" t="s">
        <v>107</v>
      </c>
      <c r="V872" t="s">
        <v>99</v>
      </c>
      <c r="W872" t="s">
        <v>77</v>
      </c>
      <c r="X872" t="s">
        <v>65</v>
      </c>
      <c r="Y872" t="s">
        <v>1049</v>
      </c>
      <c r="Z872">
        <v>18</v>
      </c>
      <c r="AA872">
        <v>1</v>
      </c>
      <c r="AB872" t="s">
        <v>62</v>
      </c>
      <c r="AC872">
        <v>1</v>
      </c>
      <c r="AD872">
        <v>0</v>
      </c>
      <c r="AE872" t="s">
        <v>62</v>
      </c>
      <c r="AF872">
        <v>75400</v>
      </c>
      <c r="AG872">
        <v>15080</v>
      </c>
      <c r="AH872">
        <v>7540</v>
      </c>
      <c r="AI872">
        <v>52780</v>
      </c>
      <c r="AJ872" t="s">
        <v>209</v>
      </c>
      <c r="AK872" t="s">
        <v>225</v>
      </c>
      <c r="AL872">
        <v>2011</v>
      </c>
      <c r="AM872" t="s">
        <v>82</v>
      </c>
      <c r="AN872" s="2">
        <f t="shared" si="91"/>
        <v>76.686804580866948</v>
      </c>
      <c r="AO872">
        <f t="shared" si="92"/>
        <v>-74417.78</v>
      </c>
      <c r="AP872" s="2">
        <f t="shared" si="93"/>
        <v>1.3026617684115595E-2</v>
      </c>
      <c r="AQ872" s="2">
        <f t="shared" si="97"/>
        <v>4</v>
      </c>
      <c r="AR872">
        <f t="shared" si="94"/>
        <v>260</v>
      </c>
      <c r="AS872" t="str">
        <f t="shared" si="95"/>
        <v>High Claim Ratio</v>
      </c>
      <c r="AT872" t="str">
        <f t="shared" si="96"/>
        <v>High Profit</v>
      </c>
    </row>
    <row r="873" spans="1:46" x14ac:dyDescent="0.2">
      <c r="A873">
        <v>133</v>
      </c>
      <c r="B873">
        <v>34</v>
      </c>
      <c r="C873">
        <v>467841</v>
      </c>
      <c r="D873" s="1">
        <v>34618</v>
      </c>
      <c r="E873" t="s">
        <v>57</v>
      </c>
      <c r="F873" t="s">
        <v>91</v>
      </c>
      <c r="G873">
        <v>500</v>
      </c>
      <c r="H873">
        <v>1074.07</v>
      </c>
      <c r="I873">
        <v>0</v>
      </c>
      <c r="J873">
        <v>440833</v>
      </c>
      <c r="K873" t="s">
        <v>70</v>
      </c>
      <c r="L873" t="s">
        <v>161</v>
      </c>
      <c r="M873" t="s">
        <v>101</v>
      </c>
      <c r="N873" t="s">
        <v>98</v>
      </c>
      <c r="O873" t="s">
        <v>45</v>
      </c>
      <c r="P873">
        <v>70900</v>
      </c>
      <c r="Q873">
        <v>-61100</v>
      </c>
      <c r="R873" s="1">
        <v>42032</v>
      </c>
      <c r="S873" t="s">
        <v>138</v>
      </c>
      <c r="T873" t="s">
        <v>62</v>
      </c>
      <c r="U873" t="s">
        <v>63</v>
      </c>
      <c r="V873" t="s">
        <v>93</v>
      </c>
      <c r="W873" t="s">
        <v>113</v>
      </c>
      <c r="X873" t="s">
        <v>127</v>
      </c>
      <c r="Y873" t="s">
        <v>1050</v>
      </c>
      <c r="Z873">
        <v>8</v>
      </c>
      <c r="AA873">
        <v>1</v>
      </c>
      <c r="AB873" t="s">
        <v>79</v>
      </c>
      <c r="AC873">
        <v>2</v>
      </c>
      <c r="AD873">
        <v>0</v>
      </c>
      <c r="AE873" t="s">
        <v>53</v>
      </c>
      <c r="AF873">
        <v>4200</v>
      </c>
      <c r="AG873">
        <v>420</v>
      </c>
      <c r="AH873">
        <v>840</v>
      </c>
      <c r="AI873">
        <v>2940</v>
      </c>
      <c r="AJ873" t="s">
        <v>197</v>
      </c>
      <c r="AK873" t="s">
        <v>198</v>
      </c>
      <c r="AL873">
        <v>2013</v>
      </c>
      <c r="AM873" t="s">
        <v>82</v>
      </c>
      <c r="AN873" s="2">
        <f t="shared" si="91"/>
        <v>3.906722352963063</v>
      </c>
      <c r="AO873">
        <f t="shared" si="92"/>
        <v>-3125.9300000000003</v>
      </c>
      <c r="AP873" s="2">
        <f t="shared" si="93"/>
        <v>0.2556700785527255</v>
      </c>
      <c r="AQ873" s="2">
        <f t="shared" si="97"/>
        <v>2</v>
      </c>
      <c r="AR873">
        <f t="shared" si="94"/>
        <v>133</v>
      </c>
      <c r="AS873" t="str">
        <f t="shared" si="95"/>
        <v>Low Claim Ratio</v>
      </c>
      <c r="AT873" t="str">
        <f t="shared" si="96"/>
        <v>Low Profit</v>
      </c>
    </row>
    <row r="874" spans="1:46" x14ac:dyDescent="0.2">
      <c r="A874">
        <v>290</v>
      </c>
      <c r="B874">
        <v>45</v>
      </c>
      <c r="C874">
        <v>219028</v>
      </c>
      <c r="D874" s="1">
        <v>33437</v>
      </c>
      <c r="E874" t="s">
        <v>39</v>
      </c>
      <c r="F874" t="s">
        <v>69</v>
      </c>
      <c r="G874">
        <v>1000</v>
      </c>
      <c r="H874">
        <v>1311.3</v>
      </c>
      <c r="I874">
        <v>0</v>
      </c>
      <c r="J874">
        <v>451550</v>
      </c>
      <c r="K874" t="s">
        <v>70</v>
      </c>
      <c r="L874" t="s">
        <v>92</v>
      </c>
      <c r="M874" t="s">
        <v>58</v>
      </c>
      <c r="N874" t="s">
        <v>168</v>
      </c>
      <c r="O874" t="s">
        <v>119</v>
      </c>
      <c r="P874">
        <v>38500</v>
      </c>
      <c r="Q874">
        <v>0</v>
      </c>
      <c r="R874" s="1">
        <v>42014</v>
      </c>
      <c r="S874" t="s">
        <v>75</v>
      </c>
      <c r="T874" t="s">
        <v>47</v>
      </c>
      <c r="U874" t="s">
        <v>48</v>
      </c>
      <c r="V874" t="s">
        <v>136</v>
      </c>
      <c r="W874" t="s">
        <v>77</v>
      </c>
      <c r="X874" t="s">
        <v>122</v>
      </c>
      <c r="Y874" t="s">
        <v>1051</v>
      </c>
      <c r="Z874">
        <v>23</v>
      </c>
      <c r="AA874">
        <v>3</v>
      </c>
      <c r="AB874" t="s">
        <v>53</v>
      </c>
      <c r="AC874">
        <v>0</v>
      </c>
      <c r="AD874">
        <v>0</v>
      </c>
      <c r="AE874" t="s">
        <v>53</v>
      </c>
      <c r="AF874">
        <v>52650</v>
      </c>
      <c r="AG874">
        <v>5850</v>
      </c>
      <c r="AH874">
        <v>5850</v>
      </c>
      <c r="AI874">
        <v>40950</v>
      </c>
      <c r="AJ874" t="s">
        <v>129</v>
      </c>
      <c r="AK874" t="s">
        <v>130</v>
      </c>
      <c r="AL874">
        <v>2001</v>
      </c>
      <c r="AM874" t="s">
        <v>56</v>
      </c>
      <c r="AN874" s="2">
        <f t="shared" si="91"/>
        <v>40.120399298940789</v>
      </c>
      <c r="AO874">
        <f t="shared" si="92"/>
        <v>-51338.7</v>
      </c>
      <c r="AP874" s="2">
        <f t="shared" si="93"/>
        <v>2.4905509866859129E-2</v>
      </c>
      <c r="AQ874" s="2">
        <f t="shared" si="97"/>
        <v>14</v>
      </c>
      <c r="AR874">
        <f t="shared" si="94"/>
        <v>290</v>
      </c>
      <c r="AS874" t="str">
        <f t="shared" si="95"/>
        <v>High Claim Ratio</v>
      </c>
      <c r="AT874" t="str">
        <f t="shared" si="96"/>
        <v>High Profit</v>
      </c>
    </row>
    <row r="875" spans="1:46" x14ac:dyDescent="0.2">
      <c r="A875">
        <v>322</v>
      </c>
      <c r="B875">
        <v>49</v>
      </c>
      <c r="C875">
        <v>130156</v>
      </c>
      <c r="D875" s="1">
        <v>37158</v>
      </c>
      <c r="E875" t="s">
        <v>83</v>
      </c>
      <c r="F875" t="s">
        <v>40</v>
      </c>
      <c r="G875">
        <v>2000</v>
      </c>
      <c r="H875">
        <v>1277.1199999999999</v>
      </c>
      <c r="I875">
        <v>0</v>
      </c>
      <c r="J875">
        <v>431853</v>
      </c>
      <c r="K875" t="s">
        <v>70</v>
      </c>
      <c r="L875" t="s">
        <v>71</v>
      </c>
      <c r="M875" t="s">
        <v>84</v>
      </c>
      <c r="N875" t="s">
        <v>170</v>
      </c>
      <c r="O875" t="s">
        <v>74</v>
      </c>
      <c r="P875">
        <v>0</v>
      </c>
      <c r="Q875">
        <v>-46000</v>
      </c>
      <c r="R875" s="1">
        <v>42023</v>
      </c>
      <c r="S875" t="s">
        <v>46</v>
      </c>
      <c r="T875" t="s">
        <v>76</v>
      </c>
      <c r="U875" t="s">
        <v>48</v>
      </c>
      <c r="V875" t="s">
        <v>136</v>
      </c>
      <c r="W875" t="s">
        <v>113</v>
      </c>
      <c r="X875" t="s">
        <v>122</v>
      </c>
      <c r="Y875" t="s">
        <v>1052</v>
      </c>
      <c r="Z875">
        <v>18</v>
      </c>
      <c r="AA875">
        <v>1</v>
      </c>
      <c r="AB875" t="s">
        <v>62</v>
      </c>
      <c r="AC875">
        <v>0</v>
      </c>
      <c r="AD875">
        <v>2</v>
      </c>
      <c r="AE875" t="s">
        <v>53</v>
      </c>
      <c r="AF875">
        <v>42240</v>
      </c>
      <c r="AG875">
        <v>7680</v>
      </c>
      <c r="AH875">
        <v>7680</v>
      </c>
      <c r="AI875">
        <v>26880</v>
      </c>
      <c r="AJ875" t="s">
        <v>89</v>
      </c>
      <c r="AK875" t="s">
        <v>245</v>
      </c>
      <c r="AL875">
        <v>2007</v>
      </c>
      <c r="AM875" t="s">
        <v>82</v>
      </c>
      <c r="AN875" s="2">
        <f t="shared" si="91"/>
        <v>33.048540043188439</v>
      </c>
      <c r="AO875">
        <f t="shared" si="92"/>
        <v>-40962.879999999997</v>
      </c>
      <c r="AP875" s="2">
        <f t="shared" si="93"/>
        <v>3.0234132714661108E-2</v>
      </c>
      <c r="AQ875" s="2">
        <f t="shared" si="97"/>
        <v>8</v>
      </c>
      <c r="AR875">
        <f t="shared" si="94"/>
        <v>322</v>
      </c>
      <c r="AS875" t="str">
        <f t="shared" si="95"/>
        <v>High Claim Ratio</v>
      </c>
      <c r="AT875" t="str">
        <f t="shared" si="96"/>
        <v>High Profit</v>
      </c>
    </row>
    <row r="876" spans="1:46" x14ac:dyDescent="0.2">
      <c r="A876">
        <v>228</v>
      </c>
      <c r="B876">
        <v>39</v>
      </c>
      <c r="C876">
        <v>762951</v>
      </c>
      <c r="D876" s="1">
        <v>41171</v>
      </c>
      <c r="E876" t="s">
        <v>57</v>
      </c>
      <c r="F876" t="s">
        <v>91</v>
      </c>
      <c r="G876">
        <v>500</v>
      </c>
      <c r="H876">
        <v>1388.62</v>
      </c>
      <c r="I876">
        <v>0</v>
      </c>
      <c r="J876">
        <v>614274</v>
      </c>
      <c r="K876" t="s">
        <v>70</v>
      </c>
      <c r="L876" t="s">
        <v>161</v>
      </c>
      <c r="M876" t="s">
        <v>72</v>
      </c>
      <c r="N876" t="s">
        <v>59</v>
      </c>
      <c r="O876" t="s">
        <v>45</v>
      </c>
      <c r="P876">
        <v>35200</v>
      </c>
      <c r="Q876">
        <v>0</v>
      </c>
      <c r="R876" s="1">
        <v>42023</v>
      </c>
      <c r="S876" t="s">
        <v>46</v>
      </c>
      <c r="T876" t="s">
        <v>47</v>
      </c>
      <c r="U876" t="s">
        <v>63</v>
      </c>
      <c r="V876" t="s">
        <v>120</v>
      </c>
      <c r="W876" t="s">
        <v>121</v>
      </c>
      <c r="X876" t="s">
        <v>65</v>
      </c>
      <c r="Y876" t="s">
        <v>1053</v>
      </c>
      <c r="Z876">
        <v>10</v>
      </c>
      <c r="AA876">
        <v>1</v>
      </c>
      <c r="AB876" t="s">
        <v>53</v>
      </c>
      <c r="AC876">
        <v>1</v>
      </c>
      <c r="AD876">
        <v>0</v>
      </c>
      <c r="AE876" t="s">
        <v>53</v>
      </c>
      <c r="AF876">
        <v>59490</v>
      </c>
      <c r="AG876">
        <v>6610</v>
      </c>
      <c r="AH876">
        <v>6610</v>
      </c>
      <c r="AI876">
        <v>46270</v>
      </c>
      <c r="AJ876" t="s">
        <v>67</v>
      </c>
      <c r="AK876" t="s">
        <v>271</v>
      </c>
      <c r="AL876">
        <v>1995</v>
      </c>
      <c r="AM876" t="s">
        <v>82</v>
      </c>
      <c r="AN876" s="2">
        <f t="shared" si="91"/>
        <v>42.810264676674201</v>
      </c>
      <c r="AO876">
        <f t="shared" si="92"/>
        <v>-58101.38</v>
      </c>
      <c r="AP876" s="2">
        <f t="shared" si="93"/>
        <v>2.3341681935082615E-2</v>
      </c>
      <c r="AQ876" s="2">
        <f t="shared" si="97"/>
        <v>20</v>
      </c>
      <c r="AR876">
        <f t="shared" si="94"/>
        <v>228</v>
      </c>
      <c r="AS876" t="str">
        <f t="shared" si="95"/>
        <v>High Claim Ratio</v>
      </c>
      <c r="AT876" t="str">
        <f t="shared" si="96"/>
        <v>High Profit</v>
      </c>
    </row>
    <row r="877" spans="1:46" x14ac:dyDescent="0.2">
      <c r="A877">
        <v>195</v>
      </c>
      <c r="B877">
        <v>37</v>
      </c>
      <c r="C877">
        <v>376879</v>
      </c>
      <c r="D877" s="1">
        <v>33430</v>
      </c>
      <c r="E877" t="s">
        <v>83</v>
      </c>
      <c r="F877" t="s">
        <v>69</v>
      </c>
      <c r="G877">
        <v>1000</v>
      </c>
      <c r="H877">
        <v>1406.52</v>
      </c>
      <c r="I877">
        <v>8000000</v>
      </c>
      <c r="J877">
        <v>619148</v>
      </c>
      <c r="K877" t="s">
        <v>41</v>
      </c>
      <c r="L877" t="s">
        <v>42</v>
      </c>
      <c r="M877" t="s">
        <v>97</v>
      </c>
      <c r="N877" t="s">
        <v>106</v>
      </c>
      <c r="O877" t="s">
        <v>85</v>
      </c>
      <c r="P877">
        <v>0</v>
      </c>
      <c r="Q877">
        <v>0</v>
      </c>
      <c r="R877" s="1">
        <v>42032</v>
      </c>
      <c r="S877" t="s">
        <v>46</v>
      </c>
      <c r="T877" t="s">
        <v>47</v>
      </c>
      <c r="U877" t="s">
        <v>48</v>
      </c>
      <c r="V877" t="s">
        <v>136</v>
      </c>
      <c r="W877" t="s">
        <v>50</v>
      </c>
      <c r="X877" t="s">
        <v>87</v>
      </c>
      <c r="Y877" t="s">
        <v>1054</v>
      </c>
      <c r="Z877">
        <v>12</v>
      </c>
      <c r="AA877">
        <v>1</v>
      </c>
      <c r="AB877" t="s">
        <v>79</v>
      </c>
      <c r="AC877">
        <v>0</v>
      </c>
      <c r="AD877">
        <v>2</v>
      </c>
      <c r="AE877" t="s">
        <v>79</v>
      </c>
      <c r="AF877">
        <v>44200</v>
      </c>
      <c r="AG877">
        <v>4420</v>
      </c>
      <c r="AH877">
        <v>4420</v>
      </c>
      <c r="AI877">
        <v>35360</v>
      </c>
      <c r="AJ877" t="s">
        <v>197</v>
      </c>
      <c r="AK877" t="s">
        <v>198</v>
      </c>
      <c r="AL877">
        <v>2002</v>
      </c>
      <c r="AM877" t="s">
        <v>56</v>
      </c>
      <c r="AN877" s="2">
        <f t="shared" si="91"/>
        <v>31.402750937819711</v>
      </c>
      <c r="AO877">
        <f t="shared" si="92"/>
        <v>-42793.48</v>
      </c>
      <c r="AP877" s="2">
        <f t="shared" si="93"/>
        <v>3.1820999524897628E-2</v>
      </c>
      <c r="AQ877" s="2">
        <f t="shared" si="97"/>
        <v>13</v>
      </c>
      <c r="AR877">
        <f t="shared" si="94"/>
        <v>195</v>
      </c>
      <c r="AS877" t="str">
        <f t="shared" si="95"/>
        <v>High Claim Ratio</v>
      </c>
      <c r="AT877" t="str">
        <f t="shared" si="96"/>
        <v>High Profit</v>
      </c>
    </row>
    <row r="878" spans="1:46" x14ac:dyDescent="0.2">
      <c r="A878">
        <v>247</v>
      </c>
      <c r="B878">
        <v>39</v>
      </c>
      <c r="C878">
        <v>599031</v>
      </c>
      <c r="D878" s="1">
        <v>33540</v>
      </c>
      <c r="E878" t="s">
        <v>57</v>
      </c>
      <c r="F878" t="s">
        <v>69</v>
      </c>
      <c r="G878">
        <v>500</v>
      </c>
      <c r="H878">
        <v>1558.29</v>
      </c>
      <c r="I878">
        <v>0</v>
      </c>
      <c r="J878">
        <v>456781</v>
      </c>
      <c r="K878" t="s">
        <v>70</v>
      </c>
      <c r="L878" t="s">
        <v>124</v>
      </c>
      <c r="M878" t="s">
        <v>135</v>
      </c>
      <c r="N878" t="s">
        <v>59</v>
      </c>
      <c r="O878" t="s">
        <v>85</v>
      </c>
      <c r="P878">
        <v>0</v>
      </c>
      <c r="Q878">
        <v>-49300</v>
      </c>
      <c r="R878" s="1">
        <v>42051</v>
      </c>
      <c r="S878" t="s">
        <v>61</v>
      </c>
      <c r="T878" t="s">
        <v>62</v>
      </c>
      <c r="U878" t="s">
        <v>212</v>
      </c>
      <c r="V878" t="s">
        <v>49</v>
      </c>
      <c r="W878" t="s">
        <v>113</v>
      </c>
      <c r="X878" t="s">
        <v>102</v>
      </c>
      <c r="Y878" t="s">
        <v>1055</v>
      </c>
      <c r="Z878">
        <v>5</v>
      </c>
      <c r="AA878">
        <v>1</v>
      </c>
      <c r="AB878" t="s">
        <v>53</v>
      </c>
      <c r="AC878">
        <v>1</v>
      </c>
      <c r="AD878">
        <v>2</v>
      </c>
      <c r="AE878" t="s">
        <v>62</v>
      </c>
      <c r="AF878">
        <v>7700</v>
      </c>
      <c r="AG878">
        <v>770</v>
      </c>
      <c r="AH878">
        <v>1540</v>
      </c>
      <c r="AI878">
        <v>5390</v>
      </c>
      <c r="AJ878" t="s">
        <v>54</v>
      </c>
      <c r="AK878">
        <v>93</v>
      </c>
      <c r="AL878">
        <v>2000</v>
      </c>
      <c r="AM878" t="s">
        <v>82</v>
      </c>
      <c r="AN878" s="2">
        <f t="shared" si="91"/>
        <v>4.9381449249337841</v>
      </c>
      <c r="AO878">
        <f t="shared" si="92"/>
        <v>-6141.71</v>
      </c>
      <c r="AP878" s="2">
        <f t="shared" si="93"/>
        <v>0.20234904557849628</v>
      </c>
      <c r="AQ878" s="2">
        <f t="shared" si="97"/>
        <v>15</v>
      </c>
      <c r="AR878">
        <f t="shared" si="94"/>
        <v>247</v>
      </c>
      <c r="AS878" t="str">
        <f t="shared" si="95"/>
        <v>Low Claim Ratio</v>
      </c>
      <c r="AT878" t="str">
        <f t="shared" si="96"/>
        <v>High Profit</v>
      </c>
    </row>
    <row r="879" spans="1:46" x14ac:dyDescent="0.2">
      <c r="A879">
        <v>405</v>
      </c>
      <c r="B879">
        <v>57</v>
      </c>
      <c r="C879">
        <v>676255</v>
      </c>
      <c r="D879" s="1">
        <v>36522</v>
      </c>
      <c r="E879" t="s">
        <v>57</v>
      </c>
      <c r="F879" t="s">
        <v>91</v>
      </c>
      <c r="G879">
        <v>1000</v>
      </c>
      <c r="H879">
        <v>1132.47</v>
      </c>
      <c r="I879">
        <v>4000000</v>
      </c>
      <c r="J879">
        <v>434293</v>
      </c>
      <c r="K879" t="s">
        <v>41</v>
      </c>
      <c r="L879" t="s">
        <v>42</v>
      </c>
      <c r="M879" t="s">
        <v>117</v>
      </c>
      <c r="N879" t="s">
        <v>264</v>
      </c>
      <c r="O879" t="s">
        <v>60</v>
      </c>
      <c r="P879">
        <v>46300</v>
      </c>
      <c r="Q879">
        <v>0</v>
      </c>
      <c r="R879" s="1">
        <v>42012</v>
      </c>
      <c r="S879" t="s">
        <v>75</v>
      </c>
      <c r="T879" t="s">
        <v>86</v>
      </c>
      <c r="U879" t="s">
        <v>107</v>
      </c>
      <c r="V879" t="s">
        <v>120</v>
      </c>
      <c r="W879" t="s">
        <v>77</v>
      </c>
      <c r="X879" t="s">
        <v>127</v>
      </c>
      <c r="Y879" t="s">
        <v>1056</v>
      </c>
      <c r="Z879">
        <v>21</v>
      </c>
      <c r="AA879">
        <v>3</v>
      </c>
      <c r="AB879" t="s">
        <v>62</v>
      </c>
      <c r="AC879">
        <v>2</v>
      </c>
      <c r="AD879">
        <v>3</v>
      </c>
      <c r="AE879" t="s">
        <v>62</v>
      </c>
      <c r="AF879">
        <v>61440</v>
      </c>
      <c r="AG879">
        <v>10240</v>
      </c>
      <c r="AH879">
        <v>10240</v>
      </c>
      <c r="AI879">
        <v>40960</v>
      </c>
      <c r="AJ879" t="s">
        <v>54</v>
      </c>
      <c r="AK879">
        <v>93</v>
      </c>
      <c r="AL879">
        <v>2008</v>
      </c>
      <c r="AM879" t="s">
        <v>82</v>
      </c>
      <c r="AN879" s="2">
        <f t="shared" si="91"/>
        <v>54.205228193070838</v>
      </c>
      <c r="AO879">
        <f t="shared" si="92"/>
        <v>-60307.53</v>
      </c>
      <c r="AP879" s="2">
        <f t="shared" si="93"/>
        <v>1.8431828909034685E-2</v>
      </c>
      <c r="AQ879" s="2">
        <f t="shared" si="97"/>
        <v>7</v>
      </c>
      <c r="AR879">
        <f t="shared" si="94"/>
        <v>405</v>
      </c>
      <c r="AS879" t="str">
        <f t="shared" si="95"/>
        <v>High Claim Ratio</v>
      </c>
      <c r="AT879" t="str">
        <f t="shared" si="96"/>
        <v>High Profit</v>
      </c>
    </row>
    <row r="880" spans="1:46" x14ac:dyDescent="0.2">
      <c r="A880">
        <v>144</v>
      </c>
      <c r="B880">
        <v>37</v>
      </c>
      <c r="C880">
        <v>985446</v>
      </c>
      <c r="D880" s="1">
        <v>41193</v>
      </c>
      <c r="E880" t="s">
        <v>39</v>
      </c>
      <c r="F880" t="s">
        <v>40</v>
      </c>
      <c r="G880">
        <v>2000</v>
      </c>
      <c r="H880">
        <v>1896.91</v>
      </c>
      <c r="I880">
        <v>0</v>
      </c>
      <c r="J880">
        <v>460895</v>
      </c>
      <c r="K880" t="s">
        <v>70</v>
      </c>
      <c r="L880" t="s">
        <v>71</v>
      </c>
      <c r="M880" t="s">
        <v>159</v>
      </c>
      <c r="N880" t="s">
        <v>44</v>
      </c>
      <c r="O880" t="s">
        <v>142</v>
      </c>
      <c r="P880">
        <v>73700</v>
      </c>
      <c r="Q880">
        <v>0</v>
      </c>
      <c r="R880" s="1">
        <v>42028</v>
      </c>
      <c r="S880" t="s">
        <v>75</v>
      </c>
      <c r="T880" t="s">
        <v>76</v>
      </c>
      <c r="U880" t="s">
        <v>48</v>
      </c>
      <c r="V880" t="s">
        <v>99</v>
      </c>
      <c r="W880" t="s">
        <v>50</v>
      </c>
      <c r="X880" t="s">
        <v>51</v>
      </c>
      <c r="Y880" t="s">
        <v>1057</v>
      </c>
      <c r="Z880">
        <v>17</v>
      </c>
      <c r="AA880">
        <v>3</v>
      </c>
      <c r="AB880" t="s">
        <v>53</v>
      </c>
      <c r="AC880">
        <v>1</v>
      </c>
      <c r="AD880">
        <v>3</v>
      </c>
      <c r="AE880" t="s">
        <v>79</v>
      </c>
      <c r="AF880">
        <v>54400</v>
      </c>
      <c r="AG880">
        <v>5440</v>
      </c>
      <c r="AH880">
        <v>10880</v>
      </c>
      <c r="AI880">
        <v>38080</v>
      </c>
      <c r="AJ880" t="s">
        <v>89</v>
      </c>
      <c r="AK880" t="s">
        <v>223</v>
      </c>
      <c r="AL880">
        <v>2015</v>
      </c>
      <c r="AM880" t="s">
        <v>56</v>
      </c>
      <c r="AN880" s="2">
        <f t="shared" si="91"/>
        <v>28.663108366571649</v>
      </c>
      <c r="AO880">
        <f t="shared" si="92"/>
        <v>-52503.09</v>
      </c>
      <c r="AP880" s="2">
        <f t="shared" si="93"/>
        <v>3.4869028142865022E-2</v>
      </c>
      <c r="AQ880" s="2">
        <f t="shared" si="97"/>
        <v>0</v>
      </c>
      <c r="AR880">
        <f t="shared" si="94"/>
        <v>144</v>
      </c>
      <c r="AS880" t="str">
        <f t="shared" si="95"/>
        <v>High Claim Ratio</v>
      </c>
      <c r="AT880" t="str">
        <f t="shared" si="96"/>
        <v>High Profit</v>
      </c>
    </row>
    <row r="881" spans="1:46" x14ac:dyDescent="0.2">
      <c r="A881">
        <v>338</v>
      </c>
      <c r="B881">
        <v>47</v>
      </c>
      <c r="C881">
        <v>884180</v>
      </c>
      <c r="D881" s="1">
        <v>34930</v>
      </c>
      <c r="E881" t="s">
        <v>83</v>
      </c>
      <c r="F881" t="s">
        <v>91</v>
      </c>
      <c r="G881">
        <v>500</v>
      </c>
      <c r="H881">
        <v>1143.46</v>
      </c>
      <c r="I881">
        <v>4000000</v>
      </c>
      <c r="J881">
        <v>601600</v>
      </c>
      <c r="K881" t="s">
        <v>41</v>
      </c>
      <c r="L881" t="s">
        <v>42</v>
      </c>
      <c r="M881" t="s">
        <v>117</v>
      </c>
      <c r="N881" t="s">
        <v>173</v>
      </c>
      <c r="O881" t="s">
        <v>60</v>
      </c>
      <c r="P881">
        <v>0</v>
      </c>
      <c r="Q881">
        <v>0</v>
      </c>
      <c r="R881" s="1">
        <v>42053</v>
      </c>
      <c r="S881" t="s">
        <v>46</v>
      </c>
      <c r="T881" t="s">
        <v>86</v>
      </c>
      <c r="U881" t="s">
        <v>107</v>
      </c>
      <c r="V881" t="s">
        <v>120</v>
      </c>
      <c r="W881" t="s">
        <v>121</v>
      </c>
      <c r="X881" t="s">
        <v>87</v>
      </c>
      <c r="Y881" t="s">
        <v>1058</v>
      </c>
      <c r="Z881">
        <v>4</v>
      </c>
      <c r="AA881">
        <v>1</v>
      </c>
      <c r="AB881" t="s">
        <v>53</v>
      </c>
      <c r="AC881">
        <v>2</v>
      </c>
      <c r="AD881">
        <v>1</v>
      </c>
      <c r="AE881" t="s">
        <v>62</v>
      </c>
      <c r="AF881">
        <v>58560</v>
      </c>
      <c r="AG881">
        <v>9760</v>
      </c>
      <c r="AH881">
        <v>9760</v>
      </c>
      <c r="AI881">
        <v>39040</v>
      </c>
      <c r="AJ881" t="s">
        <v>67</v>
      </c>
      <c r="AK881" t="s">
        <v>68</v>
      </c>
      <c r="AL881">
        <v>2002</v>
      </c>
      <c r="AM881" t="s">
        <v>82</v>
      </c>
      <c r="AN881" s="2">
        <f t="shared" si="91"/>
        <v>51.16823654824109</v>
      </c>
      <c r="AO881">
        <f t="shared" si="92"/>
        <v>-57416.54</v>
      </c>
      <c r="AP881" s="2">
        <f t="shared" si="93"/>
        <v>1.9525964379023583E-2</v>
      </c>
      <c r="AQ881" s="2">
        <f t="shared" si="97"/>
        <v>13</v>
      </c>
      <c r="AR881">
        <f t="shared" si="94"/>
        <v>338</v>
      </c>
      <c r="AS881" t="str">
        <f t="shared" si="95"/>
        <v>High Claim Ratio</v>
      </c>
      <c r="AT881" t="str">
        <f t="shared" si="96"/>
        <v>High Profit</v>
      </c>
    </row>
    <row r="882" spans="1:46" x14ac:dyDescent="0.2">
      <c r="A882">
        <v>121</v>
      </c>
      <c r="B882">
        <v>34</v>
      </c>
      <c r="C882">
        <v>571462</v>
      </c>
      <c r="D882" s="1">
        <v>33280</v>
      </c>
      <c r="E882" t="s">
        <v>57</v>
      </c>
      <c r="F882" t="s">
        <v>91</v>
      </c>
      <c r="G882">
        <v>500</v>
      </c>
      <c r="H882">
        <v>1285.42</v>
      </c>
      <c r="I882">
        <v>0</v>
      </c>
      <c r="J882">
        <v>465440</v>
      </c>
      <c r="K882" t="s">
        <v>41</v>
      </c>
      <c r="L882" t="s">
        <v>42</v>
      </c>
      <c r="M882" t="s">
        <v>117</v>
      </c>
      <c r="N882" t="s">
        <v>181</v>
      </c>
      <c r="O882" t="s">
        <v>119</v>
      </c>
      <c r="P882">
        <v>0</v>
      </c>
      <c r="Q882">
        <v>0</v>
      </c>
      <c r="R882" s="1">
        <v>42025</v>
      </c>
      <c r="S882" t="s">
        <v>46</v>
      </c>
      <c r="T882" t="s">
        <v>86</v>
      </c>
      <c r="U882" t="s">
        <v>48</v>
      </c>
      <c r="V882" t="s">
        <v>99</v>
      </c>
      <c r="W882" t="s">
        <v>64</v>
      </c>
      <c r="X882" t="s">
        <v>156</v>
      </c>
      <c r="Y882" t="s">
        <v>1059</v>
      </c>
      <c r="Z882">
        <v>11</v>
      </c>
      <c r="AA882">
        <v>1</v>
      </c>
      <c r="AB882" t="s">
        <v>79</v>
      </c>
      <c r="AC882">
        <v>1</v>
      </c>
      <c r="AD882">
        <v>1</v>
      </c>
      <c r="AE882" t="s">
        <v>79</v>
      </c>
      <c r="AF882">
        <v>67300</v>
      </c>
      <c r="AG882">
        <v>6730</v>
      </c>
      <c r="AH882">
        <v>6730</v>
      </c>
      <c r="AI882">
        <v>53840</v>
      </c>
      <c r="AJ882" t="s">
        <v>80</v>
      </c>
      <c r="AK882" t="s">
        <v>81</v>
      </c>
      <c r="AL882">
        <v>2000</v>
      </c>
      <c r="AM882" t="s">
        <v>56</v>
      </c>
      <c r="AN882" s="2">
        <f t="shared" si="91"/>
        <v>52.315728922124961</v>
      </c>
      <c r="AO882">
        <f t="shared" si="92"/>
        <v>-66014.58</v>
      </c>
      <c r="AP882" s="2">
        <f t="shared" si="93"/>
        <v>1.9099567614151353E-2</v>
      </c>
      <c r="AQ882" s="2">
        <f t="shared" si="97"/>
        <v>15</v>
      </c>
      <c r="AR882">
        <f t="shared" si="94"/>
        <v>121</v>
      </c>
      <c r="AS882" t="str">
        <f t="shared" si="95"/>
        <v>High Claim Ratio</v>
      </c>
      <c r="AT882" t="str">
        <f t="shared" si="96"/>
        <v>High Profit</v>
      </c>
    </row>
    <row r="883" spans="1:46" x14ac:dyDescent="0.2">
      <c r="A883">
        <v>398</v>
      </c>
      <c r="B883">
        <v>55</v>
      </c>
      <c r="C883">
        <v>815883</v>
      </c>
      <c r="D883" s="1">
        <v>33421</v>
      </c>
      <c r="E883" t="s">
        <v>39</v>
      </c>
      <c r="F883" t="s">
        <v>40</v>
      </c>
      <c r="G883">
        <v>2000</v>
      </c>
      <c r="H883">
        <v>1305.26</v>
      </c>
      <c r="I883">
        <v>0</v>
      </c>
      <c r="J883">
        <v>455482</v>
      </c>
      <c r="K883" t="s">
        <v>41</v>
      </c>
      <c r="L883" t="s">
        <v>42</v>
      </c>
      <c r="M883" t="s">
        <v>189</v>
      </c>
      <c r="N883" t="s">
        <v>132</v>
      </c>
      <c r="O883" t="s">
        <v>119</v>
      </c>
      <c r="P883">
        <v>66200</v>
      </c>
      <c r="Q883">
        <v>-49700</v>
      </c>
      <c r="R883" s="1">
        <v>42012</v>
      </c>
      <c r="S883" t="s">
        <v>46</v>
      </c>
      <c r="T883" t="s">
        <v>76</v>
      </c>
      <c r="U883" t="s">
        <v>48</v>
      </c>
      <c r="V883" t="s">
        <v>99</v>
      </c>
      <c r="W883" t="s">
        <v>64</v>
      </c>
      <c r="X883" t="s">
        <v>122</v>
      </c>
      <c r="Y883" t="s">
        <v>1060</v>
      </c>
      <c r="Z883">
        <v>18</v>
      </c>
      <c r="AA883">
        <v>1</v>
      </c>
      <c r="AB883" t="s">
        <v>62</v>
      </c>
      <c r="AC883">
        <v>1</v>
      </c>
      <c r="AD883">
        <v>3</v>
      </c>
      <c r="AE883" t="s">
        <v>53</v>
      </c>
      <c r="AF883">
        <v>36740</v>
      </c>
      <c r="AG883">
        <v>3340</v>
      </c>
      <c r="AH883">
        <v>6680</v>
      </c>
      <c r="AI883">
        <v>26720</v>
      </c>
      <c r="AJ883" t="s">
        <v>187</v>
      </c>
      <c r="AK883" t="s">
        <v>203</v>
      </c>
      <c r="AL883">
        <v>1998</v>
      </c>
      <c r="AM883" t="s">
        <v>56</v>
      </c>
      <c r="AN883" s="2">
        <f t="shared" si="91"/>
        <v>28.12610047004425</v>
      </c>
      <c r="AO883">
        <f t="shared" si="92"/>
        <v>-35434.74</v>
      </c>
      <c r="AP883" s="2">
        <f t="shared" si="93"/>
        <v>3.5525979151356794E-2</v>
      </c>
      <c r="AQ883" s="2">
        <f t="shared" si="97"/>
        <v>17</v>
      </c>
      <c r="AR883">
        <f t="shared" si="94"/>
        <v>398</v>
      </c>
      <c r="AS883" t="str">
        <f t="shared" si="95"/>
        <v>High Claim Ratio</v>
      </c>
      <c r="AT883" t="str">
        <f t="shared" si="96"/>
        <v>High Profit</v>
      </c>
    </row>
    <row r="884" spans="1:46" x14ac:dyDescent="0.2">
      <c r="A884">
        <v>9</v>
      </c>
      <c r="B884">
        <v>30</v>
      </c>
      <c r="C884">
        <v>258265</v>
      </c>
      <c r="D884" s="1">
        <v>34434</v>
      </c>
      <c r="E884" t="s">
        <v>83</v>
      </c>
      <c r="F884" t="s">
        <v>69</v>
      </c>
      <c r="G884">
        <v>1000</v>
      </c>
      <c r="H884">
        <v>1073.83</v>
      </c>
      <c r="I884">
        <v>0</v>
      </c>
      <c r="J884">
        <v>438877</v>
      </c>
      <c r="K884" t="s">
        <v>70</v>
      </c>
      <c r="L884" t="s">
        <v>131</v>
      </c>
      <c r="M884" t="s">
        <v>58</v>
      </c>
      <c r="N884" t="s">
        <v>126</v>
      </c>
      <c r="O884" t="s">
        <v>142</v>
      </c>
      <c r="P884">
        <v>0</v>
      </c>
      <c r="Q884">
        <v>0</v>
      </c>
      <c r="R884" s="1">
        <v>42037</v>
      </c>
      <c r="S884" t="s">
        <v>46</v>
      </c>
      <c r="T884" t="s">
        <v>76</v>
      </c>
      <c r="U884" t="s">
        <v>107</v>
      </c>
      <c r="V884" t="s">
        <v>49</v>
      </c>
      <c r="W884" t="s">
        <v>77</v>
      </c>
      <c r="X884" t="s">
        <v>156</v>
      </c>
      <c r="Y884" t="s">
        <v>1061</v>
      </c>
      <c r="Z884">
        <v>12</v>
      </c>
      <c r="AA884">
        <v>1</v>
      </c>
      <c r="AB884" t="s">
        <v>62</v>
      </c>
      <c r="AC884">
        <v>0</v>
      </c>
      <c r="AD884">
        <v>0</v>
      </c>
      <c r="AE884" t="s">
        <v>79</v>
      </c>
      <c r="AF884">
        <v>85690</v>
      </c>
      <c r="AG884">
        <v>15580</v>
      </c>
      <c r="AH884">
        <v>15580</v>
      </c>
      <c r="AI884">
        <v>54530</v>
      </c>
      <c r="AJ884" t="s">
        <v>187</v>
      </c>
      <c r="AK884" t="s">
        <v>188</v>
      </c>
      <c r="AL884">
        <v>2011</v>
      </c>
      <c r="AM884" t="s">
        <v>82</v>
      </c>
      <c r="AN884" s="2">
        <f t="shared" si="91"/>
        <v>79.724235460491428</v>
      </c>
      <c r="AO884">
        <f t="shared" si="92"/>
        <v>-84616.17</v>
      </c>
      <c r="AP884" s="2">
        <f t="shared" si="93"/>
        <v>1.2531421036048125E-2</v>
      </c>
      <c r="AQ884" s="2">
        <f t="shared" si="97"/>
        <v>4</v>
      </c>
      <c r="AR884">
        <f t="shared" si="94"/>
        <v>9</v>
      </c>
      <c r="AS884" t="str">
        <f t="shared" si="95"/>
        <v>High Claim Ratio</v>
      </c>
      <c r="AT884" t="str">
        <f t="shared" si="96"/>
        <v>High Profit</v>
      </c>
    </row>
    <row r="885" spans="1:46" x14ac:dyDescent="0.2">
      <c r="A885">
        <v>115</v>
      </c>
      <c r="B885">
        <v>31</v>
      </c>
      <c r="C885">
        <v>569714</v>
      </c>
      <c r="D885" s="1">
        <v>38690</v>
      </c>
      <c r="E885" t="s">
        <v>39</v>
      </c>
      <c r="F885" t="s">
        <v>91</v>
      </c>
      <c r="G885">
        <v>1000</v>
      </c>
      <c r="H885">
        <v>1051.67</v>
      </c>
      <c r="I885">
        <v>0</v>
      </c>
      <c r="J885">
        <v>479824</v>
      </c>
      <c r="K885" t="s">
        <v>70</v>
      </c>
      <c r="L885" t="s">
        <v>92</v>
      </c>
      <c r="M885" t="s">
        <v>125</v>
      </c>
      <c r="N885" t="s">
        <v>98</v>
      </c>
      <c r="O885" t="s">
        <v>142</v>
      </c>
      <c r="P885">
        <v>0</v>
      </c>
      <c r="Q885">
        <v>0</v>
      </c>
      <c r="R885" s="1">
        <v>42064</v>
      </c>
      <c r="S885" t="s">
        <v>75</v>
      </c>
      <c r="T885" t="s">
        <v>47</v>
      </c>
      <c r="U885" t="s">
        <v>48</v>
      </c>
      <c r="V885" t="s">
        <v>136</v>
      </c>
      <c r="W885" t="s">
        <v>113</v>
      </c>
      <c r="X885" t="s">
        <v>65</v>
      </c>
      <c r="Y885" t="s">
        <v>1062</v>
      </c>
      <c r="Z885">
        <v>18</v>
      </c>
      <c r="AA885">
        <v>3</v>
      </c>
      <c r="AB885" t="s">
        <v>53</v>
      </c>
      <c r="AC885">
        <v>0</v>
      </c>
      <c r="AD885">
        <v>3</v>
      </c>
      <c r="AE885" t="s">
        <v>79</v>
      </c>
      <c r="AF885">
        <v>34160</v>
      </c>
      <c r="AG885">
        <v>0</v>
      </c>
      <c r="AH885">
        <v>4270</v>
      </c>
      <c r="AI885">
        <v>29890</v>
      </c>
      <c r="AJ885" t="s">
        <v>109</v>
      </c>
      <c r="AK885" t="s">
        <v>110</v>
      </c>
      <c r="AL885">
        <v>2005</v>
      </c>
      <c r="AM885" t="s">
        <v>56</v>
      </c>
      <c r="AN885" s="2">
        <f t="shared" si="91"/>
        <v>32.450815545232594</v>
      </c>
      <c r="AO885">
        <f t="shared" si="92"/>
        <v>-33108.33</v>
      </c>
      <c r="AP885" s="2">
        <f t="shared" si="93"/>
        <v>3.0785691285383918E-2</v>
      </c>
      <c r="AQ885" s="2">
        <f t="shared" si="97"/>
        <v>10</v>
      </c>
      <c r="AR885">
        <f t="shared" si="94"/>
        <v>115</v>
      </c>
      <c r="AS885" t="str">
        <f t="shared" si="95"/>
        <v>High Claim Ratio</v>
      </c>
      <c r="AT885" t="str">
        <f t="shared" si="96"/>
        <v>High Profit</v>
      </c>
    </row>
    <row r="886" spans="1:46" x14ac:dyDescent="0.2">
      <c r="A886">
        <v>280</v>
      </c>
      <c r="B886">
        <v>48</v>
      </c>
      <c r="C886">
        <v>180008</v>
      </c>
      <c r="D886" s="1">
        <v>41836</v>
      </c>
      <c r="E886" t="s">
        <v>83</v>
      </c>
      <c r="F886" t="s">
        <v>40</v>
      </c>
      <c r="G886">
        <v>1000</v>
      </c>
      <c r="H886">
        <v>1387.35</v>
      </c>
      <c r="I886">
        <v>0</v>
      </c>
      <c r="J886">
        <v>477415</v>
      </c>
      <c r="K886" t="s">
        <v>41</v>
      </c>
      <c r="L886" t="s">
        <v>161</v>
      </c>
      <c r="M886" t="s">
        <v>145</v>
      </c>
      <c r="N886" t="s">
        <v>165</v>
      </c>
      <c r="O886" t="s">
        <v>142</v>
      </c>
      <c r="P886">
        <v>0</v>
      </c>
      <c r="Q886">
        <v>-72000</v>
      </c>
      <c r="R886" s="1">
        <v>42039</v>
      </c>
      <c r="S886" t="s">
        <v>46</v>
      </c>
      <c r="T886" t="s">
        <v>86</v>
      </c>
      <c r="U886" t="s">
        <v>63</v>
      </c>
      <c r="V886" t="s">
        <v>99</v>
      </c>
      <c r="W886" t="s">
        <v>113</v>
      </c>
      <c r="X886" t="s">
        <v>122</v>
      </c>
      <c r="Y886" t="s">
        <v>1063</v>
      </c>
      <c r="Z886">
        <v>16</v>
      </c>
      <c r="AA886">
        <v>1</v>
      </c>
      <c r="AB886" t="s">
        <v>79</v>
      </c>
      <c r="AC886">
        <v>2</v>
      </c>
      <c r="AD886">
        <v>2</v>
      </c>
      <c r="AE886" t="s">
        <v>62</v>
      </c>
      <c r="AF886">
        <v>61320</v>
      </c>
      <c r="AG886">
        <v>10220</v>
      </c>
      <c r="AH886">
        <v>10220</v>
      </c>
      <c r="AI886">
        <v>40880</v>
      </c>
      <c r="AJ886" t="s">
        <v>187</v>
      </c>
      <c r="AK886" t="s">
        <v>201</v>
      </c>
      <c r="AL886">
        <v>1998</v>
      </c>
      <c r="AM886" t="s">
        <v>82</v>
      </c>
      <c r="AN886" s="2">
        <f t="shared" si="91"/>
        <v>44.16753700435769</v>
      </c>
      <c r="AO886">
        <f t="shared" si="92"/>
        <v>-59932.65</v>
      </c>
      <c r="AP886" s="2">
        <f t="shared" si="93"/>
        <v>2.2624386425531221E-2</v>
      </c>
      <c r="AQ886" s="2">
        <f t="shared" si="97"/>
        <v>17</v>
      </c>
      <c r="AR886">
        <f t="shared" si="94"/>
        <v>280</v>
      </c>
      <c r="AS886" t="str">
        <f t="shared" si="95"/>
        <v>High Claim Ratio</v>
      </c>
      <c r="AT886" t="str">
        <f t="shared" si="96"/>
        <v>High Profit</v>
      </c>
    </row>
    <row r="887" spans="1:46" x14ac:dyDescent="0.2">
      <c r="A887">
        <v>254</v>
      </c>
      <c r="B887">
        <v>45</v>
      </c>
      <c r="C887">
        <v>633375</v>
      </c>
      <c r="D887" s="1">
        <v>37881</v>
      </c>
      <c r="E887" t="s">
        <v>83</v>
      </c>
      <c r="F887" t="s">
        <v>40</v>
      </c>
      <c r="G887">
        <v>500</v>
      </c>
      <c r="H887">
        <v>1083.6400000000001</v>
      </c>
      <c r="I887">
        <v>0</v>
      </c>
      <c r="J887">
        <v>614372</v>
      </c>
      <c r="K887" t="s">
        <v>41</v>
      </c>
      <c r="L887" t="s">
        <v>161</v>
      </c>
      <c r="M887" t="s">
        <v>111</v>
      </c>
      <c r="N887" t="s">
        <v>165</v>
      </c>
      <c r="O887" t="s">
        <v>45</v>
      </c>
      <c r="P887">
        <v>59800</v>
      </c>
      <c r="Q887">
        <v>0</v>
      </c>
      <c r="R887" s="1">
        <v>42062</v>
      </c>
      <c r="S887" t="s">
        <v>75</v>
      </c>
      <c r="T887" t="s">
        <v>76</v>
      </c>
      <c r="U887" t="s">
        <v>107</v>
      </c>
      <c r="V887" t="s">
        <v>49</v>
      </c>
      <c r="W887" t="s">
        <v>121</v>
      </c>
      <c r="X887" t="s">
        <v>51</v>
      </c>
      <c r="Y887" t="s">
        <v>1064</v>
      </c>
      <c r="Z887">
        <v>19</v>
      </c>
      <c r="AA887">
        <v>3</v>
      </c>
      <c r="AB887" t="s">
        <v>53</v>
      </c>
      <c r="AC887">
        <v>0</v>
      </c>
      <c r="AD887">
        <v>0</v>
      </c>
      <c r="AE887" t="s">
        <v>62</v>
      </c>
      <c r="AF887">
        <v>79680</v>
      </c>
      <c r="AG887">
        <v>13280</v>
      </c>
      <c r="AH887">
        <v>13280</v>
      </c>
      <c r="AI887">
        <v>53120</v>
      </c>
      <c r="AJ887" t="s">
        <v>187</v>
      </c>
      <c r="AK887" t="s">
        <v>188</v>
      </c>
      <c r="AL887">
        <v>2004</v>
      </c>
      <c r="AM887" t="s">
        <v>82</v>
      </c>
      <c r="AN887" s="2">
        <f t="shared" si="91"/>
        <v>73.462162560849677</v>
      </c>
      <c r="AO887">
        <f t="shared" si="92"/>
        <v>-78596.36</v>
      </c>
      <c r="AP887" s="2">
        <f t="shared" si="93"/>
        <v>1.3599728919064772E-2</v>
      </c>
      <c r="AQ887" s="2">
        <f t="shared" si="97"/>
        <v>11</v>
      </c>
      <c r="AR887">
        <f t="shared" si="94"/>
        <v>254</v>
      </c>
      <c r="AS887" t="str">
        <f t="shared" si="95"/>
        <v>High Claim Ratio</v>
      </c>
      <c r="AT887" t="str">
        <f t="shared" si="96"/>
        <v>High Profit</v>
      </c>
    </row>
    <row r="888" spans="1:46" x14ac:dyDescent="0.2">
      <c r="A888">
        <v>141</v>
      </c>
      <c r="B888">
        <v>30</v>
      </c>
      <c r="C888">
        <v>556538</v>
      </c>
      <c r="D888" s="1">
        <v>36722</v>
      </c>
      <c r="E888" t="s">
        <v>83</v>
      </c>
      <c r="F888" t="s">
        <v>40</v>
      </c>
      <c r="G888">
        <v>1000</v>
      </c>
      <c r="H888">
        <v>1851.78</v>
      </c>
      <c r="I888">
        <v>0</v>
      </c>
      <c r="J888">
        <v>465248</v>
      </c>
      <c r="K888" t="s">
        <v>70</v>
      </c>
      <c r="L888" t="s">
        <v>131</v>
      </c>
      <c r="M888" t="s">
        <v>43</v>
      </c>
      <c r="N888" t="s">
        <v>264</v>
      </c>
      <c r="O888" t="s">
        <v>60</v>
      </c>
      <c r="P888">
        <v>78800</v>
      </c>
      <c r="Q888">
        <v>0</v>
      </c>
      <c r="R888" s="1">
        <v>42044</v>
      </c>
      <c r="S888" t="s">
        <v>46</v>
      </c>
      <c r="T888" t="s">
        <v>86</v>
      </c>
      <c r="U888" t="s">
        <v>107</v>
      </c>
      <c r="V888" t="s">
        <v>99</v>
      </c>
      <c r="W888" t="s">
        <v>50</v>
      </c>
      <c r="X888" t="s">
        <v>65</v>
      </c>
      <c r="Y888" t="s">
        <v>1065</v>
      </c>
      <c r="Z888">
        <v>13</v>
      </c>
      <c r="AA888">
        <v>1</v>
      </c>
      <c r="AB888" t="s">
        <v>79</v>
      </c>
      <c r="AC888">
        <v>1</v>
      </c>
      <c r="AD888">
        <v>0</v>
      </c>
      <c r="AE888" t="s">
        <v>53</v>
      </c>
      <c r="AF888">
        <v>61740</v>
      </c>
      <c r="AG888">
        <v>6860</v>
      </c>
      <c r="AH888">
        <v>6860</v>
      </c>
      <c r="AI888">
        <v>48020</v>
      </c>
      <c r="AJ888" t="s">
        <v>109</v>
      </c>
      <c r="AK888" t="s">
        <v>134</v>
      </c>
      <c r="AL888">
        <v>2002</v>
      </c>
      <c r="AM888" t="s">
        <v>82</v>
      </c>
      <c r="AN888" s="2">
        <f t="shared" si="91"/>
        <v>33.322898563240102</v>
      </c>
      <c r="AO888">
        <f t="shared" si="92"/>
        <v>-59888.22</v>
      </c>
      <c r="AP888" s="2">
        <f t="shared" si="93"/>
        <v>2.9992711488314085E-2</v>
      </c>
      <c r="AQ888" s="2">
        <f t="shared" si="97"/>
        <v>13</v>
      </c>
      <c r="AR888">
        <f t="shared" si="94"/>
        <v>141</v>
      </c>
      <c r="AS888" t="str">
        <f t="shared" si="95"/>
        <v>High Claim Ratio</v>
      </c>
      <c r="AT888" t="str">
        <f t="shared" si="96"/>
        <v>High Profit</v>
      </c>
    </row>
    <row r="889" spans="1:46" x14ac:dyDescent="0.2">
      <c r="A889">
        <v>441</v>
      </c>
      <c r="B889">
        <v>55</v>
      </c>
      <c r="C889">
        <v>669501</v>
      </c>
      <c r="D889" s="1">
        <v>40023</v>
      </c>
      <c r="E889" t="s">
        <v>57</v>
      </c>
      <c r="F889" t="s">
        <v>40</v>
      </c>
      <c r="G889">
        <v>500</v>
      </c>
      <c r="H889">
        <v>1270.29</v>
      </c>
      <c r="I889">
        <v>4000000</v>
      </c>
      <c r="J889">
        <v>449421</v>
      </c>
      <c r="K889" t="s">
        <v>41</v>
      </c>
      <c r="L889" t="s">
        <v>141</v>
      </c>
      <c r="M889" t="s">
        <v>84</v>
      </c>
      <c r="N889" t="s">
        <v>264</v>
      </c>
      <c r="O889" t="s">
        <v>45</v>
      </c>
      <c r="P889">
        <v>24000</v>
      </c>
      <c r="Q889">
        <v>-50500</v>
      </c>
      <c r="R889" s="1">
        <v>42054</v>
      </c>
      <c r="S889" t="s">
        <v>138</v>
      </c>
      <c r="T889" t="s">
        <v>62</v>
      </c>
      <c r="U889" t="s">
        <v>63</v>
      </c>
      <c r="V889" t="s">
        <v>93</v>
      </c>
      <c r="W889" t="s">
        <v>64</v>
      </c>
      <c r="X889" t="s">
        <v>87</v>
      </c>
      <c r="Y889" t="s">
        <v>1066</v>
      </c>
      <c r="Z889">
        <v>4</v>
      </c>
      <c r="AA889">
        <v>1</v>
      </c>
      <c r="AB889" t="s">
        <v>79</v>
      </c>
      <c r="AC889">
        <v>0</v>
      </c>
      <c r="AD889">
        <v>0</v>
      </c>
      <c r="AE889" t="s">
        <v>79</v>
      </c>
      <c r="AF889">
        <v>6400</v>
      </c>
      <c r="AG889">
        <v>640</v>
      </c>
      <c r="AH889">
        <v>640</v>
      </c>
      <c r="AI889">
        <v>5120</v>
      </c>
      <c r="AJ889" t="s">
        <v>209</v>
      </c>
      <c r="AK889" t="s">
        <v>210</v>
      </c>
      <c r="AL889">
        <v>2002</v>
      </c>
      <c r="AM889" t="s">
        <v>82</v>
      </c>
      <c r="AN889" s="2">
        <f t="shared" si="91"/>
        <v>5.0342565425669994</v>
      </c>
      <c r="AO889">
        <f t="shared" si="92"/>
        <v>-5129.71</v>
      </c>
      <c r="AP889" s="2">
        <f t="shared" si="93"/>
        <v>0.19845180440556162</v>
      </c>
      <c r="AQ889" s="2">
        <f t="shared" si="97"/>
        <v>13</v>
      </c>
      <c r="AR889">
        <f t="shared" si="94"/>
        <v>441</v>
      </c>
      <c r="AS889" t="str">
        <f t="shared" si="95"/>
        <v>Medium Claim Ratio</v>
      </c>
      <c r="AT889" t="str">
        <f t="shared" si="96"/>
        <v>High Profit</v>
      </c>
    </row>
    <row r="890" spans="1:46" x14ac:dyDescent="0.2">
      <c r="A890">
        <v>381</v>
      </c>
      <c r="B890">
        <v>55</v>
      </c>
      <c r="C890">
        <v>963761</v>
      </c>
      <c r="D890" s="1">
        <v>33341</v>
      </c>
      <c r="E890" t="s">
        <v>39</v>
      </c>
      <c r="F890" t="s">
        <v>91</v>
      </c>
      <c r="G890">
        <v>500</v>
      </c>
      <c r="H890">
        <v>1459.99</v>
      </c>
      <c r="I890">
        <v>0</v>
      </c>
      <c r="J890">
        <v>445856</v>
      </c>
      <c r="K890" t="s">
        <v>70</v>
      </c>
      <c r="L890" t="s">
        <v>42</v>
      </c>
      <c r="M890" t="s">
        <v>111</v>
      </c>
      <c r="N890" t="s">
        <v>168</v>
      </c>
      <c r="O890" t="s">
        <v>119</v>
      </c>
      <c r="P890">
        <v>35900</v>
      </c>
      <c r="Q890">
        <v>0</v>
      </c>
      <c r="R890" s="1">
        <v>42016</v>
      </c>
      <c r="S890" t="s">
        <v>46</v>
      </c>
      <c r="T890" t="s">
        <v>76</v>
      </c>
      <c r="U890" t="s">
        <v>48</v>
      </c>
      <c r="V890" t="s">
        <v>99</v>
      </c>
      <c r="W890" t="s">
        <v>50</v>
      </c>
      <c r="X890" t="s">
        <v>156</v>
      </c>
      <c r="Y890" t="s">
        <v>1067</v>
      </c>
      <c r="Z890">
        <v>8</v>
      </c>
      <c r="AA890">
        <v>1</v>
      </c>
      <c r="AB890" t="s">
        <v>53</v>
      </c>
      <c r="AC890">
        <v>1</v>
      </c>
      <c r="AD890">
        <v>2</v>
      </c>
      <c r="AE890" t="s">
        <v>53</v>
      </c>
      <c r="AF890">
        <v>60600</v>
      </c>
      <c r="AG890">
        <v>12120</v>
      </c>
      <c r="AH890">
        <v>6060</v>
      </c>
      <c r="AI890">
        <v>42420</v>
      </c>
      <c r="AJ890" t="s">
        <v>95</v>
      </c>
      <c r="AK890" t="s">
        <v>158</v>
      </c>
      <c r="AL890">
        <v>2011</v>
      </c>
      <c r="AM890" t="s">
        <v>82</v>
      </c>
      <c r="AN890" s="2">
        <f t="shared" si="91"/>
        <v>41.478723331439639</v>
      </c>
      <c r="AO890">
        <f t="shared" si="92"/>
        <v>-59140.01</v>
      </c>
      <c r="AP890" s="2">
        <f t="shared" si="93"/>
        <v>2.4091846669196879E-2</v>
      </c>
      <c r="AQ890" s="2">
        <f t="shared" si="97"/>
        <v>4</v>
      </c>
      <c r="AR890">
        <f t="shared" si="94"/>
        <v>381</v>
      </c>
      <c r="AS890" t="str">
        <f t="shared" si="95"/>
        <v>High Claim Ratio</v>
      </c>
      <c r="AT890" t="str">
        <f t="shared" si="96"/>
        <v>High Profit</v>
      </c>
    </row>
    <row r="891" spans="1:46" x14ac:dyDescent="0.2">
      <c r="A891">
        <v>191</v>
      </c>
      <c r="B891">
        <v>38</v>
      </c>
      <c r="C891">
        <v>753005</v>
      </c>
      <c r="D891" s="1">
        <v>38676</v>
      </c>
      <c r="E891" t="s">
        <v>83</v>
      </c>
      <c r="F891" t="s">
        <v>69</v>
      </c>
      <c r="G891">
        <v>2000</v>
      </c>
      <c r="H891">
        <v>1253.44</v>
      </c>
      <c r="I891">
        <v>0</v>
      </c>
      <c r="J891">
        <v>608525</v>
      </c>
      <c r="K891" t="s">
        <v>70</v>
      </c>
      <c r="L891" t="s">
        <v>124</v>
      </c>
      <c r="M891" t="s">
        <v>43</v>
      </c>
      <c r="N891" t="s">
        <v>44</v>
      </c>
      <c r="O891" t="s">
        <v>142</v>
      </c>
      <c r="P891">
        <v>0</v>
      </c>
      <c r="Q891">
        <v>0</v>
      </c>
      <c r="R891" s="1">
        <v>42042</v>
      </c>
      <c r="S891" t="s">
        <v>75</v>
      </c>
      <c r="T891" t="s">
        <v>47</v>
      </c>
      <c r="U891" t="s">
        <v>48</v>
      </c>
      <c r="V891" t="s">
        <v>136</v>
      </c>
      <c r="W891" t="s">
        <v>64</v>
      </c>
      <c r="X891" t="s">
        <v>122</v>
      </c>
      <c r="Y891" t="s">
        <v>1068</v>
      </c>
      <c r="Z891">
        <v>19</v>
      </c>
      <c r="AA891">
        <v>3</v>
      </c>
      <c r="AB891" t="s">
        <v>79</v>
      </c>
      <c r="AC891">
        <v>2</v>
      </c>
      <c r="AD891">
        <v>0</v>
      </c>
      <c r="AE891" t="s">
        <v>79</v>
      </c>
      <c r="AF891">
        <v>56320</v>
      </c>
      <c r="AG891">
        <v>10240</v>
      </c>
      <c r="AH891">
        <v>5120</v>
      </c>
      <c r="AI891">
        <v>40960</v>
      </c>
      <c r="AJ891" t="s">
        <v>214</v>
      </c>
      <c r="AK891" t="s">
        <v>258</v>
      </c>
      <c r="AL891">
        <v>2007</v>
      </c>
      <c r="AM891" t="s">
        <v>82</v>
      </c>
      <c r="AN891" s="2">
        <f t="shared" si="91"/>
        <v>44.896527534198526</v>
      </c>
      <c r="AO891">
        <f t="shared" si="92"/>
        <v>-55066.559999999998</v>
      </c>
      <c r="AP891" s="2">
        <f t="shared" si="93"/>
        <v>2.2255286660393104E-2</v>
      </c>
      <c r="AQ891" s="2">
        <f t="shared" si="97"/>
        <v>8</v>
      </c>
      <c r="AR891">
        <f t="shared" si="94"/>
        <v>191</v>
      </c>
      <c r="AS891" t="str">
        <f t="shared" si="95"/>
        <v>High Claim Ratio</v>
      </c>
      <c r="AT891" t="str">
        <f t="shared" si="96"/>
        <v>High Profit</v>
      </c>
    </row>
    <row r="892" spans="1:46" x14ac:dyDescent="0.2">
      <c r="A892">
        <v>145</v>
      </c>
      <c r="B892">
        <v>34</v>
      </c>
      <c r="C892">
        <v>454758</v>
      </c>
      <c r="D892" s="1">
        <v>33013</v>
      </c>
      <c r="E892" t="s">
        <v>57</v>
      </c>
      <c r="F892" t="s">
        <v>69</v>
      </c>
      <c r="G892">
        <v>1000</v>
      </c>
      <c r="H892">
        <v>1142.48</v>
      </c>
      <c r="I892">
        <v>0</v>
      </c>
      <c r="J892">
        <v>608813</v>
      </c>
      <c r="K892" t="s">
        <v>70</v>
      </c>
      <c r="L892" t="s">
        <v>161</v>
      </c>
      <c r="M892" t="s">
        <v>117</v>
      </c>
      <c r="N892" t="s">
        <v>44</v>
      </c>
      <c r="O892" t="s">
        <v>60</v>
      </c>
      <c r="P892">
        <v>0</v>
      </c>
      <c r="Q892">
        <v>0</v>
      </c>
      <c r="R892" s="1">
        <v>42017</v>
      </c>
      <c r="S892" t="s">
        <v>46</v>
      </c>
      <c r="T892" t="s">
        <v>47</v>
      </c>
      <c r="U892" t="s">
        <v>107</v>
      </c>
      <c r="V892" t="s">
        <v>136</v>
      </c>
      <c r="W892" t="s">
        <v>121</v>
      </c>
      <c r="X892" t="s">
        <v>127</v>
      </c>
      <c r="Y892" t="s">
        <v>1069</v>
      </c>
      <c r="Z892">
        <v>18</v>
      </c>
      <c r="AA892">
        <v>1</v>
      </c>
      <c r="AB892" t="s">
        <v>53</v>
      </c>
      <c r="AC892">
        <v>2</v>
      </c>
      <c r="AD892">
        <v>0</v>
      </c>
      <c r="AE892" t="s">
        <v>79</v>
      </c>
      <c r="AF892">
        <v>52250</v>
      </c>
      <c r="AG892">
        <v>9500</v>
      </c>
      <c r="AH892">
        <v>4750</v>
      </c>
      <c r="AI892">
        <v>38000</v>
      </c>
      <c r="AJ892" t="s">
        <v>153</v>
      </c>
      <c r="AK892" t="s">
        <v>154</v>
      </c>
      <c r="AL892">
        <v>2012</v>
      </c>
      <c r="AM892" t="s">
        <v>82</v>
      </c>
      <c r="AN892" s="2">
        <f t="shared" si="91"/>
        <v>45.693846853464862</v>
      </c>
      <c r="AO892">
        <f t="shared" si="92"/>
        <v>-51107.519999999997</v>
      </c>
      <c r="AP892" s="2">
        <f t="shared" si="93"/>
        <v>2.1865227459761535E-2</v>
      </c>
      <c r="AQ892" s="2">
        <f t="shared" si="97"/>
        <v>3</v>
      </c>
      <c r="AR892">
        <f t="shared" si="94"/>
        <v>145</v>
      </c>
      <c r="AS892" t="str">
        <f t="shared" si="95"/>
        <v>High Claim Ratio</v>
      </c>
      <c r="AT892" t="str">
        <f t="shared" si="96"/>
        <v>High Profit</v>
      </c>
    </row>
    <row r="893" spans="1:46" x14ac:dyDescent="0.2">
      <c r="A893">
        <v>479</v>
      </c>
      <c r="B893">
        <v>60</v>
      </c>
      <c r="C893">
        <v>698589</v>
      </c>
      <c r="D893" s="1">
        <v>37588</v>
      </c>
      <c r="E893" t="s">
        <v>83</v>
      </c>
      <c r="F893" t="s">
        <v>91</v>
      </c>
      <c r="G893">
        <v>1000</v>
      </c>
      <c r="H893">
        <v>1188.45</v>
      </c>
      <c r="I893">
        <v>0</v>
      </c>
      <c r="J893">
        <v>459295</v>
      </c>
      <c r="K893" t="s">
        <v>70</v>
      </c>
      <c r="L893" t="s">
        <v>42</v>
      </c>
      <c r="M893" t="s">
        <v>125</v>
      </c>
      <c r="N893" t="s">
        <v>118</v>
      </c>
      <c r="O893" t="s">
        <v>60</v>
      </c>
      <c r="P893">
        <v>0</v>
      </c>
      <c r="Q893">
        <v>-44800</v>
      </c>
      <c r="R893" s="1">
        <v>42022</v>
      </c>
      <c r="S893" t="s">
        <v>75</v>
      </c>
      <c r="T893" t="s">
        <v>76</v>
      </c>
      <c r="U893" t="s">
        <v>107</v>
      </c>
      <c r="V893" t="s">
        <v>120</v>
      </c>
      <c r="W893" t="s">
        <v>50</v>
      </c>
      <c r="X893" t="s">
        <v>87</v>
      </c>
      <c r="Y893" t="s">
        <v>1070</v>
      </c>
      <c r="Z893">
        <v>9</v>
      </c>
      <c r="AA893">
        <v>2</v>
      </c>
      <c r="AB893" t="s">
        <v>62</v>
      </c>
      <c r="AC893">
        <v>0</v>
      </c>
      <c r="AD893">
        <v>3</v>
      </c>
      <c r="AE893" t="s">
        <v>62</v>
      </c>
      <c r="AF893">
        <v>53900</v>
      </c>
      <c r="AG893">
        <v>5390</v>
      </c>
      <c r="AH893">
        <v>10780</v>
      </c>
      <c r="AI893">
        <v>37730</v>
      </c>
      <c r="AJ893" t="s">
        <v>54</v>
      </c>
      <c r="AK893">
        <v>95</v>
      </c>
      <c r="AL893">
        <v>2006</v>
      </c>
      <c r="AM893" t="s">
        <v>82</v>
      </c>
      <c r="AN893" s="2">
        <f t="shared" si="91"/>
        <v>45.315061583084621</v>
      </c>
      <c r="AO893">
        <f t="shared" si="92"/>
        <v>-52711.55</v>
      </c>
      <c r="AP893" s="2">
        <f t="shared" si="93"/>
        <v>2.2048756052763401E-2</v>
      </c>
      <c r="AQ893" s="2">
        <f t="shared" si="97"/>
        <v>9</v>
      </c>
      <c r="AR893">
        <f t="shared" si="94"/>
        <v>479</v>
      </c>
      <c r="AS893" t="str">
        <f t="shared" si="95"/>
        <v>High Claim Ratio</v>
      </c>
      <c r="AT893" t="str">
        <f t="shared" si="96"/>
        <v>High Profit</v>
      </c>
    </row>
    <row r="894" spans="1:46" x14ac:dyDescent="0.2">
      <c r="A894">
        <v>215</v>
      </c>
      <c r="B894">
        <v>35</v>
      </c>
      <c r="C894">
        <v>330119</v>
      </c>
      <c r="D894" s="1">
        <v>38153</v>
      </c>
      <c r="E894" t="s">
        <v>83</v>
      </c>
      <c r="F894" t="s">
        <v>91</v>
      </c>
      <c r="G894">
        <v>1000</v>
      </c>
      <c r="H894">
        <v>1125.4000000000001</v>
      </c>
      <c r="I894">
        <v>0</v>
      </c>
      <c r="J894">
        <v>606144</v>
      </c>
      <c r="K894" t="s">
        <v>41</v>
      </c>
      <c r="L894" t="s">
        <v>124</v>
      </c>
      <c r="M894" t="s">
        <v>185</v>
      </c>
      <c r="N894" t="s">
        <v>155</v>
      </c>
      <c r="O894" t="s">
        <v>45</v>
      </c>
      <c r="P894">
        <v>40000</v>
      </c>
      <c r="Q894">
        <v>-43400</v>
      </c>
      <c r="R894" s="1">
        <v>42019</v>
      </c>
      <c r="S894" t="s">
        <v>61</v>
      </c>
      <c r="T894" t="s">
        <v>62</v>
      </c>
      <c r="U894" t="s">
        <v>212</v>
      </c>
      <c r="V894" t="s">
        <v>93</v>
      </c>
      <c r="W894" t="s">
        <v>113</v>
      </c>
      <c r="X894" t="s">
        <v>51</v>
      </c>
      <c r="Y894" t="s">
        <v>1071</v>
      </c>
      <c r="Z894">
        <v>6</v>
      </c>
      <c r="AA894">
        <v>1</v>
      </c>
      <c r="AB894" t="s">
        <v>62</v>
      </c>
      <c r="AC894">
        <v>2</v>
      </c>
      <c r="AD894">
        <v>1</v>
      </c>
      <c r="AE894" t="s">
        <v>79</v>
      </c>
      <c r="AF894">
        <v>2640</v>
      </c>
      <c r="AG894">
        <v>220</v>
      </c>
      <c r="AH894">
        <v>440</v>
      </c>
      <c r="AI894">
        <v>1980</v>
      </c>
      <c r="AJ894" t="s">
        <v>197</v>
      </c>
      <c r="AK894" t="s">
        <v>198</v>
      </c>
      <c r="AL894">
        <v>2001</v>
      </c>
      <c r="AM894" t="s">
        <v>82</v>
      </c>
      <c r="AN894" s="2">
        <f t="shared" si="91"/>
        <v>2.34375</v>
      </c>
      <c r="AO894">
        <f t="shared" si="92"/>
        <v>-1514.6</v>
      </c>
      <c r="AP894" s="2">
        <f t="shared" si="93"/>
        <v>0.42612646724725484</v>
      </c>
      <c r="AQ894" s="2">
        <f t="shared" si="97"/>
        <v>14</v>
      </c>
      <c r="AR894">
        <f t="shared" si="94"/>
        <v>215</v>
      </c>
      <c r="AS894" t="str">
        <f t="shared" si="95"/>
        <v>Low Claim Ratio</v>
      </c>
      <c r="AT894" t="str">
        <f t="shared" si="96"/>
        <v>Low Profit</v>
      </c>
    </row>
    <row r="895" spans="1:46" x14ac:dyDescent="0.2">
      <c r="A895">
        <v>41</v>
      </c>
      <c r="B895">
        <v>33</v>
      </c>
      <c r="C895">
        <v>164464</v>
      </c>
      <c r="D895" s="1">
        <v>40447</v>
      </c>
      <c r="E895" t="s">
        <v>39</v>
      </c>
      <c r="F895" t="s">
        <v>40</v>
      </c>
      <c r="G895">
        <v>500</v>
      </c>
      <c r="H895">
        <v>1294.4100000000001</v>
      </c>
      <c r="I895">
        <v>0</v>
      </c>
      <c r="J895">
        <v>476315</v>
      </c>
      <c r="K895" t="s">
        <v>41</v>
      </c>
      <c r="L895" t="s">
        <v>131</v>
      </c>
      <c r="M895" t="s">
        <v>145</v>
      </c>
      <c r="N895" t="s">
        <v>44</v>
      </c>
      <c r="O895" t="s">
        <v>45</v>
      </c>
      <c r="P895">
        <v>0</v>
      </c>
      <c r="Q895">
        <v>0</v>
      </c>
      <c r="R895" s="1">
        <v>42058</v>
      </c>
      <c r="S895" t="s">
        <v>61</v>
      </c>
      <c r="T895" t="s">
        <v>62</v>
      </c>
      <c r="U895" t="s">
        <v>63</v>
      </c>
      <c r="V895" t="s">
        <v>93</v>
      </c>
      <c r="W895" t="s">
        <v>121</v>
      </c>
      <c r="X895" t="s">
        <v>87</v>
      </c>
      <c r="Y895" t="s">
        <v>1072</v>
      </c>
      <c r="Z895">
        <v>8</v>
      </c>
      <c r="AA895">
        <v>1</v>
      </c>
      <c r="AB895" t="s">
        <v>53</v>
      </c>
      <c r="AC895">
        <v>0</v>
      </c>
      <c r="AD895">
        <v>0</v>
      </c>
      <c r="AE895" t="s">
        <v>62</v>
      </c>
      <c r="AF895">
        <v>8970</v>
      </c>
      <c r="AG895">
        <v>1380</v>
      </c>
      <c r="AH895">
        <v>1380</v>
      </c>
      <c r="AI895">
        <v>6210</v>
      </c>
      <c r="AJ895" t="s">
        <v>80</v>
      </c>
      <c r="AK895" t="s">
        <v>144</v>
      </c>
      <c r="AL895">
        <v>2011</v>
      </c>
      <c r="AM895" t="s">
        <v>82</v>
      </c>
      <c r="AN895" s="2">
        <f t="shared" si="91"/>
        <v>6.9244486301634227</v>
      </c>
      <c r="AO895">
        <f t="shared" si="92"/>
        <v>-7675.59</v>
      </c>
      <c r="AP895" s="2">
        <f t="shared" si="93"/>
        <v>0.14428826217812954</v>
      </c>
      <c r="AQ895" s="2">
        <f t="shared" si="97"/>
        <v>4</v>
      </c>
      <c r="AR895">
        <f t="shared" si="94"/>
        <v>41</v>
      </c>
      <c r="AS895" t="str">
        <f t="shared" si="95"/>
        <v>Medium Claim Ratio</v>
      </c>
      <c r="AT895" t="str">
        <f t="shared" si="96"/>
        <v>High Profit</v>
      </c>
    </row>
    <row r="896" spans="1:46" x14ac:dyDescent="0.2">
      <c r="A896">
        <v>45</v>
      </c>
      <c r="B896">
        <v>31</v>
      </c>
      <c r="C896">
        <v>927354</v>
      </c>
      <c r="D896" s="1">
        <v>33131</v>
      </c>
      <c r="E896" t="s">
        <v>57</v>
      </c>
      <c r="F896" t="s">
        <v>69</v>
      </c>
      <c r="G896">
        <v>500</v>
      </c>
      <c r="H896">
        <v>1459.5</v>
      </c>
      <c r="I896">
        <v>0</v>
      </c>
      <c r="J896">
        <v>475891</v>
      </c>
      <c r="K896" t="s">
        <v>41</v>
      </c>
      <c r="L896" t="s">
        <v>42</v>
      </c>
      <c r="M896" t="s">
        <v>117</v>
      </c>
      <c r="N896" t="s">
        <v>146</v>
      </c>
      <c r="O896" t="s">
        <v>142</v>
      </c>
      <c r="P896">
        <v>0</v>
      </c>
      <c r="Q896">
        <v>0</v>
      </c>
      <c r="R896" s="1">
        <v>42052</v>
      </c>
      <c r="S896" t="s">
        <v>138</v>
      </c>
      <c r="T896" t="s">
        <v>62</v>
      </c>
      <c r="U896" t="s">
        <v>63</v>
      </c>
      <c r="V896" t="s">
        <v>93</v>
      </c>
      <c r="W896" t="s">
        <v>77</v>
      </c>
      <c r="X896" t="s">
        <v>102</v>
      </c>
      <c r="Y896" t="s">
        <v>1073</v>
      </c>
      <c r="Z896">
        <v>6</v>
      </c>
      <c r="AA896">
        <v>1</v>
      </c>
      <c r="AB896" t="s">
        <v>62</v>
      </c>
      <c r="AC896">
        <v>1</v>
      </c>
      <c r="AD896">
        <v>3</v>
      </c>
      <c r="AE896" t="s">
        <v>62</v>
      </c>
      <c r="AF896">
        <v>6000</v>
      </c>
      <c r="AG896">
        <v>1000</v>
      </c>
      <c r="AH896">
        <v>1000</v>
      </c>
      <c r="AI896">
        <v>4000</v>
      </c>
      <c r="AJ896" t="s">
        <v>153</v>
      </c>
      <c r="AK896" t="s">
        <v>163</v>
      </c>
      <c r="AL896">
        <v>2000</v>
      </c>
      <c r="AM896" t="s">
        <v>82</v>
      </c>
      <c r="AN896" s="2">
        <f t="shared" si="91"/>
        <v>4.1081821294077372</v>
      </c>
      <c r="AO896">
        <f t="shared" si="92"/>
        <v>-4540.5</v>
      </c>
      <c r="AP896" s="2">
        <f t="shared" si="93"/>
        <v>0.24320946508915181</v>
      </c>
      <c r="AQ896" s="2">
        <f t="shared" si="97"/>
        <v>15</v>
      </c>
      <c r="AR896">
        <f t="shared" si="94"/>
        <v>45</v>
      </c>
      <c r="AS896" t="str">
        <f t="shared" si="95"/>
        <v>Low Claim Ratio</v>
      </c>
      <c r="AT896" t="str">
        <f t="shared" si="96"/>
        <v>Low Profit</v>
      </c>
    </row>
    <row r="897" spans="1:46" x14ac:dyDescent="0.2">
      <c r="A897">
        <v>156</v>
      </c>
      <c r="B897">
        <v>38</v>
      </c>
      <c r="C897">
        <v>231508</v>
      </c>
      <c r="D897" s="1">
        <v>40072</v>
      </c>
      <c r="E897" t="s">
        <v>83</v>
      </c>
      <c r="F897" t="s">
        <v>69</v>
      </c>
      <c r="G897">
        <v>500</v>
      </c>
      <c r="H897">
        <v>1367.99</v>
      </c>
      <c r="I897">
        <v>0</v>
      </c>
      <c r="J897">
        <v>462525</v>
      </c>
      <c r="K897" t="s">
        <v>41</v>
      </c>
      <c r="L897" t="s">
        <v>131</v>
      </c>
      <c r="M897" t="s">
        <v>84</v>
      </c>
      <c r="N897" t="s">
        <v>73</v>
      </c>
      <c r="O897" t="s">
        <v>74</v>
      </c>
      <c r="P897">
        <v>26500</v>
      </c>
      <c r="Q897">
        <v>0</v>
      </c>
      <c r="R897" s="1">
        <v>42052</v>
      </c>
      <c r="S897" t="s">
        <v>75</v>
      </c>
      <c r="T897" t="s">
        <v>86</v>
      </c>
      <c r="U897" t="s">
        <v>48</v>
      </c>
      <c r="V897" t="s">
        <v>99</v>
      </c>
      <c r="W897" t="s">
        <v>113</v>
      </c>
      <c r="X897" t="s">
        <v>127</v>
      </c>
      <c r="Y897" t="s">
        <v>1074</v>
      </c>
      <c r="Z897">
        <v>23</v>
      </c>
      <c r="AA897">
        <v>3</v>
      </c>
      <c r="AB897" t="s">
        <v>62</v>
      </c>
      <c r="AC897">
        <v>0</v>
      </c>
      <c r="AD897">
        <v>3</v>
      </c>
      <c r="AE897" t="s">
        <v>62</v>
      </c>
      <c r="AF897">
        <v>55200</v>
      </c>
      <c r="AG897">
        <v>11040</v>
      </c>
      <c r="AH897">
        <v>5520</v>
      </c>
      <c r="AI897">
        <v>38640</v>
      </c>
      <c r="AJ897" t="s">
        <v>54</v>
      </c>
      <c r="AK897" t="s">
        <v>55</v>
      </c>
      <c r="AL897">
        <v>1998</v>
      </c>
      <c r="AM897" t="s">
        <v>56</v>
      </c>
      <c r="AN897" s="2">
        <f t="shared" si="91"/>
        <v>40.321697017509258</v>
      </c>
      <c r="AO897">
        <f t="shared" si="92"/>
        <v>-53832.01</v>
      </c>
      <c r="AP897" s="2">
        <f t="shared" si="93"/>
        <v>2.4781978587344433E-2</v>
      </c>
      <c r="AQ897" s="2">
        <f t="shared" si="97"/>
        <v>17</v>
      </c>
      <c r="AR897">
        <f t="shared" si="94"/>
        <v>156</v>
      </c>
      <c r="AS897" t="str">
        <f t="shared" si="95"/>
        <v>High Claim Ratio</v>
      </c>
      <c r="AT897" t="str">
        <f t="shared" si="96"/>
        <v>High Profit</v>
      </c>
    </row>
    <row r="898" spans="1:46" x14ac:dyDescent="0.2">
      <c r="A898">
        <v>246</v>
      </c>
      <c r="B898">
        <v>45</v>
      </c>
      <c r="C898">
        <v>272910</v>
      </c>
      <c r="D898" s="1">
        <v>36384</v>
      </c>
      <c r="E898" t="s">
        <v>57</v>
      </c>
      <c r="F898" t="s">
        <v>40</v>
      </c>
      <c r="G898">
        <v>500</v>
      </c>
      <c r="H898">
        <v>1594.37</v>
      </c>
      <c r="I898">
        <v>0</v>
      </c>
      <c r="J898">
        <v>606283</v>
      </c>
      <c r="K898" t="s">
        <v>41</v>
      </c>
      <c r="L898" t="s">
        <v>92</v>
      </c>
      <c r="M898" t="s">
        <v>125</v>
      </c>
      <c r="N898" t="s">
        <v>73</v>
      </c>
      <c r="O898" t="s">
        <v>74</v>
      </c>
      <c r="P898">
        <v>0</v>
      </c>
      <c r="Q898">
        <v>0</v>
      </c>
      <c r="R898" s="1">
        <v>42022</v>
      </c>
      <c r="S898" t="s">
        <v>138</v>
      </c>
      <c r="T898" t="s">
        <v>62</v>
      </c>
      <c r="U898" t="s">
        <v>212</v>
      </c>
      <c r="V898" t="s">
        <v>93</v>
      </c>
      <c r="W898" t="s">
        <v>50</v>
      </c>
      <c r="X898" t="s">
        <v>65</v>
      </c>
      <c r="Y898" t="s">
        <v>1075</v>
      </c>
      <c r="Z898">
        <v>13</v>
      </c>
      <c r="AA898">
        <v>1</v>
      </c>
      <c r="AB898" t="s">
        <v>79</v>
      </c>
      <c r="AC898">
        <v>0</v>
      </c>
      <c r="AD898">
        <v>3</v>
      </c>
      <c r="AE898" t="s">
        <v>53</v>
      </c>
      <c r="AF898">
        <v>7260</v>
      </c>
      <c r="AG898">
        <v>660</v>
      </c>
      <c r="AH898">
        <v>1320</v>
      </c>
      <c r="AI898">
        <v>5280</v>
      </c>
      <c r="AJ898" t="s">
        <v>54</v>
      </c>
      <c r="AK898" t="s">
        <v>55</v>
      </c>
      <c r="AL898">
        <v>2008</v>
      </c>
      <c r="AM898" t="s">
        <v>82</v>
      </c>
      <c r="AN898" s="2">
        <f t="shared" si="91"/>
        <v>4.5506684969630875</v>
      </c>
      <c r="AO898">
        <f t="shared" si="92"/>
        <v>-5665.63</v>
      </c>
      <c r="AP898" s="2">
        <f t="shared" si="93"/>
        <v>0.21957994766561079</v>
      </c>
      <c r="AQ898" s="2">
        <f t="shared" si="97"/>
        <v>7</v>
      </c>
      <c r="AR898">
        <f t="shared" si="94"/>
        <v>246</v>
      </c>
      <c r="AS898" t="str">
        <f t="shared" si="95"/>
        <v>Low Claim Ratio</v>
      </c>
      <c r="AT898" t="str">
        <f t="shared" si="96"/>
        <v>High Profit</v>
      </c>
    </row>
    <row r="899" spans="1:46" x14ac:dyDescent="0.2">
      <c r="A899">
        <v>178</v>
      </c>
      <c r="B899">
        <v>39</v>
      </c>
      <c r="C899">
        <v>305758</v>
      </c>
      <c r="D899" s="1">
        <v>39880</v>
      </c>
      <c r="E899" t="s">
        <v>83</v>
      </c>
      <c r="F899" t="s">
        <v>69</v>
      </c>
      <c r="G899">
        <v>500</v>
      </c>
      <c r="H899">
        <v>1035.99</v>
      </c>
      <c r="I899">
        <v>0</v>
      </c>
      <c r="J899">
        <v>465252</v>
      </c>
      <c r="K899" t="s">
        <v>70</v>
      </c>
      <c r="L899" t="s">
        <v>161</v>
      </c>
      <c r="M899" t="s">
        <v>125</v>
      </c>
      <c r="N899" t="s">
        <v>44</v>
      </c>
      <c r="O899" t="s">
        <v>74</v>
      </c>
      <c r="P899">
        <v>0</v>
      </c>
      <c r="Q899">
        <v>0</v>
      </c>
      <c r="R899" s="1">
        <v>42021</v>
      </c>
      <c r="S899" t="s">
        <v>75</v>
      </c>
      <c r="T899" t="s">
        <v>86</v>
      </c>
      <c r="U899" t="s">
        <v>63</v>
      </c>
      <c r="V899" t="s">
        <v>49</v>
      </c>
      <c r="W899" t="s">
        <v>77</v>
      </c>
      <c r="X899" t="s">
        <v>102</v>
      </c>
      <c r="Y899" t="s">
        <v>1076</v>
      </c>
      <c r="Z899">
        <v>3</v>
      </c>
      <c r="AA899">
        <v>3</v>
      </c>
      <c r="AB899" t="s">
        <v>79</v>
      </c>
      <c r="AC899">
        <v>2</v>
      </c>
      <c r="AD899">
        <v>0</v>
      </c>
      <c r="AE899" t="s">
        <v>62</v>
      </c>
      <c r="AF899">
        <v>64680</v>
      </c>
      <c r="AG899">
        <v>11760</v>
      </c>
      <c r="AH899">
        <v>11760</v>
      </c>
      <c r="AI899">
        <v>41160</v>
      </c>
      <c r="AJ899" t="s">
        <v>197</v>
      </c>
      <c r="AK899" t="s">
        <v>198</v>
      </c>
      <c r="AL899">
        <v>2010</v>
      </c>
      <c r="AM899" t="s">
        <v>82</v>
      </c>
      <c r="AN899" s="2">
        <f t="shared" ref="AN899:AN962" si="98">AF899/(H899+1)</f>
        <v>62.372829053317773</v>
      </c>
      <c r="AO899">
        <f t="shared" ref="AO899:AO962" si="99">H899-AF899</f>
        <v>-63644.01</v>
      </c>
      <c r="AP899" s="2">
        <f t="shared" ref="AP899:AP962" si="100">H899/(AF899+1)</f>
        <v>1.6016913776843278E-2</v>
      </c>
      <c r="AQ899" s="2">
        <f t="shared" si="97"/>
        <v>5</v>
      </c>
      <c r="AR899">
        <f t="shared" ref="AR899:AR962" si="101">A899</f>
        <v>178</v>
      </c>
      <c r="AS899" t="str">
        <f t="shared" ref="AS899:AS962" si="102">IF(AN899&lt;5,"Low Claim Ratio",
 IF(AN899&lt;20,"Medium Claim Ratio",
 "High Claim Ratio"))</f>
        <v>High Claim Ratio</v>
      </c>
      <c r="AT899" t="str">
        <f t="shared" ref="AT899:AT962" si="103">IF(-AO899&lt;0,"Loss Making",
 IF(-AO899&lt;5000,"Low Profit",
 "High Profit"))</f>
        <v>High Profit</v>
      </c>
    </row>
    <row r="900" spans="1:46" x14ac:dyDescent="0.2">
      <c r="A900">
        <v>237</v>
      </c>
      <c r="B900">
        <v>43</v>
      </c>
      <c r="C900">
        <v>950542</v>
      </c>
      <c r="D900" s="1">
        <v>39930</v>
      </c>
      <c r="E900" t="s">
        <v>39</v>
      </c>
      <c r="F900" t="s">
        <v>40</v>
      </c>
      <c r="G900">
        <v>500</v>
      </c>
      <c r="H900">
        <v>911.53</v>
      </c>
      <c r="I900">
        <v>0</v>
      </c>
      <c r="J900">
        <v>449979</v>
      </c>
      <c r="K900" t="s">
        <v>70</v>
      </c>
      <c r="L900" t="s">
        <v>71</v>
      </c>
      <c r="M900" t="s">
        <v>72</v>
      </c>
      <c r="N900" t="s">
        <v>179</v>
      </c>
      <c r="O900" t="s">
        <v>45</v>
      </c>
      <c r="P900">
        <v>53200</v>
      </c>
      <c r="Q900">
        <v>0</v>
      </c>
      <c r="R900" s="1">
        <v>42060</v>
      </c>
      <c r="S900" t="s">
        <v>46</v>
      </c>
      <c r="T900" t="s">
        <v>76</v>
      </c>
      <c r="U900" t="s">
        <v>48</v>
      </c>
      <c r="V900" t="s">
        <v>49</v>
      </c>
      <c r="W900" t="s">
        <v>113</v>
      </c>
      <c r="X900" t="s">
        <v>156</v>
      </c>
      <c r="Y900" t="s">
        <v>1077</v>
      </c>
      <c r="Z900">
        <v>23</v>
      </c>
      <c r="AA900">
        <v>1</v>
      </c>
      <c r="AB900" t="s">
        <v>79</v>
      </c>
      <c r="AC900">
        <v>0</v>
      </c>
      <c r="AD900">
        <v>1</v>
      </c>
      <c r="AE900" t="s">
        <v>79</v>
      </c>
      <c r="AF900">
        <v>59200</v>
      </c>
      <c r="AG900">
        <v>0</v>
      </c>
      <c r="AH900">
        <v>11840</v>
      </c>
      <c r="AI900">
        <v>47360</v>
      </c>
      <c r="AJ900" t="s">
        <v>89</v>
      </c>
      <c r="AK900" t="s">
        <v>245</v>
      </c>
      <c r="AL900">
        <v>1998</v>
      </c>
      <c r="AM900" t="s">
        <v>82</v>
      </c>
      <c r="AN900" s="2">
        <f t="shared" si="98"/>
        <v>64.874579465880572</v>
      </c>
      <c r="AO900">
        <f t="shared" si="99"/>
        <v>-58288.47</v>
      </c>
      <c r="AP900" s="2">
        <f t="shared" si="100"/>
        <v>1.539720612827486E-2</v>
      </c>
      <c r="AQ900" s="2">
        <f t="shared" ref="AQ900:AQ963" si="104">YEAR(R900)-(AL900)</f>
        <v>17</v>
      </c>
      <c r="AR900">
        <f t="shared" si="101"/>
        <v>237</v>
      </c>
      <c r="AS900" t="str">
        <f t="shared" si="102"/>
        <v>High Claim Ratio</v>
      </c>
      <c r="AT900" t="str">
        <f t="shared" si="103"/>
        <v>High Profit</v>
      </c>
    </row>
    <row r="901" spans="1:46" x14ac:dyDescent="0.2">
      <c r="A901">
        <v>127</v>
      </c>
      <c r="B901">
        <v>34</v>
      </c>
      <c r="C901">
        <v>291544</v>
      </c>
      <c r="D901" s="1">
        <v>38931</v>
      </c>
      <c r="E901" t="s">
        <v>39</v>
      </c>
      <c r="F901" t="s">
        <v>91</v>
      </c>
      <c r="G901">
        <v>500</v>
      </c>
      <c r="H901">
        <v>1319.97</v>
      </c>
      <c r="I901">
        <v>0</v>
      </c>
      <c r="J901">
        <v>604681</v>
      </c>
      <c r="K901" t="s">
        <v>70</v>
      </c>
      <c r="L901" t="s">
        <v>92</v>
      </c>
      <c r="M901" t="s">
        <v>43</v>
      </c>
      <c r="N901" t="s">
        <v>165</v>
      </c>
      <c r="O901" t="s">
        <v>74</v>
      </c>
      <c r="P901">
        <v>73700</v>
      </c>
      <c r="Q901">
        <v>0</v>
      </c>
      <c r="R901" s="1">
        <v>42010</v>
      </c>
      <c r="S901" t="s">
        <v>61</v>
      </c>
      <c r="T901" t="s">
        <v>62</v>
      </c>
      <c r="U901" t="s">
        <v>63</v>
      </c>
      <c r="V901" t="s">
        <v>93</v>
      </c>
      <c r="W901" t="s">
        <v>121</v>
      </c>
      <c r="X901" t="s">
        <v>87</v>
      </c>
      <c r="Y901" t="s">
        <v>1078</v>
      </c>
      <c r="Z901">
        <v>8</v>
      </c>
      <c r="AA901">
        <v>1</v>
      </c>
      <c r="AB901" t="s">
        <v>53</v>
      </c>
      <c r="AC901">
        <v>1</v>
      </c>
      <c r="AD901">
        <v>3</v>
      </c>
      <c r="AE901" t="s">
        <v>62</v>
      </c>
      <c r="AF901">
        <v>4700</v>
      </c>
      <c r="AG901">
        <v>470</v>
      </c>
      <c r="AH901">
        <v>940</v>
      </c>
      <c r="AI901">
        <v>3290</v>
      </c>
      <c r="AJ901" t="s">
        <v>54</v>
      </c>
      <c r="AK901" t="s">
        <v>55</v>
      </c>
      <c r="AL901">
        <v>1998</v>
      </c>
      <c r="AM901" t="s">
        <v>82</v>
      </c>
      <c r="AN901" s="2">
        <f t="shared" si="98"/>
        <v>3.5579914759608471</v>
      </c>
      <c r="AO901">
        <f t="shared" si="99"/>
        <v>-3380.0299999999997</v>
      </c>
      <c r="AP901" s="2">
        <f t="shared" si="100"/>
        <v>0.28078493937460114</v>
      </c>
      <c r="AQ901" s="2">
        <f t="shared" si="104"/>
        <v>17</v>
      </c>
      <c r="AR901">
        <f t="shared" si="101"/>
        <v>127</v>
      </c>
      <c r="AS901" t="str">
        <f t="shared" si="102"/>
        <v>Low Claim Ratio</v>
      </c>
      <c r="AT901" t="str">
        <f t="shared" si="103"/>
        <v>Low Profit</v>
      </c>
    </row>
    <row r="902" spans="1:46" x14ac:dyDescent="0.2">
      <c r="A902">
        <v>1</v>
      </c>
      <c r="B902">
        <v>33</v>
      </c>
      <c r="C902">
        <v>388616</v>
      </c>
      <c r="D902" s="1">
        <v>35039</v>
      </c>
      <c r="E902" t="s">
        <v>39</v>
      </c>
      <c r="F902" t="s">
        <v>40</v>
      </c>
      <c r="G902">
        <v>2000</v>
      </c>
      <c r="H902">
        <v>1391.63</v>
      </c>
      <c r="I902">
        <v>0</v>
      </c>
      <c r="J902">
        <v>466390</v>
      </c>
      <c r="K902" t="s">
        <v>41</v>
      </c>
      <c r="L902" t="s">
        <v>92</v>
      </c>
      <c r="M902" t="s">
        <v>72</v>
      </c>
      <c r="N902" t="s">
        <v>181</v>
      </c>
      <c r="O902" t="s">
        <v>45</v>
      </c>
      <c r="P902">
        <v>61200</v>
      </c>
      <c r="Q902">
        <v>0</v>
      </c>
      <c r="R902" s="1">
        <v>42061</v>
      </c>
      <c r="S902" t="s">
        <v>46</v>
      </c>
      <c r="T902" t="s">
        <v>47</v>
      </c>
      <c r="U902" t="s">
        <v>107</v>
      </c>
      <c r="V902" t="s">
        <v>120</v>
      </c>
      <c r="W902" t="s">
        <v>77</v>
      </c>
      <c r="X902" t="s">
        <v>51</v>
      </c>
      <c r="Y902" t="s">
        <v>1079</v>
      </c>
      <c r="Z902">
        <v>23</v>
      </c>
      <c r="AA902">
        <v>1</v>
      </c>
      <c r="AB902" t="s">
        <v>53</v>
      </c>
      <c r="AC902">
        <v>0</v>
      </c>
      <c r="AD902">
        <v>3</v>
      </c>
      <c r="AE902" t="s">
        <v>79</v>
      </c>
      <c r="AF902">
        <v>69400</v>
      </c>
      <c r="AG902">
        <v>6940</v>
      </c>
      <c r="AH902">
        <v>6940</v>
      </c>
      <c r="AI902">
        <v>55520</v>
      </c>
      <c r="AJ902" t="s">
        <v>67</v>
      </c>
      <c r="AK902" t="s">
        <v>193</v>
      </c>
      <c r="AL902">
        <v>2000</v>
      </c>
      <c r="AM902" t="s">
        <v>82</v>
      </c>
      <c r="AN902" s="2">
        <f t="shared" si="98"/>
        <v>49.833767763153169</v>
      </c>
      <c r="AO902">
        <f t="shared" si="99"/>
        <v>-68008.37</v>
      </c>
      <c r="AP902" s="2">
        <f t="shared" si="100"/>
        <v>2.0052016541548395E-2</v>
      </c>
      <c r="AQ902" s="2">
        <f t="shared" si="104"/>
        <v>15</v>
      </c>
      <c r="AR902">
        <f t="shared" si="101"/>
        <v>1</v>
      </c>
      <c r="AS902" t="str">
        <f t="shared" si="102"/>
        <v>High Claim Ratio</v>
      </c>
      <c r="AT902" t="str">
        <f t="shared" si="103"/>
        <v>High Profit</v>
      </c>
    </row>
    <row r="903" spans="1:46" x14ac:dyDescent="0.2">
      <c r="A903">
        <v>5</v>
      </c>
      <c r="B903">
        <v>21</v>
      </c>
      <c r="C903">
        <v>577992</v>
      </c>
      <c r="D903" s="1">
        <v>37573</v>
      </c>
      <c r="E903" t="s">
        <v>57</v>
      </c>
      <c r="F903" t="s">
        <v>40</v>
      </c>
      <c r="G903">
        <v>500</v>
      </c>
      <c r="H903">
        <v>915.41</v>
      </c>
      <c r="I903">
        <v>5000000</v>
      </c>
      <c r="J903">
        <v>612316</v>
      </c>
      <c r="K903" t="s">
        <v>70</v>
      </c>
      <c r="L903" t="s">
        <v>131</v>
      </c>
      <c r="M903" t="s">
        <v>125</v>
      </c>
      <c r="N903" t="s">
        <v>44</v>
      </c>
      <c r="O903" t="s">
        <v>74</v>
      </c>
      <c r="P903">
        <v>0</v>
      </c>
      <c r="Q903">
        <v>0</v>
      </c>
      <c r="R903" s="1">
        <v>42046</v>
      </c>
      <c r="S903" t="s">
        <v>46</v>
      </c>
      <c r="T903" t="s">
        <v>47</v>
      </c>
      <c r="U903" t="s">
        <v>107</v>
      </c>
      <c r="V903" t="s">
        <v>49</v>
      </c>
      <c r="W903" t="s">
        <v>77</v>
      </c>
      <c r="X903" t="s">
        <v>156</v>
      </c>
      <c r="Y903" t="s">
        <v>1080</v>
      </c>
      <c r="Z903">
        <v>23</v>
      </c>
      <c r="AA903">
        <v>1</v>
      </c>
      <c r="AB903" t="s">
        <v>53</v>
      </c>
      <c r="AC903">
        <v>0</v>
      </c>
      <c r="AD903">
        <v>0</v>
      </c>
      <c r="AE903" t="s">
        <v>79</v>
      </c>
      <c r="AF903">
        <v>40500</v>
      </c>
      <c r="AG903">
        <v>4050</v>
      </c>
      <c r="AH903">
        <v>4050</v>
      </c>
      <c r="AI903">
        <v>32400</v>
      </c>
      <c r="AJ903" t="s">
        <v>104</v>
      </c>
      <c r="AK903" t="s">
        <v>105</v>
      </c>
      <c r="AL903">
        <v>1998</v>
      </c>
      <c r="AM903" t="s">
        <v>82</v>
      </c>
      <c r="AN903" s="2">
        <f t="shared" si="98"/>
        <v>44.194192555733785</v>
      </c>
      <c r="AO903">
        <f t="shared" si="99"/>
        <v>-39584.589999999997</v>
      </c>
      <c r="AP903" s="2">
        <f t="shared" si="100"/>
        <v>2.2602157971408111E-2</v>
      </c>
      <c r="AQ903" s="2">
        <f t="shared" si="104"/>
        <v>17</v>
      </c>
      <c r="AR903">
        <f t="shared" si="101"/>
        <v>5</v>
      </c>
      <c r="AS903" t="str">
        <f t="shared" si="102"/>
        <v>High Claim Ratio</v>
      </c>
      <c r="AT903" t="str">
        <f t="shared" si="103"/>
        <v>High Profit</v>
      </c>
    </row>
    <row r="904" spans="1:46" x14ac:dyDescent="0.2">
      <c r="A904">
        <v>64</v>
      </c>
      <c r="B904">
        <v>28</v>
      </c>
      <c r="C904">
        <v>342830</v>
      </c>
      <c r="D904" s="1">
        <v>33551</v>
      </c>
      <c r="E904" t="s">
        <v>83</v>
      </c>
      <c r="F904" t="s">
        <v>91</v>
      </c>
      <c r="G904">
        <v>1000</v>
      </c>
      <c r="H904">
        <v>1468.82</v>
      </c>
      <c r="I904">
        <v>0</v>
      </c>
      <c r="J904">
        <v>474731</v>
      </c>
      <c r="K904" t="s">
        <v>41</v>
      </c>
      <c r="L904" t="s">
        <v>161</v>
      </c>
      <c r="M904" t="s">
        <v>159</v>
      </c>
      <c r="N904" t="s">
        <v>132</v>
      </c>
      <c r="O904" t="s">
        <v>60</v>
      </c>
      <c r="P904">
        <v>56800</v>
      </c>
      <c r="Q904">
        <v>-51800</v>
      </c>
      <c r="R904" s="1">
        <v>42048</v>
      </c>
      <c r="S904" t="s">
        <v>75</v>
      </c>
      <c r="T904" t="s">
        <v>47</v>
      </c>
      <c r="U904" t="s">
        <v>63</v>
      </c>
      <c r="V904" t="s">
        <v>99</v>
      </c>
      <c r="W904" t="s">
        <v>50</v>
      </c>
      <c r="X904" t="s">
        <v>65</v>
      </c>
      <c r="Y904" t="s">
        <v>1081</v>
      </c>
      <c r="Z904">
        <v>9</v>
      </c>
      <c r="AA904">
        <v>3</v>
      </c>
      <c r="AB904" t="s">
        <v>79</v>
      </c>
      <c r="AC904">
        <v>2</v>
      </c>
      <c r="AD904">
        <v>1</v>
      </c>
      <c r="AE904" t="s">
        <v>79</v>
      </c>
      <c r="AF904">
        <v>60000</v>
      </c>
      <c r="AG904">
        <v>5000</v>
      </c>
      <c r="AH904">
        <v>10000</v>
      </c>
      <c r="AI904">
        <v>45000</v>
      </c>
      <c r="AJ904" t="s">
        <v>209</v>
      </c>
      <c r="AK904" t="s">
        <v>231</v>
      </c>
      <c r="AL904">
        <v>1997</v>
      </c>
      <c r="AM904" t="s">
        <v>82</v>
      </c>
      <c r="AN904" s="2">
        <f t="shared" si="98"/>
        <v>40.821325060211457</v>
      </c>
      <c r="AO904">
        <f t="shared" si="99"/>
        <v>-58531.18</v>
      </c>
      <c r="AP904" s="2">
        <f t="shared" si="100"/>
        <v>2.4479925334577757E-2</v>
      </c>
      <c r="AQ904" s="2">
        <f t="shared" si="104"/>
        <v>18</v>
      </c>
      <c r="AR904">
        <f t="shared" si="101"/>
        <v>64</v>
      </c>
      <c r="AS904" t="str">
        <f t="shared" si="102"/>
        <v>High Claim Ratio</v>
      </c>
      <c r="AT904" t="str">
        <f t="shared" si="103"/>
        <v>High Profit</v>
      </c>
    </row>
    <row r="905" spans="1:46" x14ac:dyDescent="0.2">
      <c r="A905">
        <v>142</v>
      </c>
      <c r="B905">
        <v>30</v>
      </c>
      <c r="C905">
        <v>491170</v>
      </c>
      <c r="D905" s="1">
        <v>35809</v>
      </c>
      <c r="E905" t="s">
        <v>57</v>
      </c>
      <c r="F905" t="s">
        <v>91</v>
      </c>
      <c r="G905">
        <v>500</v>
      </c>
      <c r="H905">
        <v>1412.76</v>
      </c>
      <c r="I905">
        <v>0</v>
      </c>
      <c r="J905">
        <v>603260</v>
      </c>
      <c r="K905" t="s">
        <v>41</v>
      </c>
      <c r="L905" t="s">
        <v>71</v>
      </c>
      <c r="M905" t="s">
        <v>84</v>
      </c>
      <c r="N905" t="s">
        <v>179</v>
      </c>
      <c r="O905" t="s">
        <v>119</v>
      </c>
      <c r="P905">
        <v>66400</v>
      </c>
      <c r="Q905">
        <v>-63700</v>
      </c>
      <c r="R905" s="1">
        <v>42014</v>
      </c>
      <c r="S905" t="s">
        <v>46</v>
      </c>
      <c r="T905" t="s">
        <v>47</v>
      </c>
      <c r="U905" t="s">
        <v>63</v>
      </c>
      <c r="V905" t="s">
        <v>120</v>
      </c>
      <c r="W905" t="s">
        <v>113</v>
      </c>
      <c r="X905" t="s">
        <v>65</v>
      </c>
      <c r="Y905" t="s">
        <v>1082</v>
      </c>
      <c r="Z905">
        <v>22</v>
      </c>
      <c r="AA905">
        <v>1</v>
      </c>
      <c r="AB905" t="s">
        <v>53</v>
      </c>
      <c r="AC905">
        <v>2</v>
      </c>
      <c r="AD905">
        <v>3</v>
      </c>
      <c r="AE905" t="s">
        <v>79</v>
      </c>
      <c r="AF905">
        <v>67320</v>
      </c>
      <c r="AG905">
        <v>11220</v>
      </c>
      <c r="AH905">
        <v>11220</v>
      </c>
      <c r="AI905">
        <v>44880</v>
      </c>
      <c r="AJ905" t="s">
        <v>214</v>
      </c>
      <c r="AK905" t="s">
        <v>258</v>
      </c>
      <c r="AL905">
        <v>1996</v>
      </c>
      <c r="AM905" t="s">
        <v>82</v>
      </c>
      <c r="AN905" s="2">
        <f t="shared" si="98"/>
        <v>47.617700316885468</v>
      </c>
      <c r="AO905">
        <f t="shared" si="99"/>
        <v>-65907.240000000005</v>
      </c>
      <c r="AP905" s="2">
        <f t="shared" si="100"/>
        <v>2.0985428023944978E-2</v>
      </c>
      <c r="AQ905" s="2">
        <f t="shared" si="104"/>
        <v>19</v>
      </c>
      <c r="AR905">
        <f t="shared" si="101"/>
        <v>142</v>
      </c>
      <c r="AS905" t="str">
        <f t="shared" si="102"/>
        <v>High Claim Ratio</v>
      </c>
      <c r="AT905" t="str">
        <f t="shared" si="103"/>
        <v>High Profit</v>
      </c>
    </row>
    <row r="906" spans="1:46" x14ac:dyDescent="0.2">
      <c r="A906">
        <v>97</v>
      </c>
      <c r="B906">
        <v>27</v>
      </c>
      <c r="C906">
        <v>175553</v>
      </c>
      <c r="D906" s="1">
        <v>37371</v>
      </c>
      <c r="E906" t="s">
        <v>39</v>
      </c>
      <c r="F906" t="s">
        <v>91</v>
      </c>
      <c r="G906">
        <v>500</v>
      </c>
      <c r="H906">
        <v>1588.26</v>
      </c>
      <c r="I906">
        <v>0</v>
      </c>
      <c r="J906">
        <v>434370</v>
      </c>
      <c r="K906" t="s">
        <v>70</v>
      </c>
      <c r="L906" t="s">
        <v>131</v>
      </c>
      <c r="M906" t="s">
        <v>97</v>
      </c>
      <c r="N906" t="s">
        <v>146</v>
      </c>
      <c r="O906" t="s">
        <v>45</v>
      </c>
      <c r="P906">
        <v>56700</v>
      </c>
      <c r="Q906">
        <v>-49300</v>
      </c>
      <c r="R906" s="1">
        <v>42028</v>
      </c>
      <c r="S906" t="s">
        <v>75</v>
      </c>
      <c r="T906" t="s">
        <v>47</v>
      </c>
      <c r="U906" t="s">
        <v>107</v>
      </c>
      <c r="V906" t="s">
        <v>120</v>
      </c>
      <c r="W906" t="s">
        <v>64</v>
      </c>
      <c r="X906" t="s">
        <v>65</v>
      </c>
      <c r="Y906" t="s">
        <v>1083</v>
      </c>
      <c r="Z906">
        <v>22</v>
      </c>
      <c r="AA906">
        <v>3</v>
      </c>
      <c r="AB906" t="s">
        <v>53</v>
      </c>
      <c r="AC906">
        <v>2</v>
      </c>
      <c r="AD906">
        <v>1</v>
      </c>
      <c r="AE906" t="s">
        <v>53</v>
      </c>
      <c r="AF906">
        <v>75690</v>
      </c>
      <c r="AG906">
        <v>8410</v>
      </c>
      <c r="AH906">
        <v>8410</v>
      </c>
      <c r="AI906">
        <v>58870</v>
      </c>
      <c r="AJ906" t="s">
        <v>54</v>
      </c>
      <c r="AK906">
        <v>95</v>
      </c>
      <c r="AL906">
        <v>2014</v>
      </c>
      <c r="AM906" t="s">
        <v>82</v>
      </c>
      <c r="AN906" s="2">
        <f t="shared" si="98"/>
        <v>47.625939116318285</v>
      </c>
      <c r="AO906">
        <f t="shared" si="99"/>
        <v>-74101.740000000005</v>
      </c>
      <c r="AP906" s="2">
        <f t="shared" si="100"/>
        <v>2.0983472275435653E-2</v>
      </c>
      <c r="AQ906" s="2">
        <f t="shared" si="104"/>
        <v>1</v>
      </c>
      <c r="AR906">
        <f t="shared" si="101"/>
        <v>97</v>
      </c>
      <c r="AS906" t="str">
        <f t="shared" si="102"/>
        <v>High Claim Ratio</v>
      </c>
      <c r="AT906" t="str">
        <f t="shared" si="103"/>
        <v>High Profit</v>
      </c>
    </row>
    <row r="907" spans="1:46" x14ac:dyDescent="0.2">
      <c r="A907">
        <v>121</v>
      </c>
      <c r="B907">
        <v>31</v>
      </c>
      <c r="C907">
        <v>439341</v>
      </c>
      <c r="D907" s="1">
        <v>33439</v>
      </c>
      <c r="E907" t="s">
        <v>57</v>
      </c>
      <c r="F907" t="s">
        <v>69</v>
      </c>
      <c r="G907">
        <v>1000</v>
      </c>
      <c r="H907">
        <v>1140.9100000000001</v>
      </c>
      <c r="I907">
        <v>0</v>
      </c>
      <c r="J907">
        <v>478388</v>
      </c>
      <c r="K907" t="s">
        <v>41</v>
      </c>
      <c r="L907" t="s">
        <v>92</v>
      </c>
      <c r="M907" t="s">
        <v>185</v>
      </c>
      <c r="N907" t="s">
        <v>165</v>
      </c>
      <c r="O907" t="s">
        <v>60</v>
      </c>
      <c r="P907">
        <v>51300</v>
      </c>
      <c r="Q907">
        <v>0</v>
      </c>
      <c r="R907" s="1">
        <v>42050</v>
      </c>
      <c r="S907" t="s">
        <v>75</v>
      </c>
      <c r="T907" t="s">
        <v>47</v>
      </c>
      <c r="U907" t="s">
        <v>48</v>
      </c>
      <c r="V907" t="s">
        <v>99</v>
      </c>
      <c r="W907" t="s">
        <v>64</v>
      </c>
      <c r="X907" t="s">
        <v>127</v>
      </c>
      <c r="Y907" t="s">
        <v>1084</v>
      </c>
      <c r="Z907">
        <v>15</v>
      </c>
      <c r="AA907">
        <v>3</v>
      </c>
      <c r="AB907" t="s">
        <v>79</v>
      </c>
      <c r="AC907">
        <v>1</v>
      </c>
      <c r="AD907">
        <v>2</v>
      </c>
      <c r="AE907" t="s">
        <v>62</v>
      </c>
      <c r="AF907">
        <v>64300</v>
      </c>
      <c r="AG907">
        <v>6430</v>
      </c>
      <c r="AH907">
        <v>6430</v>
      </c>
      <c r="AI907">
        <v>51440</v>
      </c>
      <c r="AJ907" t="s">
        <v>89</v>
      </c>
      <c r="AK907" t="s">
        <v>223</v>
      </c>
      <c r="AL907">
        <v>2002</v>
      </c>
      <c r="AM907" t="s">
        <v>56</v>
      </c>
      <c r="AN907" s="2">
        <f t="shared" si="98"/>
        <v>56.309166221506068</v>
      </c>
      <c r="AO907">
        <f t="shared" si="99"/>
        <v>-63159.09</v>
      </c>
      <c r="AP907" s="2">
        <f t="shared" si="100"/>
        <v>1.774326993359357E-2</v>
      </c>
      <c r="AQ907" s="2">
        <f t="shared" si="104"/>
        <v>13</v>
      </c>
      <c r="AR907">
        <f t="shared" si="101"/>
        <v>121</v>
      </c>
      <c r="AS907" t="str">
        <f t="shared" si="102"/>
        <v>High Claim Ratio</v>
      </c>
      <c r="AT907" t="str">
        <f t="shared" si="103"/>
        <v>High Profit</v>
      </c>
    </row>
    <row r="908" spans="1:46" x14ac:dyDescent="0.2">
      <c r="A908">
        <v>225</v>
      </c>
      <c r="B908">
        <v>43</v>
      </c>
      <c r="C908">
        <v>221186</v>
      </c>
      <c r="D908" s="1">
        <v>38212</v>
      </c>
      <c r="E908" t="s">
        <v>39</v>
      </c>
      <c r="F908" t="s">
        <v>69</v>
      </c>
      <c r="G908">
        <v>1000</v>
      </c>
      <c r="H908">
        <v>1517.54</v>
      </c>
      <c r="I908">
        <v>0</v>
      </c>
      <c r="J908">
        <v>617883</v>
      </c>
      <c r="K908" t="s">
        <v>41</v>
      </c>
      <c r="L908" t="s">
        <v>161</v>
      </c>
      <c r="M908" t="s">
        <v>117</v>
      </c>
      <c r="N908" t="s">
        <v>118</v>
      </c>
      <c r="O908" t="s">
        <v>74</v>
      </c>
      <c r="P908">
        <v>0</v>
      </c>
      <c r="Q908">
        <v>-20900</v>
      </c>
      <c r="R908" s="1">
        <v>42013</v>
      </c>
      <c r="S908" t="s">
        <v>75</v>
      </c>
      <c r="T908" t="s">
        <v>76</v>
      </c>
      <c r="U908" t="s">
        <v>48</v>
      </c>
      <c r="V908" t="s">
        <v>49</v>
      </c>
      <c r="W908" t="s">
        <v>50</v>
      </c>
      <c r="X908" t="s">
        <v>51</v>
      </c>
      <c r="Y908" t="s">
        <v>1085</v>
      </c>
      <c r="Z908">
        <v>16</v>
      </c>
      <c r="AA908">
        <v>3</v>
      </c>
      <c r="AB908" t="s">
        <v>79</v>
      </c>
      <c r="AC908">
        <v>2</v>
      </c>
      <c r="AD908">
        <v>0</v>
      </c>
      <c r="AE908" t="s">
        <v>53</v>
      </c>
      <c r="AF908">
        <v>64400</v>
      </c>
      <c r="AG908">
        <v>6440</v>
      </c>
      <c r="AH908">
        <v>6440</v>
      </c>
      <c r="AI908">
        <v>51520</v>
      </c>
      <c r="AJ908" t="s">
        <v>187</v>
      </c>
      <c r="AK908" t="s">
        <v>203</v>
      </c>
      <c r="AL908">
        <v>2011</v>
      </c>
      <c r="AM908" t="s">
        <v>82</v>
      </c>
      <c r="AN908" s="2">
        <f t="shared" si="98"/>
        <v>42.409156163156716</v>
      </c>
      <c r="AO908">
        <f t="shared" si="99"/>
        <v>-62882.46</v>
      </c>
      <c r="AP908" s="2">
        <f t="shared" si="100"/>
        <v>2.3563919814909705E-2</v>
      </c>
      <c r="AQ908" s="2">
        <f t="shared" si="104"/>
        <v>4</v>
      </c>
      <c r="AR908">
        <f t="shared" si="101"/>
        <v>225</v>
      </c>
      <c r="AS908" t="str">
        <f t="shared" si="102"/>
        <v>High Claim Ratio</v>
      </c>
      <c r="AT908" t="str">
        <f t="shared" si="103"/>
        <v>High Profit</v>
      </c>
    </row>
    <row r="909" spans="1:46" x14ac:dyDescent="0.2">
      <c r="A909">
        <v>425</v>
      </c>
      <c r="B909">
        <v>53</v>
      </c>
      <c r="C909">
        <v>868031</v>
      </c>
      <c r="D909" s="1">
        <v>33048</v>
      </c>
      <c r="E909" t="s">
        <v>39</v>
      </c>
      <c r="F909" t="s">
        <v>40</v>
      </c>
      <c r="G909">
        <v>2000</v>
      </c>
      <c r="H909">
        <v>912.29</v>
      </c>
      <c r="I909">
        <v>0</v>
      </c>
      <c r="J909">
        <v>464808</v>
      </c>
      <c r="K909" t="s">
        <v>70</v>
      </c>
      <c r="L909" t="s">
        <v>131</v>
      </c>
      <c r="M909" t="s">
        <v>117</v>
      </c>
      <c r="N909" t="s">
        <v>165</v>
      </c>
      <c r="O909" t="s">
        <v>45</v>
      </c>
      <c r="P909">
        <v>42900</v>
      </c>
      <c r="Q909">
        <v>-39100</v>
      </c>
      <c r="R909" s="1">
        <v>42035</v>
      </c>
      <c r="S909" t="s">
        <v>75</v>
      </c>
      <c r="T909" t="s">
        <v>86</v>
      </c>
      <c r="U909" t="s">
        <v>63</v>
      </c>
      <c r="V909" t="s">
        <v>99</v>
      </c>
      <c r="W909" t="s">
        <v>113</v>
      </c>
      <c r="X909" t="s">
        <v>127</v>
      </c>
      <c r="Y909" t="s">
        <v>1086</v>
      </c>
      <c r="Z909">
        <v>17</v>
      </c>
      <c r="AA909">
        <v>3</v>
      </c>
      <c r="AB909" t="s">
        <v>62</v>
      </c>
      <c r="AC909">
        <v>1</v>
      </c>
      <c r="AD909">
        <v>2</v>
      </c>
      <c r="AE909" t="s">
        <v>62</v>
      </c>
      <c r="AF909">
        <v>97080</v>
      </c>
      <c r="AG909">
        <v>16180</v>
      </c>
      <c r="AH909">
        <v>16180</v>
      </c>
      <c r="AI909">
        <v>64720</v>
      </c>
      <c r="AJ909" t="s">
        <v>54</v>
      </c>
      <c r="AK909" t="s">
        <v>55</v>
      </c>
      <c r="AL909">
        <v>2005</v>
      </c>
      <c r="AM909" t="s">
        <v>82</v>
      </c>
      <c r="AN909" s="2">
        <f t="shared" si="98"/>
        <v>106.29701409190947</v>
      </c>
      <c r="AO909">
        <f t="shared" si="99"/>
        <v>-96167.71</v>
      </c>
      <c r="AP909" s="2">
        <f t="shared" si="100"/>
        <v>9.3972043963288388E-3</v>
      </c>
      <c r="AQ909" s="2">
        <f t="shared" si="104"/>
        <v>10</v>
      </c>
      <c r="AR909">
        <f t="shared" si="101"/>
        <v>425</v>
      </c>
      <c r="AS909" t="str">
        <f t="shared" si="102"/>
        <v>High Claim Ratio</v>
      </c>
      <c r="AT909" t="str">
        <f t="shared" si="103"/>
        <v>High Profit</v>
      </c>
    </row>
    <row r="910" spans="1:46" x14ac:dyDescent="0.2">
      <c r="A910">
        <v>285</v>
      </c>
      <c r="B910">
        <v>44</v>
      </c>
      <c r="C910">
        <v>844117</v>
      </c>
      <c r="D910" s="1">
        <v>33471</v>
      </c>
      <c r="E910" t="s">
        <v>39</v>
      </c>
      <c r="F910" t="s">
        <v>40</v>
      </c>
      <c r="G910">
        <v>2000</v>
      </c>
      <c r="H910">
        <v>1144.3</v>
      </c>
      <c r="I910">
        <v>0</v>
      </c>
      <c r="J910">
        <v>609458</v>
      </c>
      <c r="K910" t="s">
        <v>41</v>
      </c>
      <c r="L910" t="s">
        <v>42</v>
      </c>
      <c r="M910" t="s">
        <v>117</v>
      </c>
      <c r="N910" t="s">
        <v>106</v>
      </c>
      <c r="O910" t="s">
        <v>142</v>
      </c>
      <c r="P910">
        <v>52600</v>
      </c>
      <c r="Q910">
        <v>0</v>
      </c>
      <c r="R910" s="1">
        <v>42039</v>
      </c>
      <c r="S910" t="s">
        <v>61</v>
      </c>
      <c r="T910" t="s">
        <v>62</v>
      </c>
      <c r="U910" t="s">
        <v>63</v>
      </c>
      <c r="V910" t="s">
        <v>49</v>
      </c>
      <c r="W910" t="s">
        <v>113</v>
      </c>
      <c r="X910" t="s">
        <v>156</v>
      </c>
      <c r="Y910" t="s">
        <v>1087</v>
      </c>
      <c r="Z910">
        <v>3</v>
      </c>
      <c r="AA910">
        <v>1</v>
      </c>
      <c r="AB910" t="s">
        <v>53</v>
      </c>
      <c r="AC910">
        <v>1</v>
      </c>
      <c r="AD910">
        <v>0</v>
      </c>
      <c r="AE910" t="s">
        <v>62</v>
      </c>
      <c r="AF910">
        <v>5500</v>
      </c>
      <c r="AG910">
        <v>500</v>
      </c>
      <c r="AH910">
        <v>500</v>
      </c>
      <c r="AI910">
        <v>4500</v>
      </c>
      <c r="AJ910" t="s">
        <v>209</v>
      </c>
      <c r="AK910" t="s">
        <v>210</v>
      </c>
      <c r="AL910">
        <v>2010</v>
      </c>
      <c r="AM910" t="s">
        <v>82</v>
      </c>
      <c r="AN910" s="2">
        <f t="shared" si="98"/>
        <v>4.8022352222125209</v>
      </c>
      <c r="AO910">
        <f t="shared" si="99"/>
        <v>-4355.7</v>
      </c>
      <c r="AP910" s="2">
        <f t="shared" si="100"/>
        <v>0.20801672423195783</v>
      </c>
      <c r="AQ910" s="2">
        <f t="shared" si="104"/>
        <v>5</v>
      </c>
      <c r="AR910">
        <f t="shared" si="101"/>
        <v>285</v>
      </c>
      <c r="AS910" t="str">
        <f t="shared" si="102"/>
        <v>Low Claim Ratio</v>
      </c>
      <c r="AT910" t="str">
        <f t="shared" si="103"/>
        <v>Low Profit</v>
      </c>
    </row>
    <row r="911" spans="1:46" x14ac:dyDescent="0.2">
      <c r="A911">
        <v>192</v>
      </c>
      <c r="B911">
        <v>38</v>
      </c>
      <c r="C911">
        <v>744557</v>
      </c>
      <c r="D911" s="1">
        <v>40599</v>
      </c>
      <c r="E911" t="s">
        <v>57</v>
      </c>
      <c r="F911" t="s">
        <v>91</v>
      </c>
      <c r="G911">
        <v>1000</v>
      </c>
      <c r="H911">
        <v>1281.43</v>
      </c>
      <c r="I911">
        <v>0</v>
      </c>
      <c r="J911">
        <v>432405</v>
      </c>
      <c r="K911" t="s">
        <v>70</v>
      </c>
      <c r="L911" t="s">
        <v>124</v>
      </c>
      <c r="M911" t="s">
        <v>145</v>
      </c>
      <c r="N911" t="s">
        <v>132</v>
      </c>
      <c r="O911" t="s">
        <v>142</v>
      </c>
      <c r="P911">
        <v>65100</v>
      </c>
      <c r="Q911">
        <v>-50300</v>
      </c>
      <c r="R911" s="1">
        <v>42034</v>
      </c>
      <c r="S911" t="s">
        <v>75</v>
      </c>
      <c r="T911" t="s">
        <v>76</v>
      </c>
      <c r="U911" t="s">
        <v>107</v>
      </c>
      <c r="V911" t="s">
        <v>120</v>
      </c>
      <c r="W911" t="s">
        <v>50</v>
      </c>
      <c r="X911" t="s">
        <v>127</v>
      </c>
      <c r="Y911" t="s">
        <v>1088</v>
      </c>
      <c r="Z911">
        <v>10</v>
      </c>
      <c r="AA911">
        <v>3</v>
      </c>
      <c r="AB911" t="s">
        <v>62</v>
      </c>
      <c r="AC911">
        <v>0</v>
      </c>
      <c r="AD911">
        <v>2</v>
      </c>
      <c r="AE911" t="s">
        <v>79</v>
      </c>
      <c r="AF911">
        <v>30700</v>
      </c>
      <c r="AG911">
        <v>3070</v>
      </c>
      <c r="AH911">
        <v>6140</v>
      </c>
      <c r="AI911">
        <v>21490</v>
      </c>
      <c r="AJ911" t="s">
        <v>197</v>
      </c>
      <c r="AK911" t="s">
        <v>198</v>
      </c>
      <c r="AL911">
        <v>2010</v>
      </c>
      <c r="AM911" t="s">
        <v>82</v>
      </c>
      <c r="AN911" s="2">
        <f t="shared" si="98"/>
        <v>23.938928440538664</v>
      </c>
      <c r="AO911">
        <f t="shared" si="99"/>
        <v>-29418.57</v>
      </c>
      <c r="AP911" s="2">
        <f t="shared" si="100"/>
        <v>4.1739031301911991E-2</v>
      </c>
      <c r="AQ911" s="2">
        <f t="shared" si="104"/>
        <v>5</v>
      </c>
      <c r="AR911">
        <f t="shared" si="101"/>
        <v>192</v>
      </c>
      <c r="AS911" t="str">
        <f t="shared" si="102"/>
        <v>High Claim Ratio</v>
      </c>
      <c r="AT911" t="str">
        <f t="shared" si="103"/>
        <v>High Profit</v>
      </c>
    </row>
    <row r="912" spans="1:46" x14ac:dyDescent="0.2">
      <c r="A912">
        <v>285</v>
      </c>
      <c r="B912">
        <v>48</v>
      </c>
      <c r="C912">
        <v>159536</v>
      </c>
      <c r="D912" s="1">
        <v>41309</v>
      </c>
      <c r="E912" t="s">
        <v>83</v>
      </c>
      <c r="F912" t="s">
        <v>69</v>
      </c>
      <c r="G912">
        <v>2000</v>
      </c>
      <c r="H912">
        <v>1101.8499999999999</v>
      </c>
      <c r="I912">
        <v>0</v>
      </c>
      <c r="J912">
        <v>457875</v>
      </c>
      <c r="K912" t="s">
        <v>70</v>
      </c>
      <c r="L912" t="s">
        <v>141</v>
      </c>
      <c r="M912" t="s">
        <v>72</v>
      </c>
      <c r="N912" t="s">
        <v>126</v>
      </c>
      <c r="O912" t="s">
        <v>119</v>
      </c>
      <c r="P912">
        <v>46100</v>
      </c>
      <c r="Q912">
        <v>0</v>
      </c>
      <c r="R912" s="1">
        <v>42062</v>
      </c>
      <c r="S912" t="s">
        <v>46</v>
      </c>
      <c r="T912" t="s">
        <v>47</v>
      </c>
      <c r="U912" t="s">
        <v>63</v>
      </c>
      <c r="V912" t="s">
        <v>49</v>
      </c>
      <c r="W912" t="s">
        <v>175</v>
      </c>
      <c r="X912" t="s">
        <v>102</v>
      </c>
      <c r="Y912" t="s">
        <v>1089</v>
      </c>
      <c r="Z912">
        <v>9</v>
      </c>
      <c r="AA912">
        <v>1</v>
      </c>
      <c r="AB912" t="s">
        <v>79</v>
      </c>
      <c r="AC912">
        <v>1</v>
      </c>
      <c r="AD912">
        <v>2</v>
      </c>
      <c r="AE912" t="s">
        <v>53</v>
      </c>
      <c r="AF912">
        <v>33480</v>
      </c>
      <c r="AG912">
        <v>3720</v>
      </c>
      <c r="AH912">
        <v>3720</v>
      </c>
      <c r="AI912">
        <v>26040</v>
      </c>
      <c r="AJ912" t="s">
        <v>104</v>
      </c>
      <c r="AK912" t="s">
        <v>105</v>
      </c>
      <c r="AL912">
        <v>2012</v>
      </c>
      <c r="AM912" t="s">
        <v>82</v>
      </c>
      <c r="AN912" s="2">
        <f t="shared" si="98"/>
        <v>30.357709570657843</v>
      </c>
      <c r="AO912">
        <f t="shared" si="99"/>
        <v>-32378.15</v>
      </c>
      <c r="AP912" s="2">
        <f t="shared" si="100"/>
        <v>3.2909709984767478E-2</v>
      </c>
      <c r="AQ912" s="2">
        <f t="shared" si="104"/>
        <v>3</v>
      </c>
      <c r="AR912">
        <f t="shared" si="101"/>
        <v>285</v>
      </c>
      <c r="AS912" t="str">
        <f t="shared" si="102"/>
        <v>High Claim Ratio</v>
      </c>
      <c r="AT912" t="str">
        <f t="shared" si="103"/>
        <v>High Profit</v>
      </c>
    </row>
    <row r="913" spans="1:46" x14ac:dyDescent="0.2">
      <c r="A913">
        <v>98</v>
      </c>
      <c r="B913">
        <v>26</v>
      </c>
      <c r="C913">
        <v>727109</v>
      </c>
      <c r="D913" s="1">
        <v>36942</v>
      </c>
      <c r="E913" t="s">
        <v>57</v>
      </c>
      <c r="F913" t="s">
        <v>91</v>
      </c>
      <c r="G913">
        <v>2000</v>
      </c>
      <c r="H913">
        <v>1082.0999999999999</v>
      </c>
      <c r="I913">
        <v>0</v>
      </c>
      <c r="J913">
        <v>477268</v>
      </c>
      <c r="K913" t="s">
        <v>41</v>
      </c>
      <c r="L913" t="s">
        <v>161</v>
      </c>
      <c r="M913" t="s">
        <v>125</v>
      </c>
      <c r="N913" t="s">
        <v>170</v>
      </c>
      <c r="O913" t="s">
        <v>60</v>
      </c>
      <c r="P913">
        <v>0</v>
      </c>
      <c r="Q913">
        <v>-30900</v>
      </c>
      <c r="R913" s="1">
        <v>42040</v>
      </c>
      <c r="S913" t="s">
        <v>75</v>
      </c>
      <c r="T913" t="s">
        <v>86</v>
      </c>
      <c r="U913" t="s">
        <v>107</v>
      </c>
      <c r="V913" t="s">
        <v>49</v>
      </c>
      <c r="W913" t="s">
        <v>113</v>
      </c>
      <c r="X913" t="s">
        <v>127</v>
      </c>
      <c r="Y913" t="s">
        <v>1090</v>
      </c>
      <c r="Z913">
        <v>13</v>
      </c>
      <c r="AA913">
        <v>2</v>
      </c>
      <c r="AB913" t="s">
        <v>62</v>
      </c>
      <c r="AC913">
        <v>0</v>
      </c>
      <c r="AD913">
        <v>1</v>
      </c>
      <c r="AE913" t="s">
        <v>53</v>
      </c>
      <c r="AF913">
        <v>65430</v>
      </c>
      <c r="AG913">
        <v>14540</v>
      </c>
      <c r="AH913">
        <v>7270</v>
      </c>
      <c r="AI913">
        <v>43620</v>
      </c>
      <c r="AJ913" t="s">
        <v>197</v>
      </c>
      <c r="AK913" t="s">
        <v>198</v>
      </c>
      <c r="AL913">
        <v>2001</v>
      </c>
      <c r="AM913" t="s">
        <v>82</v>
      </c>
      <c r="AN913" s="2">
        <f t="shared" si="98"/>
        <v>60.409934447419452</v>
      </c>
      <c r="AO913">
        <f t="shared" si="99"/>
        <v>-64347.9</v>
      </c>
      <c r="AP913" s="2">
        <f t="shared" si="100"/>
        <v>1.6538032431110634E-2</v>
      </c>
      <c r="AQ913" s="2">
        <f t="shared" si="104"/>
        <v>14</v>
      </c>
      <c r="AR913">
        <f t="shared" si="101"/>
        <v>98</v>
      </c>
      <c r="AS913" t="str">
        <f t="shared" si="102"/>
        <v>High Claim Ratio</v>
      </c>
      <c r="AT913" t="str">
        <f t="shared" si="103"/>
        <v>High Profit</v>
      </c>
    </row>
    <row r="914" spans="1:46" x14ac:dyDescent="0.2">
      <c r="A914">
        <v>175</v>
      </c>
      <c r="B914">
        <v>36</v>
      </c>
      <c r="C914">
        <v>155604</v>
      </c>
      <c r="D914" s="1">
        <v>33666</v>
      </c>
      <c r="E914" t="s">
        <v>39</v>
      </c>
      <c r="F914" t="s">
        <v>91</v>
      </c>
      <c r="G914">
        <v>500</v>
      </c>
      <c r="H914">
        <v>1185.44</v>
      </c>
      <c r="I914">
        <v>0</v>
      </c>
      <c r="J914">
        <v>437580</v>
      </c>
      <c r="K914" t="s">
        <v>41</v>
      </c>
      <c r="L914" t="s">
        <v>124</v>
      </c>
      <c r="M914" t="s">
        <v>125</v>
      </c>
      <c r="N914" t="s">
        <v>170</v>
      </c>
      <c r="O914" t="s">
        <v>142</v>
      </c>
      <c r="P914">
        <v>44900</v>
      </c>
      <c r="Q914">
        <v>-52500</v>
      </c>
      <c r="R914" s="1">
        <v>42034</v>
      </c>
      <c r="S914" t="s">
        <v>75</v>
      </c>
      <c r="T914" t="s">
        <v>76</v>
      </c>
      <c r="U914" t="s">
        <v>48</v>
      </c>
      <c r="V914" t="s">
        <v>49</v>
      </c>
      <c r="W914" t="s">
        <v>121</v>
      </c>
      <c r="X914" t="s">
        <v>127</v>
      </c>
      <c r="Y914" t="s">
        <v>1091</v>
      </c>
      <c r="Z914">
        <v>15</v>
      </c>
      <c r="AA914">
        <v>3</v>
      </c>
      <c r="AB914" t="s">
        <v>53</v>
      </c>
      <c r="AC914">
        <v>2</v>
      </c>
      <c r="AD914">
        <v>1</v>
      </c>
      <c r="AE914" t="s">
        <v>53</v>
      </c>
      <c r="AF914">
        <v>42680</v>
      </c>
      <c r="AG914">
        <v>3880</v>
      </c>
      <c r="AH914">
        <v>7760</v>
      </c>
      <c r="AI914">
        <v>31040</v>
      </c>
      <c r="AJ914" t="s">
        <v>95</v>
      </c>
      <c r="AK914" t="s">
        <v>96</v>
      </c>
      <c r="AL914">
        <v>2006</v>
      </c>
      <c r="AM914" t="s">
        <v>56</v>
      </c>
      <c r="AN914" s="2">
        <f t="shared" si="98"/>
        <v>35.973163413236236</v>
      </c>
      <c r="AO914">
        <f t="shared" si="99"/>
        <v>-41494.559999999998</v>
      </c>
      <c r="AP914" s="2">
        <f t="shared" si="100"/>
        <v>2.7774419530938826E-2</v>
      </c>
      <c r="AQ914" s="2">
        <f t="shared" si="104"/>
        <v>9</v>
      </c>
      <c r="AR914">
        <f t="shared" si="101"/>
        <v>175</v>
      </c>
      <c r="AS914" t="str">
        <f t="shared" si="102"/>
        <v>High Claim Ratio</v>
      </c>
      <c r="AT914" t="str">
        <f t="shared" si="103"/>
        <v>High Profit</v>
      </c>
    </row>
    <row r="915" spans="1:46" x14ac:dyDescent="0.2">
      <c r="A915">
        <v>259</v>
      </c>
      <c r="B915">
        <v>45</v>
      </c>
      <c r="C915">
        <v>608443</v>
      </c>
      <c r="D915" s="1">
        <v>39072</v>
      </c>
      <c r="E915" t="s">
        <v>83</v>
      </c>
      <c r="F915" t="s">
        <v>91</v>
      </c>
      <c r="G915">
        <v>2000</v>
      </c>
      <c r="H915">
        <v>1175.07</v>
      </c>
      <c r="I915">
        <v>0</v>
      </c>
      <c r="J915">
        <v>457121</v>
      </c>
      <c r="K915" t="s">
        <v>41</v>
      </c>
      <c r="L915" t="s">
        <v>42</v>
      </c>
      <c r="M915" t="s">
        <v>43</v>
      </c>
      <c r="N915" t="s">
        <v>146</v>
      </c>
      <c r="O915" t="s">
        <v>142</v>
      </c>
      <c r="P915">
        <v>30100</v>
      </c>
      <c r="Q915">
        <v>0</v>
      </c>
      <c r="R915" s="1">
        <v>42007</v>
      </c>
      <c r="S915" t="s">
        <v>46</v>
      </c>
      <c r="T915" t="s">
        <v>47</v>
      </c>
      <c r="U915" t="s">
        <v>63</v>
      </c>
      <c r="V915" t="s">
        <v>99</v>
      </c>
      <c r="W915" t="s">
        <v>113</v>
      </c>
      <c r="X915" t="s">
        <v>102</v>
      </c>
      <c r="Y915" t="s">
        <v>1092</v>
      </c>
      <c r="Z915">
        <v>23</v>
      </c>
      <c r="AA915">
        <v>1</v>
      </c>
      <c r="AB915" t="s">
        <v>62</v>
      </c>
      <c r="AC915">
        <v>1</v>
      </c>
      <c r="AD915">
        <v>1</v>
      </c>
      <c r="AE915" t="s">
        <v>79</v>
      </c>
      <c r="AF915">
        <v>87780</v>
      </c>
      <c r="AG915">
        <v>7980</v>
      </c>
      <c r="AH915">
        <v>7980</v>
      </c>
      <c r="AI915">
        <v>71820</v>
      </c>
      <c r="AJ915" t="s">
        <v>209</v>
      </c>
      <c r="AK915" t="s">
        <v>225</v>
      </c>
      <c r="AL915">
        <v>2011</v>
      </c>
      <c r="AM915" t="s">
        <v>82</v>
      </c>
      <c r="AN915" s="2">
        <f t="shared" si="98"/>
        <v>74.638414380096421</v>
      </c>
      <c r="AO915">
        <f t="shared" si="99"/>
        <v>-86604.93</v>
      </c>
      <c r="AP915" s="2">
        <f t="shared" si="100"/>
        <v>1.3386382018887914E-2</v>
      </c>
      <c r="AQ915" s="2">
        <f t="shared" si="104"/>
        <v>4</v>
      </c>
      <c r="AR915">
        <f t="shared" si="101"/>
        <v>259</v>
      </c>
      <c r="AS915" t="str">
        <f t="shared" si="102"/>
        <v>High Claim Ratio</v>
      </c>
      <c r="AT915" t="str">
        <f t="shared" si="103"/>
        <v>High Profit</v>
      </c>
    </row>
    <row r="916" spans="1:46" x14ac:dyDescent="0.2">
      <c r="A916">
        <v>140</v>
      </c>
      <c r="B916">
        <v>36</v>
      </c>
      <c r="C916">
        <v>117862</v>
      </c>
      <c r="D916" s="1">
        <v>36721</v>
      </c>
      <c r="E916" t="s">
        <v>39</v>
      </c>
      <c r="F916" t="s">
        <v>91</v>
      </c>
      <c r="G916">
        <v>2000</v>
      </c>
      <c r="H916">
        <v>979.26</v>
      </c>
      <c r="I916">
        <v>0</v>
      </c>
      <c r="J916">
        <v>436364</v>
      </c>
      <c r="K916" t="s">
        <v>70</v>
      </c>
      <c r="L916" t="s">
        <v>161</v>
      </c>
      <c r="M916" t="s">
        <v>145</v>
      </c>
      <c r="N916" t="s">
        <v>242</v>
      </c>
      <c r="O916" t="s">
        <v>74</v>
      </c>
      <c r="P916">
        <v>0</v>
      </c>
      <c r="Q916">
        <v>-67000</v>
      </c>
      <c r="R916" s="1">
        <v>42064</v>
      </c>
      <c r="S916" t="s">
        <v>75</v>
      </c>
      <c r="T916" t="s">
        <v>86</v>
      </c>
      <c r="U916" t="s">
        <v>48</v>
      </c>
      <c r="V916" t="s">
        <v>99</v>
      </c>
      <c r="W916" t="s">
        <v>77</v>
      </c>
      <c r="X916" t="s">
        <v>65</v>
      </c>
      <c r="Y916" t="s">
        <v>1093</v>
      </c>
      <c r="Z916">
        <v>2</v>
      </c>
      <c r="AA916">
        <v>4</v>
      </c>
      <c r="AB916" t="s">
        <v>53</v>
      </c>
      <c r="AC916">
        <v>0</v>
      </c>
      <c r="AD916">
        <v>2</v>
      </c>
      <c r="AE916" t="s">
        <v>53</v>
      </c>
      <c r="AF916">
        <v>72800</v>
      </c>
      <c r="AG916">
        <v>14560</v>
      </c>
      <c r="AH916">
        <v>14560</v>
      </c>
      <c r="AI916">
        <v>43680</v>
      </c>
      <c r="AJ916" t="s">
        <v>209</v>
      </c>
      <c r="AK916" t="s">
        <v>231</v>
      </c>
      <c r="AL916">
        <v>1998</v>
      </c>
      <c r="AM916" t="s">
        <v>82</v>
      </c>
      <c r="AN916" s="2">
        <f t="shared" si="98"/>
        <v>74.266011058290658</v>
      </c>
      <c r="AO916">
        <f t="shared" si="99"/>
        <v>-71820.740000000005</v>
      </c>
      <c r="AP916" s="2">
        <f t="shared" si="100"/>
        <v>1.3451188857295916E-2</v>
      </c>
      <c r="AQ916" s="2">
        <f t="shared" si="104"/>
        <v>17</v>
      </c>
      <c r="AR916">
        <f t="shared" si="101"/>
        <v>140</v>
      </c>
      <c r="AS916" t="str">
        <f t="shared" si="102"/>
        <v>High Claim Ratio</v>
      </c>
      <c r="AT916" t="str">
        <f t="shared" si="103"/>
        <v>High Profit</v>
      </c>
    </row>
    <row r="917" spans="1:46" x14ac:dyDescent="0.2">
      <c r="A917">
        <v>231</v>
      </c>
      <c r="B917">
        <v>37</v>
      </c>
      <c r="C917">
        <v>991553</v>
      </c>
      <c r="D917" s="1">
        <v>33584</v>
      </c>
      <c r="E917" t="s">
        <v>39</v>
      </c>
      <c r="F917" t="s">
        <v>40</v>
      </c>
      <c r="G917">
        <v>500</v>
      </c>
      <c r="H917">
        <v>920.81</v>
      </c>
      <c r="I917">
        <v>0</v>
      </c>
      <c r="J917">
        <v>467654</v>
      </c>
      <c r="K917" t="s">
        <v>70</v>
      </c>
      <c r="L917" t="s">
        <v>131</v>
      </c>
      <c r="M917" t="s">
        <v>72</v>
      </c>
      <c r="N917" t="s">
        <v>168</v>
      </c>
      <c r="O917" t="s">
        <v>119</v>
      </c>
      <c r="P917">
        <v>0</v>
      </c>
      <c r="Q917">
        <v>0</v>
      </c>
      <c r="R917" s="1">
        <v>42048</v>
      </c>
      <c r="S917" t="s">
        <v>46</v>
      </c>
      <c r="T917" t="s">
        <v>76</v>
      </c>
      <c r="U917" t="s">
        <v>48</v>
      </c>
      <c r="V917" t="s">
        <v>99</v>
      </c>
      <c r="W917" t="s">
        <v>50</v>
      </c>
      <c r="X917" t="s">
        <v>122</v>
      </c>
      <c r="Y917" t="s">
        <v>1094</v>
      </c>
      <c r="Z917">
        <v>14</v>
      </c>
      <c r="AA917">
        <v>1</v>
      </c>
      <c r="AB917" t="s">
        <v>53</v>
      </c>
      <c r="AC917">
        <v>2</v>
      </c>
      <c r="AD917">
        <v>0</v>
      </c>
      <c r="AE917" t="s">
        <v>62</v>
      </c>
      <c r="AF917">
        <v>71190</v>
      </c>
      <c r="AG917">
        <v>0</v>
      </c>
      <c r="AH917">
        <v>7910</v>
      </c>
      <c r="AI917">
        <v>63280</v>
      </c>
      <c r="AJ917" t="s">
        <v>67</v>
      </c>
      <c r="AK917" t="s">
        <v>193</v>
      </c>
      <c r="AL917">
        <v>1997</v>
      </c>
      <c r="AM917" t="s">
        <v>56</v>
      </c>
      <c r="AN917" s="2">
        <f t="shared" si="98"/>
        <v>77.228496110912232</v>
      </c>
      <c r="AO917">
        <f t="shared" si="99"/>
        <v>-70269.19</v>
      </c>
      <c r="AP917" s="2">
        <f t="shared" si="100"/>
        <v>1.2934359680296666E-2</v>
      </c>
      <c r="AQ917" s="2">
        <f t="shared" si="104"/>
        <v>18</v>
      </c>
      <c r="AR917">
        <f t="shared" si="101"/>
        <v>231</v>
      </c>
      <c r="AS917" t="str">
        <f t="shared" si="102"/>
        <v>High Claim Ratio</v>
      </c>
      <c r="AT917" t="str">
        <f t="shared" si="103"/>
        <v>High Profit</v>
      </c>
    </row>
    <row r="918" spans="1:46" x14ac:dyDescent="0.2">
      <c r="A918">
        <v>186</v>
      </c>
      <c r="B918">
        <v>38</v>
      </c>
      <c r="C918">
        <v>727443</v>
      </c>
      <c r="D918" s="1">
        <v>41456</v>
      </c>
      <c r="E918" t="s">
        <v>39</v>
      </c>
      <c r="F918" t="s">
        <v>69</v>
      </c>
      <c r="G918">
        <v>500</v>
      </c>
      <c r="H918">
        <v>922.85</v>
      </c>
      <c r="I918">
        <v>0</v>
      </c>
      <c r="J918">
        <v>471148</v>
      </c>
      <c r="K918" t="s">
        <v>41</v>
      </c>
      <c r="L918" t="s">
        <v>131</v>
      </c>
      <c r="M918" t="s">
        <v>185</v>
      </c>
      <c r="N918" t="s">
        <v>112</v>
      </c>
      <c r="O918" t="s">
        <v>45</v>
      </c>
      <c r="P918">
        <v>70300</v>
      </c>
      <c r="Q918">
        <v>-70900</v>
      </c>
      <c r="R918" s="1">
        <v>42060</v>
      </c>
      <c r="S918" t="s">
        <v>61</v>
      </c>
      <c r="T918" t="s">
        <v>62</v>
      </c>
      <c r="U918" t="s">
        <v>212</v>
      </c>
      <c r="V918" t="s">
        <v>93</v>
      </c>
      <c r="W918" t="s">
        <v>77</v>
      </c>
      <c r="X918" t="s">
        <v>122</v>
      </c>
      <c r="Y918" t="s">
        <v>1095</v>
      </c>
      <c r="Z918">
        <v>7</v>
      </c>
      <c r="AA918">
        <v>1</v>
      </c>
      <c r="AB918" t="s">
        <v>62</v>
      </c>
      <c r="AC918">
        <v>1</v>
      </c>
      <c r="AD918">
        <v>1</v>
      </c>
      <c r="AE918" t="s">
        <v>53</v>
      </c>
      <c r="AF918">
        <v>3600</v>
      </c>
      <c r="AG918">
        <v>400</v>
      </c>
      <c r="AH918">
        <v>400</v>
      </c>
      <c r="AI918">
        <v>2800</v>
      </c>
      <c r="AJ918" t="s">
        <v>209</v>
      </c>
      <c r="AK918" t="s">
        <v>210</v>
      </c>
      <c r="AL918">
        <v>1999</v>
      </c>
      <c r="AM918" t="s">
        <v>82</v>
      </c>
      <c r="AN918" s="2">
        <f t="shared" si="98"/>
        <v>3.896736483195324</v>
      </c>
      <c r="AO918">
        <f t="shared" si="99"/>
        <v>-2677.15</v>
      </c>
      <c r="AP918" s="2">
        <f t="shared" si="100"/>
        <v>0.25627603443487923</v>
      </c>
      <c r="AQ918" s="2">
        <f t="shared" si="104"/>
        <v>16</v>
      </c>
      <c r="AR918">
        <f t="shared" si="101"/>
        <v>186</v>
      </c>
      <c r="AS918" t="str">
        <f t="shared" si="102"/>
        <v>Low Claim Ratio</v>
      </c>
      <c r="AT918" t="str">
        <f t="shared" si="103"/>
        <v>Low Profit</v>
      </c>
    </row>
    <row r="919" spans="1:46" x14ac:dyDescent="0.2">
      <c r="A919">
        <v>229</v>
      </c>
      <c r="B919">
        <v>41</v>
      </c>
      <c r="C919">
        <v>378587</v>
      </c>
      <c r="D919" s="1">
        <v>36145</v>
      </c>
      <c r="E919" t="s">
        <v>39</v>
      </c>
      <c r="F919" t="s">
        <v>40</v>
      </c>
      <c r="G919">
        <v>2000</v>
      </c>
      <c r="H919">
        <v>1107.5899999999999</v>
      </c>
      <c r="I919">
        <v>3000000</v>
      </c>
      <c r="J919">
        <v>468202</v>
      </c>
      <c r="K919" t="s">
        <v>41</v>
      </c>
      <c r="L919" t="s">
        <v>71</v>
      </c>
      <c r="M919" t="s">
        <v>97</v>
      </c>
      <c r="N919" t="s">
        <v>168</v>
      </c>
      <c r="O919" t="s">
        <v>142</v>
      </c>
      <c r="P919">
        <v>65400</v>
      </c>
      <c r="Q919">
        <v>0</v>
      </c>
      <c r="R919" s="1">
        <v>42027</v>
      </c>
      <c r="S919" t="s">
        <v>46</v>
      </c>
      <c r="T919" t="s">
        <v>47</v>
      </c>
      <c r="U919" t="s">
        <v>48</v>
      </c>
      <c r="V919" t="s">
        <v>120</v>
      </c>
      <c r="W919" t="s">
        <v>77</v>
      </c>
      <c r="X919" t="s">
        <v>51</v>
      </c>
      <c r="Y919" t="s">
        <v>1096</v>
      </c>
      <c r="Z919">
        <v>23</v>
      </c>
      <c r="AA919">
        <v>1</v>
      </c>
      <c r="AB919" t="s">
        <v>79</v>
      </c>
      <c r="AC919">
        <v>1</v>
      </c>
      <c r="AD919">
        <v>3</v>
      </c>
      <c r="AE919" t="s">
        <v>79</v>
      </c>
      <c r="AF919">
        <v>62640</v>
      </c>
      <c r="AG919">
        <v>10440</v>
      </c>
      <c r="AH919">
        <v>10440</v>
      </c>
      <c r="AI919">
        <v>41760</v>
      </c>
      <c r="AJ919" t="s">
        <v>67</v>
      </c>
      <c r="AK919" t="s">
        <v>193</v>
      </c>
      <c r="AL919">
        <v>2009</v>
      </c>
      <c r="AM919" t="s">
        <v>82</v>
      </c>
      <c r="AN919" s="2">
        <f t="shared" si="98"/>
        <v>56.504208048061052</v>
      </c>
      <c r="AO919">
        <f t="shared" si="99"/>
        <v>-61532.41</v>
      </c>
      <c r="AP919" s="2">
        <f t="shared" si="100"/>
        <v>1.7681550422247408E-2</v>
      </c>
      <c r="AQ919" s="2">
        <f t="shared" si="104"/>
        <v>6</v>
      </c>
      <c r="AR919">
        <f t="shared" si="101"/>
        <v>229</v>
      </c>
      <c r="AS919" t="str">
        <f t="shared" si="102"/>
        <v>High Claim Ratio</v>
      </c>
      <c r="AT919" t="str">
        <f t="shared" si="103"/>
        <v>High Profit</v>
      </c>
    </row>
    <row r="920" spans="1:46" x14ac:dyDescent="0.2">
      <c r="A920">
        <v>180</v>
      </c>
      <c r="B920">
        <v>36</v>
      </c>
      <c r="C920">
        <v>420948</v>
      </c>
      <c r="D920" s="1">
        <v>42007</v>
      </c>
      <c r="E920" t="s">
        <v>83</v>
      </c>
      <c r="F920" t="s">
        <v>69</v>
      </c>
      <c r="G920">
        <v>500</v>
      </c>
      <c r="H920">
        <v>1272.46</v>
      </c>
      <c r="I920">
        <v>0</v>
      </c>
      <c r="J920">
        <v>456959</v>
      </c>
      <c r="K920" t="s">
        <v>41</v>
      </c>
      <c r="L920" t="s">
        <v>141</v>
      </c>
      <c r="M920" t="s">
        <v>101</v>
      </c>
      <c r="N920" t="s">
        <v>264</v>
      </c>
      <c r="O920" t="s">
        <v>119</v>
      </c>
      <c r="P920">
        <v>0</v>
      </c>
      <c r="Q920">
        <v>0</v>
      </c>
      <c r="R920" s="1">
        <v>42054</v>
      </c>
      <c r="S920" t="s">
        <v>75</v>
      </c>
      <c r="T920" t="s">
        <v>86</v>
      </c>
      <c r="U920" t="s">
        <v>63</v>
      </c>
      <c r="V920" t="s">
        <v>136</v>
      </c>
      <c r="W920" t="s">
        <v>77</v>
      </c>
      <c r="X920" t="s">
        <v>156</v>
      </c>
      <c r="Y920" t="s">
        <v>1097</v>
      </c>
      <c r="Z920">
        <v>7</v>
      </c>
      <c r="AA920">
        <v>3</v>
      </c>
      <c r="AB920" t="s">
        <v>53</v>
      </c>
      <c r="AC920">
        <v>2</v>
      </c>
      <c r="AD920">
        <v>1</v>
      </c>
      <c r="AE920" t="s">
        <v>62</v>
      </c>
      <c r="AF920">
        <v>69630</v>
      </c>
      <c r="AG920">
        <v>12660</v>
      </c>
      <c r="AH920">
        <v>6330</v>
      </c>
      <c r="AI920">
        <v>50640</v>
      </c>
      <c r="AJ920" t="s">
        <v>115</v>
      </c>
      <c r="AK920" t="s">
        <v>183</v>
      </c>
      <c r="AL920">
        <v>1998</v>
      </c>
      <c r="AM920" t="s">
        <v>82</v>
      </c>
      <c r="AN920" s="2">
        <f t="shared" si="98"/>
        <v>54.677806919730493</v>
      </c>
      <c r="AO920">
        <f t="shared" si="99"/>
        <v>-68357.539999999994</v>
      </c>
      <c r="AP920" s="2">
        <f t="shared" si="100"/>
        <v>1.8274331834958569E-2</v>
      </c>
      <c r="AQ920" s="2">
        <f t="shared" si="104"/>
        <v>17</v>
      </c>
      <c r="AR920">
        <f t="shared" si="101"/>
        <v>180</v>
      </c>
      <c r="AS920" t="str">
        <f t="shared" si="102"/>
        <v>High Claim Ratio</v>
      </c>
      <c r="AT920" t="str">
        <f t="shared" si="103"/>
        <v>High Profit</v>
      </c>
    </row>
    <row r="921" spans="1:46" x14ac:dyDescent="0.2">
      <c r="A921">
        <v>188</v>
      </c>
      <c r="B921">
        <v>33</v>
      </c>
      <c r="C921">
        <v>457188</v>
      </c>
      <c r="D921" s="1">
        <v>34425</v>
      </c>
      <c r="E921" t="s">
        <v>83</v>
      </c>
      <c r="F921" t="s">
        <v>40</v>
      </c>
      <c r="G921">
        <v>1000</v>
      </c>
      <c r="H921">
        <v>1340.24</v>
      </c>
      <c r="I921">
        <v>0</v>
      </c>
      <c r="J921">
        <v>447274</v>
      </c>
      <c r="K921" t="s">
        <v>41</v>
      </c>
      <c r="L921" t="s">
        <v>131</v>
      </c>
      <c r="M921" t="s">
        <v>135</v>
      </c>
      <c r="N921" t="s">
        <v>168</v>
      </c>
      <c r="O921" t="s">
        <v>74</v>
      </c>
      <c r="P921">
        <v>0</v>
      </c>
      <c r="Q921">
        <v>-68800</v>
      </c>
      <c r="R921" s="1">
        <v>42043</v>
      </c>
      <c r="S921" t="s">
        <v>75</v>
      </c>
      <c r="T921" t="s">
        <v>76</v>
      </c>
      <c r="U921" t="s">
        <v>63</v>
      </c>
      <c r="V921" t="s">
        <v>49</v>
      </c>
      <c r="W921" t="s">
        <v>77</v>
      </c>
      <c r="X921" t="s">
        <v>122</v>
      </c>
      <c r="Y921" t="s">
        <v>1098</v>
      </c>
      <c r="Z921">
        <v>8</v>
      </c>
      <c r="AA921">
        <v>3</v>
      </c>
      <c r="AB921" t="s">
        <v>53</v>
      </c>
      <c r="AC921">
        <v>1</v>
      </c>
      <c r="AD921">
        <v>0</v>
      </c>
      <c r="AE921" t="s">
        <v>62</v>
      </c>
      <c r="AF921">
        <v>76010</v>
      </c>
      <c r="AG921">
        <v>13820</v>
      </c>
      <c r="AH921">
        <v>6910</v>
      </c>
      <c r="AI921">
        <v>55280</v>
      </c>
      <c r="AJ921" t="s">
        <v>80</v>
      </c>
      <c r="AK921" t="s">
        <v>81</v>
      </c>
      <c r="AL921">
        <v>1995</v>
      </c>
      <c r="AM921" t="s">
        <v>56</v>
      </c>
      <c r="AN921" s="2">
        <f t="shared" si="98"/>
        <v>56.67143837046315</v>
      </c>
      <c r="AO921">
        <f t="shared" si="99"/>
        <v>-74669.759999999995</v>
      </c>
      <c r="AP921" s="2">
        <f t="shared" si="100"/>
        <v>1.7632184815355674E-2</v>
      </c>
      <c r="AQ921" s="2">
        <f t="shared" si="104"/>
        <v>20</v>
      </c>
      <c r="AR921">
        <f t="shared" si="101"/>
        <v>188</v>
      </c>
      <c r="AS921" t="str">
        <f t="shared" si="102"/>
        <v>High Claim Ratio</v>
      </c>
      <c r="AT921" t="str">
        <f t="shared" si="103"/>
        <v>High Profit</v>
      </c>
    </row>
    <row r="922" spans="1:46" x14ac:dyDescent="0.2">
      <c r="A922">
        <v>214</v>
      </c>
      <c r="B922">
        <v>40</v>
      </c>
      <c r="C922">
        <v>118236</v>
      </c>
      <c r="D922" s="1">
        <v>36753</v>
      </c>
      <c r="E922" t="s">
        <v>39</v>
      </c>
      <c r="F922" t="s">
        <v>69</v>
      </c>
      <c r="G922">
        <v>1000</v>
      </c>
      <c r="H922">
        <v>1648</v>
      </c>
      <c r="I922">
        <v>0</v>
      </c>
      <c r="J922">
        <v>608405</v>
      </c>
      <c r="K922" t="s">
        <v>41</v>
      </c>
      <c r="L922" t="s">
        <v>161</v>
      </c>
      <c r="M922" t="s">
        <v>145</v>
      </c>
      <c r="N922" t="s">
        <v>106</v>
      </c>
      <c r="O922" t="s">
        <v>142</v>
      </c>
      <c r="P922">
        <v>57700</v>
      </c>
      <c r="Q922">
        <v>-43500</v>
      </c>
      <c r="R922" s="1">
        <v>42039</v>
      </c>
      <c r="S922" t="s">
        <v>46</v>
      </c>
      <c r="T922" t="s">
        <v>76</v>
      </c>
      <c r="U922" t="s">
        <v>107</v>
      </c>
      <c r="V922" t="s">
        <v>120</v>
      </c>
      <c r="W922" t="s">
        <v>113</v>
      </c>
      <c r="X922" t="s">
        <v>156</v>
      </c>
      <c r="Y922" t="s">
        <v>1099</v>
      </c>
      <c r="Z922">
        <v>17</v>
      </c>
      <c r="AA922">
        <v>1</v>
      </c>
      <c r="AB922" t="s">
        <v>79</v>
      </c>
      <c r="AC922">
        <v>1</v>
      </c>
      <c r="AD922">
        <v>0</v>
      </c>
      <c r="AE922" t="s">
        <v>53</v>
      </c>
      <c r="AF922">
        <v>44220</v>
      </c>
      <c r="AG922">
        <v>8040</v>
      </c>
      <c r="AH922">
        <v>4020</v>
      </c>
      <c r="AI922">
        <v>32160</v>
      </c>
      <c r="AJ922" t="s">
        <v>95</v>
      </c>
      <c r="AK922" t="s">
        <v>148</v>
      </c>
      <c r="AL922">
        <v>2000</v>
      </c>
      <c r="AM922" t="s">
        <v>82</v>
      </c>
      <c r="AN922" s="2">
        <f t="shared" si="98"/>
        <v>26.816252274105519</v>
      </c>
      <c r="AO922">
        <f t="shared" si="99"/>
        <v>-42572</v>
      </c>
      <c r="AP922" s="2">
        <f t="shared" si="100"/>
        <v>3.7267361660749419E-2</v>
      </c>
      <c r="AQ922" s="2">
        <f t="shared" si="104"/>
        <v>15</v>
      </c>
      <c r="AR922">
        <f t="shared" si="101"/>
        <v>214</v>
      </c>
      <c r="AS922" t="str">
        <f t="shared" si="102"/>
        <v>High Claim Ratio</v>
      </c>
      <c r="AT922" t="str">
        <f t="shared" si="103"/>
        <v>High Profit</v>
      </c>
    </row>
    <row r="923" spans="1:46" x14ac:dyDescent="0.2">
      <c r="A923">
        <v>178</v>
      </c>
      <c r="B923">
        <v>38</v>
      </c>
      <c r="C923">
        <v>987524</v>
      </c>
      <c r="D923" s="1">
        <v>41956</v>
      </c>
      <c r="E923" t="s">
        <v>83</v>
      </c>
      <c r="F923" t="s">
        <v>40</v>
      </c>
      <c r="G923">
        <v>500</v>
      </c>
      <c r="H923">
        <v>1381.14</v>
      </c>
      <c r="I923">
        <v>0</v>
      </c>
      <c r="J923">
        <v>472253</v>
      </c>
      <c r="K923" t="s">
        <v>70</v>
      </c>
      <c r="L923" t="s">
        <v>141</v>
      </c>
      <c r="M923" t="s">
        <v>111</v>
      </c>
      <c r="N923" t="s">
        <v>118</v>
      </c>
      <c r="O923" t="s">
        <v>119</v>
      </c>
      <c r="P923">
        <v>0</v>
      </c>
      <c r="Q923">
        <v>0</v>
      </c>
      <c r="R923" s="1">
        <v>42057</v>
      </c>
      <c r="S923" t="s">
        <v>75</v>
      </c>
      <c r="T923" t="s">
        <v>76</v>
      </c>
      <c r="U923" t="s">
        <v>63</v>
      </c>
      <c r="V923" t="s">
        <v>120</v>
      </c>
      <c r="W923" t="s">
        <v>77</v>
      </c>
      <c r="X923" t="s">
        <v>156</v>
      </c>
      <c r="Y923" t="s">
        <v>1100</v>
      </c>
      <c r="Z923">
        <v>10</v>
      </c>
      <c r="AA923">
        <v>3</v>
      </c>
      <c r="AB923" t="s">
        <v>79</v>
      </c>
      <c r="AC923">
        <v>0</v>
      </c>
      <c r="AD923">
        <v>3</v>
      </c>
      <c r="AE923" t="s">
        <v>79</v>
      </c>
      <c r="AF923">
        <v>57200</v>
      </c>
      <c r="AG923">
        <v>5200</v>
      </c>
      <c r="AH923">
        <v>10400</v>
      </c>
      <c r="AI923">
        <v>41600</v>
      </c>
      <c r="AJ923" t="s">
        <v>187</v>
      </c>
      <c r="AK923" t="s">
        <v>201</v>
      </c>
      <c r="AL923">
        <v>2011</v>
      </c>
      <c r="AM923" t="s">
        <v>82</v>
      </c>
      <c r="AN923" s="2">
        <f t="shared" si="98"/>
        <v>41.38509847048779</v>
      </c>
      <c r="AO923">
        <f t="shared" si="99"/>
        <v>-55818.86</v>
      </c>
      <c r="AP923" s="2">
        <f t="shared" si="100"/>
        <v>2.4145382073739972E-2</v>
      </c>
      <c r="AQ923" s="2">
        <f t="shared" si="104"/>
        <v>4</v>
      </c>
      <c r="AR923">
        <f t="shared" si="101"/>
        <v>178</v>
      </c>
      <c r="AS923" t="str">
        <f t="shared" si="102"/>
        <v>High Claim Ratio</v>
      </c>
      <c r="AT923" t="str">
        <f t="shared" si="103"/>
        <v>High Profit</v>
      </c>
    </row>
    <row r="924" spans="1:46" x14ac:dyDescent="0.2">
      <c r="A924">
        <v>55</v>
      </c>
      <c r="B924">
        <v>35</v>
      </c>
      <c r="C924">
        <v>490596</v>
      </c>
      <c r="D924" s="1">
        <v>40578</v>
      </c>
      <c r="E924" t="s">
        <v>83</v>
      </c>
      <c r="F924" t="s">
        <v>91</v>
      </c>
      <c r="G924">
        <v>500</v>
      </c>
      <c r="H924">
        <v>1198.44</v>
      </c>
      <c r="I924">
        <v>8000000</v>
      </c>
      <c r="J924">
        <v>438923</v>
      </c>
      <c r="K924" t="s">
        <v>41</v>
      </c>
      <c r="L924" t="s">
        <v>42</v>
      </c>
      <c r="M924" t="s">
        <v>117</v>
      </c>
      <c r="N924" t="s">
        <v>173</v>
      </c>
      <c r="O924" t="s">
        <v>119</v>
      </c>
      <c r="P924">
        <v>0</v>
      </c>
      <c r="Q924">
        <v>0</v>
      </c>
      <c r="R924" s="1">
        <v>42018</v>
      </c>
      <c r="S924" t="s">
        <v>61</v>
      </c>
      <c r="T924" t="s">
        <v>62</v>
      </c>
      <c r="U924" t="s">
        <v>63</v>
      </c>
      <c r="V924" t="s">
        <v>49</v>
      </c>
      <c r="W924" t="s">
        <v>113</v>
      </c>
      <c r="X924" t="s">
        <v>51</v>
      </c>
      <c r="Y924" t="s">
        <v>1101</v>
      </c>
      <c r="Z924">
        <v>9</v>
      </c>
      <c r="AA924">
        <v>1</v>
      </c>
      <c r="AB924" t="s">
        <v>79</v>
      </c>
      <c r="AC924">
        <v>0</v>
      </c>
      <c r="AD924">
        <v>3</v>
      </c>
      <c r="AE924" t="s">
        <v>79</v>
      </c>
      <c r="AF924">
        <v>3080</v>
      </c>
      <c r="AG924">
        <v>560</v>
      </c>
      <c r="AH924">
        <v>560</v>
      </c>
      <c r="AI924">
        <v>1960</v>
      </c>
      <c r="AJ924" t="s">
        <v>104</v>
      </c>
      <c r="AK924" t="s">
        <v>287</v>
      </c>
      <c r="AL924">
        <v>1998</v>
      </c>
      <c r="AM924" t="s">
        <v>82</v>
      </c>
      <c r="AN924" s="2">
        <f t="shared" si="98"/>
        <v>2.5678650036683783</v>
      </c>
      <c r="AO924">
        <f t="shared" si="99"/>
        <v>-1881.56</v>
      </c>
      <c r="AP924" s="2">
        <f t="shared" si="100"/>
        <v>0.38897760467380721</v>
      </c>
      <c r="AQ924" s="2">
        <f t="shared" si="104"/>
        <v>17</v>
      </c>
      <c r="AR924">
        <f t="shared" si="101"/>
        <v>55</v>
      </c>
      <c r="AS924" t="str">
        <f t="shared" si="102"/>
        <v>Low Claim Ratio</v>
      </c>
      <c r="AT924" t="str">
        <f t="shared" si="103"/>
        <v>Low Profit</v>
      </c>
    </row>
    <row r="925" spans="1:46" x14ac:dyDescent="0.2">
      <c r="A925">
        <v>90</v>
      </c>
      <c r="B925">
        <v>31</v>
      </c>
      <c r="C925">
        <v>524215</v>
      </c>
      <c r="D925" s="1">
        <v>33048</v>
      </c>
      <c r="E925" t="s">
        <v>39</v>
      </c>
      <c r="F925" t="s">
        <v>40</v>
      </c>
      <c r="G925">
        <v>2000</v>
      </c>
      <c r="H925">
        <v>951.27</v>
      </c>
      <c r="I925">
        <v>0</v>
      </c>
      <c r="J925">
        <v>607131</v>
      </c>
      <c r="K925" t="s">
        <v>70</v>
      </c>
      <c r="L925" t="s">
        <v>71</v>
      </c>
      <c r="M925" t="s">
        <v>111</v>
      </c>
      <c r="N925" t="s">
        <v>149</v>
      </c>
      <c r="O925" t="s">
        <v>142</v>
      </c>
      <c r="P925">
        <v>42100</v>
      </c>
      <c r="Q925">
        <v>0</v>
      </c>
      <c r="R925" s="1">
        <v>42010</v>
      </c>
      <c r="S925" t="s">
        <v>46</v>
      </c>
      <c r="T925" t="s">
        <v>76</v>
      </c>
      <c r="U925" t="s">
        <v>107</v>
      </c>
      <c r="V925" t="s">
        <v>120</v>
      </c>
      <c r="W925" t="s">
        <v>50</v>
      </c>
      <c r="X925" t="s">
        <v>122</v>
      </c>
      <c r="Y925" t="s">
        <v>1102</v>
      </c>
      <c r="Z925">
        <v>2</v>
      </c>
      <c r="AA925">
        <v>1</v>
      </c>
      <c r="AB925" t="s">
        <v>53</v>
      </c>
      <c r="AC925">
        <v>1</v>
      </c>
      <c r="AD925">
        <v>0</v>
      </c>
      <c r="AE925" t="s">
        <v>53</v>
      </c>
      <c r="AF925">
        <v>75790</v>
      </c>
      <c r="AG925">
        <v>13780</v>
      </c>
      <c r="AH925">
        <v>6890</v>
      </c>
      <c r="AI925">
        <v>55120</v>
      </c>
      <c r="AJ925" t="s">
        <v>95</v>
      </c>
      <c r="AK925" t="s">
        <v>96</v>
      </c>
      <c r="AL925">
        <v>2007</v>
      </c>
      <c r="AM925" t="s">
        <v>82</v>
      </c>
      <c r="AN925" s="2">
        <f t="shared" si="98"/>
        <v>79.588772091948712</v>
      </c>
      <c r="AO925">
        <f t="shared" si="99"/>
        <v>-74838.73</v>
      </c>
      <c r="AP925" s="2">
        <f t="shared" si="100"/>
        <v>1.2551226398912799E-2</v>
      </c>
      <c r="AQ925" s="2">
        <f t="shared" si="104"/>
        <v>8</v>
      </c>
      <c r="AR925">
        <f t="shared" si="101"/>
        <v>90</v>
      </c>
      <c r="AS925" t="str">
        <f t="shared" si="102"/>
        <v>High Claim Ratio</v>
      </c>
      <c r="AT925" t="str">
        <f t="shared" si="103"/>
        <v>High Profit</v>
      </c>
    </row>
    <row r="926" spans="1:46" x14ac:dyDescent="0.2">
      <c r="A926">
        <v>135</v>
      </c>
      <c r="B926">
        <v>30</v>
      </c>
      <c r="C926">
        <v>913464</v>
      </c>
      <c r="D926" s="1">
        <v>39834</v>
      </c>
      <c r="E926" t="s">
        <v>57</v>
      </c>
      <c r="F926" t="s">
        <v>91</v>
      </c>
      <c r="G926">
        <v>2000</v>
      </c>
      <c r="H926">
        <v>1341.24</v>
      </c>
      <c r="I926">
        <v>0</v>
      </c>
      <c r="J926">
        <v>601701</v>
      </c>
      <c r="K926" t="s">
        <v>70</v>
      </c>
      <c r="L926" t="s">
        <v>42</v>
      </c>
      <c r="M926" t="s">
        <v>189</v>
      </c>
      <c r="N926" t="s">
        <v>132</v>
      </c>
      <c r="O926" t="s">
        <v>119</v>
      </c>
      <c r="P926">
        <v>37100</v>
      </c>
      <c r="Q926">
        <v>-46500</v>
      </c>
      <c r="R926" s="1">
        <v>42023</v>
      </c>
      <c r="S926" t="s">
        <v>75</v>
      </c>
      <c r="T926" t="s">
        <v>76</v>
      </c>
      <c r="U926" t="s">
        <v>63</v>
      </c>
      <c r="V926" t="s">
        <v>136</v>
      </c>
      <c r="W926" t="s">
        <v>113</v>
      </c>
      <c r="X926" t="s">
        <v>65</v>
      </c>
      <c r="Y926" t="s">
        <v>1103</v>
      </c>
      <c r="Z926">
        <v>18</v>
      </c>
      <c r="AA926">
        <v>3</v>
      </c>
      <c r="AB926" t="s">
        <v>79</v>
      </c>
      <c r="AC926">
        <v>0</v>
      </c>
      <c r="AD926">
        <v>1</v>
      </c>
      <c r="AE926" t="s">
        <v>79</v>
      </c>
      <c r="AF926">
        <v>32670</v>
      </c>
      <c r="AG926">
        <v>5940</v>
      </c>
      <c r="AH926">
        <v>2970</v>
      </c>
      <c r="AI926">
        <v>23760</v>
      </c>
      <c r="AJ926" t="s">
        <v>209</v>
      </c>
      <c r="AK926" t="s">
        <v>231</v>
      </c>
      <c r="AL926">
        <v>2003</v>
      </c>
      <c r="AM926" t="s">
        <v>82</v>
      </c>
      <c r="AN926" s="2">
        <f t="shared" si="98"/>
        <v>24.33990940517344</v>
      </c>
      <c r="AO926">
        <f t="shared" si="99"/>
        <v>-31328.76</v>
      </c>
      <c r="AP926" s="2">
        <f t="shared" si="100"/>
        <v>4.1052921551222796E-2</v>
      </c>
      <c r="AQ926" s="2">
        <f t="shared" si="104"/>
        <v>12</v>
      </c>
      <c r="AR926">
        <f t="shared" si="101"/>
        <v>135</v>
      </c>
      <c r="AS926" t="str">
        <f t="shared" si="102"/>
        <v>High Claim Ratio</v>
      </c>
      <c r="AT926" t="str">
        <f t="shared" si="103"/>
        <v>High Profit</v>
      </c>
    </row>
    <row r="927" spans="1:46" x14ac:dyDescent="0.2">
      <c r="A927">
        <v>277</v>
      </c>
      <c r="B927">
        <v>46</v>
      </c>
      <c r="C927">
        <v>398484</v>
      </c>
      <c r="D927" s="1">
        <v>33915</v>
      </c>
      <c r="E927" t="s">
        <v>83</v>
      </c>
      <c r="F927" t="s">
        <v>40</v>
      </c>
      <c r="G927">
        <v>2000</v>
      </c>
      <c r="H927">
        <v>1177.57</v>
      </c>
      <c r="I927">
        <v>0</v>
      </c>
      <c r="J927">
        <v>469220</v>
      </c>
      <c r="K927" t="s">
        <v>70</v>
      </c>
      <c r="L927" t="s">
        <v>92</v>
      </c>
      <c r="M927" t="s">
        <v>185</v>
      </c>
      <c r="N927" t="s">
        <v>181</v>
      </c>
      <c r="O927" t="s">
        <v>45</v>
      </c>
      <c r="P927">
        <v>0</v>
      </c>
      <c r="Q927">
        <v>-65500</v>
      </c>
      <c r="R927" s="1">
        <v>42028</v>
      </c>
      <c r="S927" t="s">
        <v>61</v>
      </c>
      <c r="T927" t="s">
        <v>62</v>
      </c>
      <c r="U927" t="s">
        <v>63</v>
      </c>
      <c r="V927" t="s">
        <v>49</v>
      </c>
      <c r="W927" t="s">
        <v>64</v>
      </c>
      <c r="X927" t="s">
        <v>87</v>
      </c>
      <c r="Y927" t="s">
        <v>1104</v>
      </c>
      <c r="Z927">
        <v>4</v>
      </c>
      <c r="AA927">
        <v>1</v>
      </c>
      <c r="AB927" t="s">
        <v>62</v>
      </c>
      <c r="AC927">
        <v>2</v>
      </c>
      <c r="AD927">
        <v>3</v>
      </c>
      <c r="AE927" t="s">
        <v>79</v>
      </c>
      <c r="AF927">
        <v>3870</v>
      </c>
      <c r="AG927">
        <v>430</v>
      </c>
      <c r="AH927">
        <v>860</v>
      </c>
      <c r="AI927">
        <v>2580</v>
      </c>
      <c r="AJ927" t="s">
        <v>197</v>
      </c>
      <c r="AK927" t="s">
        <v>198</v>
      </c>
      <c r="AL927">
        <v>2010</v>
      </c>
      <c r="AM927" t="s">
        <v>82</v>
      </c>
      <c r="AN927" s="2">
        <f t="shared" si="98"/>
        <v>3.2836403438064776</v>
      </c>
      <c r="AO927">
        <f t="shared" si="99"/>
        <v>-2692.4300000000003</v>
      </c>
      <c r="AP927" s="2">
        <f t="shared" si="100"/>
        <v>0.30420304830793077</v>
      </c>
      <c r="AQ927" s="2">
        <f t="shared" si="104"/>
        <v>5</v>
      </c>
      <c r="AR927">
        <f t="shared" si="101"/>
        <v>277</v>
      </c>
      <c r="AS927" t="str">
        <f t="shared" si="102"/>
        <v>Low Claim Ratio</v>
      </c>
      <c r="AT927" t="str">
        <f t="shared" si="103"/>
        <v>Low Profit</v>
      </c>
    </row>
    <row r="928" spans="1:46" x14ac:dyDescent="0.2">
      <c r="A928">
        <v>211</v>
      </c>
      <c r="B928">
        <v>38</v>
      </c>
      <c r="C928">
        <v>752504</v>
      </c>
      <c r="D928" s="1">
        <v>35565</v>
      </c>
      <c r="E928" t="s">
        <v>57</v>
      </c>
      <c r="F928" t="s">
        <v>40</v>
      </c>
      <c r="G928">
        <v>1000</v>
      </c>
      <c r="H928">
        <v>1055.0899999999999</v>
      </c>
      <c r="I928">
        <v>0</v>
      </c>
      <c r="J928">
        <v>433250</v>
      </c>
      <c r="K928" t="s">
        <v>70</v>
      </c>
      <c r="L928" t="s">
        <v>124</v>
      </c>
      <c r="M928" t="s">
        <v>145</v>
      </c>
      <c r="N928" t="s">
        <v>181</v>
      </c>
      <c r="O928" t="s">
        <v>74</v>
      </c>
      <c r="P928">
        <v>0</v>
      </c>
      <c r="Q928">
        <v>0</v>
      </c>
      <c r="R928" s="1">
        <v>42031</v>
      </c>
      <c r="S928" t="s">
        <v>46</v>
      </c>
      <c r="T928" t="s">
        <v>86</v>
      </c>
      <c r="U928" t="s">
        <v>107</v>
      </c>
      <c r="V928" t="s">
        <v>99</v>
      </c>
      <c r="W928" t="s">
        <v>77</v>
      </c>
      <c r="X928" t="s">
        <v>51</v>
      </c>
      <c r="Y928" t="s">
        <v>1105</v>
      </c>
      <c r="Z928">
        <v>12</v>
      </c>
      <c r="AA928">
        <v>1</v>
      </c>
      <c r="AB928" t="s">
        <v>62</v>
      </c>
      <c r="AC928">
        <v>0</v>
      </c>
      <c r="AD928">
        <v>3</v>
      </c>
      <c r="AE928" t="s">
        <v>53</v>
      </c>
      <c r="AF928">
        <v>91520</v>
      </c>
      <c r="AG928">
        <v>8320</v>
      </c>
      <c r="AH928">
        <v>16640</v>
      </c>
      <c r="AI928">
        <v>66560</v>
      </c>
      <c r="AJ928" t="s">
        <v>187</v>
      </c>
      <c r="AK928" t="s">
        <v>238</v>
      </c>
      <c r="AL928">
        <v>2005</v>
      </c>
      <c r="AM928" t="s">
        <v>56</v>
      </c>
      <c r="AN928" s="2">
        <f t="shared" si="98"/>
        <v>86.659280932496287</v>
      </c>
      <c r="AO928">
        <f t="shared" si="99"/>
        <v>-90464.91</v>
      </c>
      <c r="AP928" s="2">
        <f t="shared" si="100"/>
        <v>1.1528392390817406E-2</v>
      </c>
      <c r="AQ928" s="2">
        <f t="shared" si="104"/>
        <v>10</v>
      </c>
      <c r="AR928">
        <f t="shared" si="101"/>
        <v>211</v>
      </c>
      <c r="AS928" t="str">
        <f t="shared" si="102"/>
        <v>High Claim Ratio</v>
      </c>
      <c r="AT928" t="str">
        <f t="shared" si="103"/>
        <v>High Profit</v>
      </c>
    </row>
    <row r="929" spans="1:46" x14ac:dyDescent="0.2">
      <c r="A929">
        <v>156</v>
      </c>
      <c r="B929">
        <v>32</v>
      </c>
      <c r="C929">
        <v>449263</v>
      </c>
      <c r="D929" s="1">
        <v>33683</v>
      </c>
      <c r="E929" t="s">
        <v>83</v>
      </c>
      <c r="F929" t="s">
        <v>40</v>
      </c>
      <c r="G929">
        <v>500</v>
      </c>
      <c r="H929">
        <v>1479.48</v>
      </c>
      <c r="I929">
        <v>0</v>
      </c>
      <c r="J929">
        <v>444413</v>
      </c>
      <c r="K929" t="s">
        <v>41</v>
      </c>
      <c r="L929" t="s">
        <v>124</v>
      </c>
      <c r="M929" t="s">
        <v>101</v>
      </c>
      <c r="N929" t="s">
        <v>98</v>
      </c>
      <c r="O929" t="s">
        <v>85</v>
      </c>
      <c r="P929">
        <v>0</v>
      </c>
      <c r="Q929">
        <v>0</v>
      </c>
      <c r="R929" s="1">
        <v>42017</v>
      </c>
      <c r="S929" t="s">
        <v>46</v>
      </c>
      <c r="T929" t="s">
        <v>86</v>
      </c>
      <c r="U929" t="s">
        <v>48</v>
      </c>
      <c r="V929" t="s">
        <v>120</v>
      </c>
      <c r="W929" t="s">
        <v>77</v>
      </c>
      <c r="X929" t="s">
        <v>156</v>
      </c>
      <c r="Y929" t="s">
        <v>1106</v>
      </c>
      <c r="Z929">
        <v>15</v>
      </c>
      <c r="AA929">
        <v>1</v>
      </c>
      <c r="AB929" t="s">
        <v>53</v>
      </c>
      <c r="AC929">
        <v>1</v>
      </c>
      <c r="AD929">
        <v>3</v>
      </c>
      <c r="AE929" t="s">
        <v>53</v>
      </c>
      <c r="AF929">
        <v>74690</v>
      </c>
      <c r="AG929">
        <v>6790</v>
      </c>
      <c r="AH929">
        <v>13580</v>
      </c>
      <c r="AI929">
        <v>54320</v>
      </c>
      <c r="AJ929" t="s">
        <v>80</v>
      </c>
      <c r="AK929" t="s">
        <v>81</v>
      </c>
      <c r="AL929">
        <v>2008</v>
      </c>
      <c r="AM929" t="s">
        <v>56</v>
      </c>
      <c r="AN929" s="2">
        <f t="shared" si="98"/>
        <v>50.44985410137253</v>
      </c>
      <c r="AO929">
        <f t="shared" si="99"/>
        <v>-73210.52</v>
      </c>
      <c r="AP929" s="2">
        <f t="shared" si="100"/>
        <v>1.980800899706792E-2</v>
      </c>
      <c r="AQ929" s="2">
        <f t="shared" si="104"/>
        <v>7</v>
      </c>
      <c r="AR929">
        <f t="shared" si="101"/>
        <v>156</v>
      </c>
      <c r="AS929" t="str">
        <f t="shared" si="102"/>
        <v>High Claim Ratio</v>
      </c>
      <c r="AT929" t="str">
        <f t="shared" si="103"/>
        <v>High Profit</v>
      </c>
    </row>
    <row r="930" spans="1:46" x14ac:dyDescent="0.2">
      <c r="A930">
        <v>84</v>
      </c>
      <c r="B930">
        <v>30</v>
      </c>
      <c r="C930">
        <v>844007</v>
      </c>
      <c r="D930" s="1">
        <v>34897</v>
      </c>
      <c r="E930" t="s">
        <v>57</v>
      </c>
      <c r="F930" t="s">
        <v>91</v>
      </c>
      <c r="G930">
        <v>2000</v>
      </c>
      <c r="H930">
        <v>1827.38</v>
      </c>
      <c r="I930">
        <v>0</v>
      </c>
      <c r="J930">
        <v>433593</v>
      </c>
      <c r="K930" t="s">
        <v>41</v>
      </c>
      <c r="L930" t="s">
        <v>92</v>
      </c>
      <c r="M930" t="s">
        <v>117</v>
      </c>
      <c r="N930" t="s">
        <v>173</v>
      </c>
      <c r="O930" t="s">
        <v>60</v>
      </c>
      <c r="P930">
        <v>0</v>
      </c>
      <c r="Q930">
        <v>-15900</v>
      </c>
      <c r="R930" s="1">
        <v>42019</v>
      </c>
      <c r="S930" t="s">
        <v>61</v>
      </c>
      <c r="T930" t="s">
        <v>62</v>
      </c>
      <c r="U930" t="s">
        <v>212</v>
      </c>
      <c r="V930" t="s">
        <v>49</v>
      </c>
      <c r="W930" t="s">
        <v>64</v>
      </c>
      <c r="X930" t="s">
        <v>102</v>
      </c>
      <c r="Y930" t="s">
        <v>1107</v>
      </c>
      <c r="Z930">
        <v>9</v>
      </c>
      <c r="AA930">
        <v>1</v>
      </c>
      <c r="AB930" t="s">
        <v>53</v>
      </c>
      <c r="AC930">
        <v>1</v>
      </c>
      <c r="AD930">
        <v>3</v>
      </c>
      <c r="AE930" t="s">
        <v>62</v>
      </c>
      <c r="AF930">
        <v>4620</v>
      </c>
      <c r="AG930">
        <v>420</v>
      </c>
      <c r="AH930">
        <v>840</v>
      </c>
      <c r="AI930">
        <v>3360</v>
      </c>
      <c r="AJ930" t="s">
        <v>109</v>
      </c>
      <c r="AK930" t="s">
        <v>110</v>
      </c>
      <c r="AL930">
        <v>1998</v>
      </c>
      <c r="AM930" t="s">
        <v>82</v>
      </c>
      <c r="AN930" s="2">
        <f t="shared" si="98"/>
        <v>2.5268270272044102</v>
      </c>
      <c r="AO930">
        <f t="shared" si="99"/>
        <v>-2792.62</v>
      </c>
      <c r="AP930" s="2">
        <f t="shared" si="100"/>
        <v>0.39545120103873621</v>
      </c>
      <c r="AQ930" s="2">
        <f t="shared" si="104"/>
        <v>17</v>
      </c>
      <c r="AR930">
        <f t="shared" si="101"/>
        <v>84</v>
      </c>
      <c r="AS930" t="str">
        <f t="shared" si="102"/>
        <v>Low Claim Ratio</v>
      </c>
      <c r="AT930" t="str">
        <f t="shared" si="103"/>
        <v>Low Profit</v>
      </c>
    </row>
    <row r="931" spans="1:46" x14ac:dyDescent="0.2">
      <c r="A931">
        <v>136</v>
      </c>
      <c r="B931">
        <v>32</v>
      </c>
      <c r="C931">
        <v>686522</v>
      </c>
      <c r="D931" s="1">
        <v>36887</v>
      </c>
      <c r="E931" t="s">
        <v>57</v>
      </c>
      <c r="F931" t="s">
        <v>69</v>
      </c>
      <c r="G931">
        <v>500</v>
      </c>
      <c r="H931">
        <v>1169.6199999999999</v>
      </c>
      <c r="I931">
        <v>0</v>
      </c>
      <c r="J931">
        <v>458143</v>
      </c>
      <c r="K931" t="s">
        <v>70</v>
      </c>
      <c r="L931" t="s">
        <v>161</v>
      </c>
      <c r="M931" t="s">
        <v>72</v>
      </c>
      <c r="N931" t="s">
        <v>155</v>
      </c>
      <c r="O931" t="s">
        <v>142</v>
      </c>
      <c r="P931">
        <v>0</v>
      </c>
      <c r="Q931">
        <v>0</v>
      </c>
      <c r="R931" s="1">
        <v>42039</v>
      </c>
      <c r="S931" t="s">
        <v>46</v>
      </c>
      <c r="T931" t="s">
        <v>47</v>
      </c>
      <c r="U931" t="s">
        <v>48</v>
      </c>
      <c r="V931" t="s">
        <v>49</v>
      </c>
      <c r="W931" t="s">
        <v>50</v>
      </c>
      <c r="X931" t="s">
        <v>87</v>
      </c>
      <c r="Y931" t="s">
        <v>1108</v>
      </c>
      <c r="Z931">
        <v>6</v>
      </c>
      <c r="AA931">
        <v>1</v>
      </c>
      <c r="AB931" t="s">
        <v>53</v>
      </c>
      <c r="AC931">
        <v>0</v>
      </c>
      <c r="AD931">
        <v>0</v>
      </c>
      <c r="AE931" t="s">
        <v>79</v>
      </c>
      <c r="AF931">
        <v>55000</v>
      </c>
      <c r="AG931">
        <v>10000</v>
      </c>
      <c r="AH931">
        <v>10000</v>
      </c>
      <c r="AI931">
        <v>35000</v>
      </c>
      <c r="AJ931" t="s">
        <v>115</v>
      </c>
      <c r="AK931" t="s">
        <v>116</v>
      </c>
      <c r="AL931">
        <v>2008</v>
      </c>
      <c r="AM931" t="s">
        <v>56</v>
      </c>
      <c r="AN931" s="2">
        <f t="shared" si="98"/>
        <v>46.983649689907914</v>
      </c>
      <c r="AO931">
        <f t="shared" si="99"/>
        <v>-53830.38</v>
      </c>
      <c r="AP931" s="2">
        <f t="shared" si="100"/>
        <v>2.1265431537608404E-2</v>
      </c>
      <c r="AQ931" s="2">
        <f t="shared" si="104"/>
        <v>7</v>
      </c>
      <c r="AR931">
        <f t="shared" si="101"/>
        <v>136</v>
      </c>
      <c r="AS931" t="str">
        <f t="shared" si="102"/>
        <v>High Claim Ratio</v>
      </c>
      <c r="AT931" t="str">
        <f t="shared" si="103"/>
        <v>High Profit</v>
      </c>
    </row>
    <row r="932" spans="1:46" x14ac:dyDescent="0.2">
      <c r="A932">
        <v>310</v>
      </c>
      <c r="B932">
        <v>48</v>
      </c>
      <c r="C932">
        <v>670142</v>
      </c>
      <c r="D932" s="1">
        <v>36378</v>
      </c>
      <c r="E932" t="s">
        <v>57</v>
      </c>
      <c r="F932" t="s">
        <v>69</v>
      </c>
      <c r="G932">
        <v>500</v>
      </c>
      <c r="H932">
        <v>1516.34</v>
      </c>
      <c r="I932">
        <v>0</v>
      </c>
      <c r="J932">
        <v>474167</v>
      </c>
      <c r="K932" t="s">
        <v>70</v>
      </c>
      <c r="L932" t="s">
        <v>161</v>
      </c>
      <c r="M932" t="s">
        <v>185</v>
      </c>
      <c r="N932" t="s">
        <v>44</v>
      </c>
      <c r="O932" t="s">
        <v>85</v>
      </c>
      <c r="P932">
        <v>11000</v>
      </c>
      <c r="Q932">
        <v>0</v>
      </c>
      <c r="R932" s="1">
        <v>42008</v>
      </c>
      <c r="S932" t="s">
        <v>75</v>
      </c>
      <c r="T932" t="s">
        <v>76</v>
      </c>
      <c r="U932" t="s">
        <v>48</v>
      </c>
      <c r="V932" t="s">
        <v>49</v>
      </c>
      <c r="W932" t="s">
        <v>50</v>
      </c>
      <c r="X932" t="s">
        <v>102</v>
      </c>
      <c r="Y932" t="s">
        <v>1109</v>
      </c>
      <c r="Z932">
        <v>11</v>
      </c>
      <c r="AA932">
        <v>4</v>
      </c>
      <c r="AB932" t="s">
        <v>53</v>
      </c>
      <c r="AC932">
        <v>0</v>
      </c>
      <c r="AD932">
        <v>2</v>
      </c>
      <c r="AE932" t="s">
        <v>79</v>
      </c>
      <c r="AF932">
        <v>59400</v>
      </c>
      <c r="AG932">
        <v>13200</v>
      </c>
      <c r="AH932">
        <v>6600</v>
      </c>
      <c r="AI932">
        <v>39600</v>
      </c>
      <c r="AJ932" t="s">
        <v>54</v>
      </c>
      <c r="AK932">
        <v>93</v>
      </c>
      <c r="AL932">
        <v>1996</v>
      </c>
      <c r="AM932" t="s">
        <v>56</v>
      </c>
      <c r="AN932" s="2">
        <f t="shared" si="98"/>
        <v>39.147455415397999</v>
      </c>
      <c r="AO932">
        <f t="shared" si="99"/>
        <v>-57883.66</v>
      </c>
      <c r="AP932" s="2">
        <f t="shared" si="100"/>
        <v>2.5527179677109813E-2</v>
      </c>
      <c r="AQ932" s="2">
        <f t="shared" si="104"/>
        <v>19</v>
      </c>
      <c r="AR932">
        <f t="shared" si="101"/>
        <v>310</v>
      </c>
      <c r="AS932" t="str">
        <f t="shared" si="102"/>
        <v>High Claim Ratio</v>
      </c>
      <c r="AT932" t="str">
        <f t="shared" si="103"/>
        <v>High Profit</v>
      </c>
    </row>
    <row r="933" spans="1:46" x14ac:dyDescent="0.2">
      <c r="A933">
        <v>123</v>
      </c>
      <c r="B933">
        <v>34</v>
      </c>
      <c r="C933">
        <v>607687</v>
      </c>
      <c r="D933" s="1">
        <v>39144</v>
      </c>
      <c r="E933" t="s">
        <v>39</v>
      </c>
      <c r="F933" t="s">
        <v>91</v>
      </c>
      <c r="G933">
        <v>2000</v>
      </c>
      <c r="H933">
        <v>1270.21</v>
      </c>
      <c r="I933">
        <v>0</v>
      </c>
      <c r="J933">
        <v>476413</v>
      </c>
      <c r="K933" t="s">
        <v>70</v>
      </c>
      <c r="L933" t="s">
        <v>141</v>
      </c>
      <c r="M933" t="s">
        <v>72</v>
      </c>
      <c r="N933" t="s">
        <v>44</v>
      </c>
      <c r="O933" t="s">
        <v>45</v>
      </c>
      <c r="P933">
        <v>16100</v>
      </c>
      <c r="Q933">
        <v>-61200</v>
      </c>
      <c r="R933" s="1">
        <v>42018</v>
      </c>
      <c r="S933" t="s">
        <v>75</v>
      </c>
      <c r="T933" t="s">
        <v>47</v>
      </c>
      <c r="U933" t="s">
        <v>107</v>
      </c>
      <c r="V933" t="s">
        <v>99</v>
      </c>
      <c r="W933" t="s">
        <v>175</v>
      </c>
      <c r="X933" t="s">
        <v>51</v>
      </c>
      <c r="Y933" t="s">
        <v>1110</v>
      </c>
      <c r="Z933">
        <v>13</v>
      </c>
      <c r="AA933">
        <v>3</v>
      </c>
      <c r="AB933" t="s">
        <v>79</v>
      </c>
      <c r="AC933">
        <v>1</v>
      </c>
      <c r="AD933">
        <v>1</v>
      </c>
      <c r="AE933" t="s">
        <v>62</v>
      </c>
      <c r="AF933">
        <v>55260</v>
      </c>
      <c r="AG933">
        <v>6140</v>
      </c>
      <c r="AH933">
        <v>0</v>
      </c>
      <c r="AI933">
        <v>49120</v>
      </c>
      <c r="AJ933" t="s">
        <v>104</v>
      </c>
      <c r="AK933" t="s">
        <v>287</v>
      </c>
      <c r="AL933">
        <v>2000</v>
      </c>
      <c r="AM933" t="s">
        <v>82</v>
      </c>
      <c r="AN933" s="2">
        <f t="shared" si="98"/>
        <v>43.4703943486914</v>
      </c>
      <c r="AO933">
        <f t="shared" si="99"/>
        <v>-53989.79</v>
      </c>
      <c r="AP933" s="2">
        <f t="shared" si="100"/>
        <v>2.2985649915853858E-2</v>
      </c>
      <c r="AQ933" s="2">
        <f t="shared" si="104"/>
        <v>15</v>
      </c>
      <c r="AR933">
        <f t="shared" si="101"/>
        <v>123</v>
      </c>
      <c r="AS933" t="str">
        <f t="shared" si="102"/>
        <v>High Claim Ratio</v>
      </c>
      <c r="AT933" t="str">
        <f t="shared" si="103"/>
        <v>High Profit</v>
      </c>
    </row>
    <row r="934" spans="1:46" x14ac:dyDescent="0.2">
      <c r="A934">
        <v>243</v>
      </c>
      <c r="B934">
        <v>44</v>
      </c>
      <c r="C934">
        <v>967713</v>
      </c>
      <c r="D934" s="1">
        <v>35789</v>
      </c>
      <c r="E934" t="s">
        <v>83</v>
      </c>
      <c r="F934" t="s">
        <v>40</v>
      </c>
      <c r="G934">
        <v>500</v>
      </c>
      <c r="H934">
        <v>809.11</v>
      </c>
      <c r="I934">
        <v>0</v>
      </c>
      <c r="J934">
        <v>600208</v>
      </c>
      <c r="K934" t="s">
        <v>41</v>
      </c>
      <c r="L934" t="s">
        <v>161</v>
      </c>
      <c r="M934" t="s">
        <v>43</v>
      </c>
      <c r="N934" t="s">
        <v>173</v>
      </c>
      <c r="O934" t="s">
        <v>60</v>
      </c>
      <c r="P934">
        <v>33200</v>
      </c>
      <c r="Q934">
        <v>0</v>
      </c>
      <c r="R934" s="1">
        <v>42031</v>
      </c>
      <c r="S934" t="s">
        <v>75</v>
      </c>
      <c r="T934" t="s">
        <v>47</v>
      </c>
      <c r="U934" t="s">
        <v>63</v>
      </c>
      <c r="V934" t="s">
        <v>120</v>
      </c>
      <c r="W934" t="s">
        <v>121</v>
      </c>
      <c r="X934" t="s">
        <v>102</v>
      </c>
      <c r="Y934" t="s">
        <v>1111</v>
      </c>
      <c r="Z934">
        <v>4</v>
      </c>
      <c r="AA934">
        <v>3</v>
      </c>
      <c r="AB934" t="s">
        <v>62</v>
      </c>
      <c r="AC934">
        <v>2</v>
      </c>
      <c r="AD934">
        <v>1</v>
      </c>
      <c r="AE934" t="s">
        <v>53</v>
      </c>
      <c r="AF934">
        <v>51400</v>
      </c>
      <c r="AG934">
        <v>5140</v>
      </c>
      <c r="AH934">
        <v>10280</v>
      </c>
      <c r="AI934">
        <v>35980</v>
      </c>
      <c r="AJ934" t="s">
        <v>209</v>
      </c>
      <c r="AK934" t="s">
        <v>210</v>
      </c>
      <c r="AL934">
        <v>1996</v>
      </c>
      <c r="AM934" t="s">
        <v>82</v>
      </c>
      <c r="AN934" s="2">
        <f t="shared" si="98"/>
        <v>63.448173704805519</v>
      </c>
      <c r="AO934">
        <f t="shared" si="99"/>
        <v>-50590.89</v>
      </c>
      <c r="AP934" s="2">
        <f t="shared" si="100"/>
        <v>1.5741133440983639E-2</v>
      </c>
      <c r="AQ934" s="2">
        <f t="shared" si="104"/>
        <v>19</v>
      </c>
      <c r="AR934">
        <f t="shared" si="101"/>
        <v>243</v>
      </c>
      <c r="AS934" t="str">
        <f t="shared" si="102"/>
        <v>High Claim Ratio</v>
      </c>
      <c r="AT934" t="str">
        <f t="shared" si="103"/>
        <v>High Profit</v>
      </c>
    </row>
    <row r="935" spans="1:46" x14ac:dyDescent="0.2">
      <c r="A935">
        <v>36</v>
      </c>
      <c r="B935">
        <v>37</v>
      </c>
      <c r="C935">
        <v>291902</v>
      </c>
      <c r="D935" s="1">
        <v>41584</v>
      </c>
      <c r="E935" t="s">
        <v>83</v>
      </c>
      <c r="F935" t="s">
        <v>91</v>
      </c>
      <c r="G935">
        <v>1000</v>
      </c>
      <c r="H935">
        <v>1115.81</v>
      </c>
      <c r="I935">
        <v>0</v>
      </c>
      <c r="J935">
        <v>618926</v>
      </c>
      <c r="K935" t="s">
        <v>70</v>
      </c>
      <c r="L935" t="s">
        <v>124</v>
      </c>
      <c r="M935" t="s">
        <v>58</v>
      </c>
      <c r="N935" t="s">
        <v>59</v>
      </c>
      <c r="O935" t="s">
        <v>45</v>
      </c>
      <c r="P935">
        <v>0</v>
      </c>
      <c r="Q935">
        <v>-59800</v>
      </c>
      <c r="R935" s="1">
        <v>42047</v>
      </c>
      <c r="S935" t="s">
        <v>75</v>
      </c>
      <c r="T935" t="s">
        <v>47</v>
      </c>
      <c r="U935" t="s">
        <v>63</v>
      </c>
      <c r="V935" t="s">
        <v>136</v>
      </c>
      <c r="W935" t="s">
        <v>77</v>
      </c>
      <c r="X935" t="s">
        <v>51</v>
      </c>
      <c r="Y935" t="s">
        <v>1112</v>
      </c>
      <c r="Z935">
        <v>20</v>
      </c>
      <c r="AA935">
        <v>3</v>
      </c>
      <c r="AB935" t="s">
        <v>53</v>
      </c>
      <c r="AC935">
        <v>1</v>
      </c>
      <c r="AD935">
        <v>3</v>
      </c>
      <c r="AE935" t="s">
        <v>62</v>
      </c>
      <c r="AF935">
        <v>48780</v>
      </c>
      <c r="AG935">
        <v>5420</v>
      </c>
      <c r="AH935">
        <v>10840</v>
      </c>
      <c r="AI935">
        <v>32520</v>
      </c>
      <c r="AJ935" t="s">
        <v>80</v>
      </c>
      <c r="AK935" t="s">
        <v>144</v>
      </c>
      <c r="AL935">
        <v>2008</v>
      </c>
      <c r="AM935" t="s">
        <v>82</v>
      </c>
      <c r="AN935" s="2">
        <f t="shared" si="98"/>
        <v>43.677975662825368</v>
      </c>
      <c r="AO935">
        <f t="shared" si="99"/>
        <v>-47664.19</v>
      </c>
      <c r="AP935" s="2">
        <f t="shared" si="100"/>
        <v>2.2873864824419343E-2</v>
      </c>
      <c r="AQ935" s="2">
        <f t="shared" si="104"/>
        <v>7</v>
      </c>
      <c r="AR935">
        <f t="shared" si="101"/>
        <v>36</v>
      </c>
      <c r="AS935" t="str">
        <f t="shared" si="102"/>
        <v>High Claim Ratio</v>
      </c>
      <c r="AT935" t="str">
        <f t="shared" si="103"/>
        <v>High Profit</v>
      </c>
    </row>
    <row r="936" spans="1:46" x14ac:dyDescent="0.2">
      <c r="A936">
        <v>146</v>
      </c>
      <c r="B936">
        <v>31</v>
      </c>
      <c r="C936">
        <v>149839</v>
      </c>
      <c r="D936" s="1">
        <v>33137</v>
      </c>
      <c r="E936" t="s">
        <v>39</v>
      </c>
      <c r="F936" t="s">
        <v>69</v>
      </c>
      <c r="G936">
        <v>1000</v>
      </c>
      <c r="H936">
        <v>1457.65</v>
      </c>
      <c r="I936">
        <v>5000000</v>
      </c>
      <c r="J936">
        <v>606219</v>
      </c>
      <c r="K936" t="s">
        <v>70</v>
      </c>
      <c r="L936" t="s">
        <v>141</v>
      </c>
      <c r="M936" t="s">
        <v>84</v>
      </c>
      <c r="N936" t="s">
        <v>118</v>
      </c>
      <c r="O936" t="s">
        <v>74</v>
      </c>
      <c r="P936">
        <v>0</v>
      </c>
      <c r="Q936">
        <v>0</v>
      </c>
      <c r="R936" s="1">
        <v>42038</v>
      </c>
      <c r="S936" t="s">
        <v>75</v>
      </c>
      <c r="T936" t="s">
        <v>76</v>
      </c>
      <c r="U936" t="s">
        <v>48</v>
      </c>
      <c r="V936" t="s">
        <v>136</v>
      </c>
      <c r="W936" t="s">
        <v>64</v>
      </c>
      <c r="X936" t="s">
        <v>65</v>
      </c>
      <c r="Y936" t="s">
        <v>1113</v>
      </c>
      <c r="Z936">
        <v>0</v>
      </c>
      <c r="AA936">
        <v>3</v>
      </c>
      <c r="AB936" t="s">
        <v>79</v>
      </c>
      <c r="AC936">
        <v>1</v>
      </c>
      <c r="AD936">
        <v>3</v>
      </c>
      <c r="AE936" t="s">
        <v>62</v>
      </c>
      <c r="AF936">
        <v>52380</v>
      </c>
      <c r="AG936">
        <v>5820</v>
      </c>
      <c r="AH936">
        <v>5820</v>
      </c>
      <c r="AI936">
        <v>40740</v>
      </c>
      <c r="AJ936" t="s">
        <v>115</v>
      </c>
      <c r="AK936" t="s">
        <v>140</v>
      </c>
      <c r="AL936">
        <v>2010</v>
      </c>
      <c r="AM936" t="s">
        <v>82</v>
      </c>
      <c r="AN936" s="2">
        <f t="shared" si="98"/>
        <v>35.909916703801457</v>
      </c>
      <c r="AO936">
        <f t="shared" si="99"/>
        <v>-50922.35</v>
      </c>
      <c r="AP936" s="2">
        <f t="shared" si="100"/>
        <v>2.7827838338328786E-2</v>
      </c>
      <c r="AQ936" s="2">
        <f t="shared" si="104"/>
        <v>5</v>
      </c>
      <c r="AR936">
        <f t="shared" si="101"/>
        <v>146</v>
      </c>
      <c r="AS936" t="str">
        <f t="shared" si="102"/>
        <v>High Claim Ratio</v>
      </c>
      <c r="AT936" t="str">
        <f t="shared" si="103"/>
        <v>High Profit</v>
      </c>
    </row>
    <row r="937" spans="1:46" x14ac:dyDescent="0.2">
      <c r="A937">
        <v>154</v>
      </c>
      <c r="B937">
        <v>34</v>
      </c>
      <c r="C937">
        <v>840225</v>
      </c>
      <c r="D937" s="1">
        <v>36438</v>
      </c>
      <c r="E937" t="s">
        <v>39</v>
      </c>
      <c r="F937" t="s">
        <v>69</v>
      </c>
      <c r="G937">
        <v>1000</v>
      </c>
      <c r="H937">
        <v>1041.3599999999999</v>
      </c>
      <c r="I937">
        <v>0</v>
      </c>
      <c r="J937">
        <v>448436</v>
      </c>
      <c r="K937" t="s">
        <v>70</v>
      </c>
      <c r="L937" t="s">
        <v>161</v>
      </c>
      <c r="M937" t="s">
        <v>117</v>
      </c>
      <c r="N937" t="s">
        <v>242</v>
      </c>
      <c r="O937" t="s">
        <v>45</v>
      </c>
      <c r="P937">
        <v>53100</v>
      </c>
      <c r="Q937">
        <v>-43900</v>
      </c>
      <c r="R937" s="1">
        <v>42030</v>
      </c>
      <c r="S937" t="s">
        <v>75</v>
      </c>
      <c r="T937" t="s">
        <v>47</v>
      </c>
      <c r="U937" t="s">
        <v>107</v>
      </c>
      <c r="V937" t="s">
        <v>120</v>
      </c>
      <c r="W937" t="s">
        <v>113</v>
      </c>
      <c r="X937" t="s">
        <v>122</v>
      </c>
      <c r="Y937" t="s">
        <v>1114</v>
      </c>
      <c r="Z937">
        <v>18</v>
      </c>
      <c r="AA937">
        <v>4</v>
      </c>
      <c r="AB937" t="s">
        <v>62</v>
      </c>
      <c r="AC937">
        <v>2</v>
      </c>
      <c r="AD937">
        <v>3</v>
      </c>
      <c r="AE937" t="s">
        <v>53</v>
      </c>
      <c r="AF937">
        <v>74360</v>
      </c>
      <c r="AG937">
        <v>13520</v>
      </c>
      <c r="AH937">
        <v>13520</v>
      </c>
      <c r="AI937">
        <v>47320</v>
      </c>
      <c r="AJ937" t="s">
        <v>115</v>
      </c>
      <c r="AK937" t="s">
        <v>140</v>
      </c>
      <c r="AL937">
        <v>2005</v>
      </c>
      <c r="AM937" t="s">
        <v>56</v>
      </c>
      <c r="AN937" s="2">
        <f t="shared" si="98"/>
        <v>71.338117349092457</v>
      </c>
      <c r="AO937">
        <f t="shared" si="99"/>
        <v>-73318.64</v>
      </c>
      <c r="AP937" s="2">
        <f t="shared" si="100"/>
        <v>1.4004115060313873E-2</v>
      </c>
      <c r="AQ937" s="2">
        <f t="shared" si="104"/>
        <v>10</v>
      </c>
      <c r="AR937">
        <f t="shared" si="101"/>
        <v>154</v>
      </c>
      <c r="AS937" t="str">
        <f t="shared" si="102"/>
        <v>High Claim Ratio</v>
      </c>
      <c r="AT937" t="str">
        <f t="shared" si="103"/>
        <v>High Profit</v>
      </c>
    </row>
    <row r="938" spans="1:46" x14ac:dyDescent="0.2">
      <c r="A938">
        <v>204</v>
      </c>
      <c r="B938">
        <v>40</v>
      </c>
      <c r="C938">
        <v>643226</v>
      </c>
      <c r="D938" s="1">
        <v>33701</v>
      </c>
      <c r="E938" t="s">
        <v>39</v>
      </c>
      <c r="F938" t="s">
        <v>40</v>
      </c>
      <c r="G938">
        <v>1000</v>
      </c>
      <c r="H938">
        <v>1693.83</v>
      </c>
      <c r="I938">
        <v>7000000</v>
      </c>
      <c r="J938">
        <v>447976</v>
      </c>
      <c r="K938" t="s">
        <v>41</v>
      </c>
      <c r="L938" t="s">
        <v>131</v>
      </c>
      <c r="M938" t="s">
        <v>135</v>
      </c>
      <c r="N938" t="s">
        <v>173</v>
      </c>
      <c r="O938" t="s">
        <v>60</v>
      </c>
      <c r="P938">
        <v>44000</v>
      </c>
      <c r="Q938">
        <v>-20800</v>
      </c>
      <c r="R938" s="1">
        <v>42013</v>
      </c>
      <c r="S938" t="s">
        <v>46</v>
      </c>
      <c r="T938" t="s">
        <v>86</v>
      </c>
      <c r="U938" t="s">
        <v>63</v>
      </c>
      <c r="V938" t="s">
        <v>49</v>
      </c>
      <c r="W938" t="s">
        <v>77</v>
      </c>
      <c r="X938" t="s">
        <v>156</v>
      </c>
      <c r="Y938" t="s">
        <v>1115</v>
      </c>
      <c r="Z938">
        <v>6</v>
      </c>
      <c r="AA938">
        <v>1</v>
      </c>
      <c r="AB938" t="s">
        <v>62</v>
      </c>
      <c r="AC938">
        <v>1</v>
      </c>
      <c r="AD938">
        <v>0</v>
      </c>
      <c r="AE938" t="s">
        <v>62</v>
      </c>
      <c r="AF938">
        <v>53400</v>
      </c>
      <c r="AG938">
        <v>5340</v>
      </c>
      <c r="AH938">
        <v>5340</v>
      </c>
      <c r="AI938">
        <v>42720</v>
      </c>
      <c r="AJ938" t="s">
        <v>209</v>
      </c>
      <c r="AK938" t="s">
        <v>225</v>
      </c>
      <c r="AL938">
        <v>2003</v>
      </c>
      <c r="AM938" t="s">
        <v>82</v>
      </c>
      <c r="AN938" s="2">
        <f t="shared" si="98"/>
        <v>31.507584831517025</v>
      </c>
      <c r="AO938">
        <f t="shared" si="99"/>
        <v>-51706.17</v>
      </c>
      <c r="AP938" s="2">
        <f t="shared" si="100"/>
        <v>3.171906893129342E-2</v>
      </c>
      <c r="AQ938" s="2">
        <f t="shared" si="104"/>
        <v>12</v>
      </c>
      <c r="AR938">
        <f t="shared" si="101"/>
        <v>204</v>
      </c>
      <c r="AS938" t="str">
        <f t="shared" si="102"/>
        <v>High Claim Ratio</v>
      </c>
      <c r="AT938" t="str">
        <f t="shared" si="103"/>
        <v>High Profit</v>
      </c>
    </row>
    <row r="939" spans="1:46" x14ac:dyDescent="0.2">
      <c r="A939">
        <v>458</v>
      </c>
      <c r="B939">
        <v>59</v>
      </c>
      <c r="C939">
        <v>535879</v>
      </c>
      <c r="D939" s="1">
        <v>39877</v>
      </c>
      <c r="E939" t="s">
        <v>57</v>
      </c>
      <c r="F939" t="s">
        <v>69</v>
      </c>
      <c r="G939">
        <v>1000</v>
      </c>
      <c r="H939">
        <v>1685.69</v>
      </c>
      <c r="I939">
        <v>0</v>
      </c>
      <c r="J939">
        <v>472236</v>
      </c>
      <c r="K939" t="s">
        <v>70</v>
      </c>
      <c r="L939" t="s">
        <v>131</v>
      </c>
      <c r="M939" t="s">
        <v>135</v>
      </c>
      <c r="N939" t="s">
        <v>149</v>
      </c>
      <c r="O939" t="s">
        <v>119</v>
      </c>
      <c r="P939">
        <v>31400</v>
      </c>
      <c r="Q939">
        <v>0</v>
      </c>
      <c r="R939" s="1">
        <v>42052</v>
      </c>
      <c r="S939" t="s">
        <v>46</v>
      </c>
      <c r="T939" t="s">
        <v>86</v>
      </c>
      <c r="U939" t="s">
        <v>107</v>
      </c>
      <c r="V939" t="s">
        <v>49</v>
      </c>
      <c r="W939" t="s">
        <v>64</v>
      </c>
      <c r="X939" t="s">
        <v>122</v>
      </c>
      <c r="Y939" t="s">
        <v>1116</v>
      </c>
      <c r="Z939">
        <v>23</v>
      </c>
      <c r="AA939">
        <v>1</v>
      </c>
      <c r="AB939" t="s">
        <v>62</v>
      </c>
      <c r="AC939">
        <v>2</v>
      </c>
      <c r="AD939">
        <v>2</v>
      </c>
      <c r="AE939" t="s">
        <v>53</v>
      </c>
      <c r="AF939">
        <v>71800</v>
      </c>
      <c r="AG939">
        <v>14360</v>
      </c>
      <c r="AH939">
        <v>14360</v>
      </c>
      <c r="AI939">
        <v>43080</v>
      </c>
      <c r="AJ939" t="s">
        <v>197</v>
      </c>
      <c r="AK939" t="s">
        <v>375</v>
      </c>
      <c r="AL939">
        <v>1995</v>
      </c>
      <c r="AM939" t="s">
        <v>82</v>
      </c>
      <c r="AN939" s="2">
        <f t="shared" si="98"/>
        <v>42.568581067060336</v>
      </c>
      <c r="AO939">
        <f t="shared" si="99"/>
        <v>-70114.31</v>
      </c>
      <c r="AP939" s="2">
        <f t="shared" si="100"/>
        <v>2.3477249620478823E-2</v>
      </c>
      <c r="AQ939" s="2">
        <f t="shared" si="104"/>
        <v>20</v>
      </c>
      <c r="AR939">
        <f t="shared" si="101"/>
        <v>458</v>
      </c>
      <c r="AS939" t="str">
        <f t="shared" si="102"/>
        <v>High Claim Ratio</v>
      </c>
      <c r="AT939" t="str">
        <f t="shared" si="103"/>
        <v>High Profit</v>
      </c>
    </row>
    <row r="940" spans="1:46" x14ac:dyDescent="0.2">
      <c r="A940">
        <v>147</v>
      </c>
      <c r="B940">
        <v>31</v>
      </c>
      <c r="C940">
        <v>746630</v>
      </c>
      <c r="D940" s="1">
        <v>35471</v>
      </c>
      <c r="E940" t="s">
        <v>57</v>
      </c>
      <c r="F940" t="s">
        <v>40</v>
      </c>
      <c r="G940">
        <v>500</v>
      </c>
      <c r="H940">
        <v>1054.92</v>
      </c>
      <c r="I940">
        <v>6000000</v>
      </c>
      <c r="J940">
        <v>468232</v>
      </c>
      <c r="K940" t="s">
        <v>70</v>
      </c>
      <c r="L940" t="s">
        <v>71</v>
      </c>
      <c r="M940" t="s">
        <v>101</v>
      </c>
      <c r="N940" t="s">
        <v>264</v>
      </c>
      <c r="O940" t="s">
        <v>74</v>
      </c>
      <c r="P940">
        <v>51900</v>
      </c>
      <c r="Q940">
        <v>0</v>
      </c>
      <c r="R940" s="1">
        <v>42020</v>
      </c>
      <c r="S940" t="s">
        <v>46</v>
      </c>
      <c r="T940" t="s">
        <v>86</v>
      </c>
      <c r="U940" t="s">
        <v>48</v>
      </c>
      <c r="V940" t="s">
        <v>120</v>
      </c>
      <c r="W940" t="s">
        <v>77</v>
      </c>
      <c r="X940" t="s">
        <v>156</v>
      </c>
      <c r="Y940" t="s">
        <v>1117</v>
      </c>
      <c r="Z940">
        <v>4</v>
      </c>
      <c r="AA940">
        <v>1</v>
      </c>
      <c r="AB940" t="s">
        <v>62</v>
      </c>
      <c r="AC940">
        <v>0</v>
      </c>
      <c r="AD940">
        <v>0</v>
      </c>
      <c r="AE940" t="s">
        <v>62</v>
      </c>
      <c r="AF940">
        <v>68240</v>
      </c>
      <c r="AG940">
        <v>8530</v>
      </c>
      <c r="AH940">
        <v>0</v>
      </c>
      <c r="AI940">
        <v>59710</v>
      </c>
      <c r="AJ940" t="s">
        <v>115</v>
      </c>
      <c r="AK940" t="s">
        <v>183</v>
      </c>
      <c r="AL940">
        <v>2013</v>
      </c>
      <c r="AM940" t="s">
        <v>56</v>
      </c>
      <c r="AN940" s="2">
        <f t="shared" si="98"/>
        <v>64.626108038487757</v>
      </c>
      <c r="AO940">
        <f t="shared" si="99"/>
        <v>-67185.08</v>
      </c>
      <c r="AP940" s="2">
        <f t="shared" si="100"/>
        <v>1.5458741812107091E-2</v>
      </c>
      <c r="AQ940" s="2">
        <f t="shared" si="104"/>
        <v>2</v>
      </c>
      <c r="AR940">
        <f t="shared" si="101"/>
        <v>147</v>
      </c>
      <c r="AS940" t="str">
        <f t="shared" si="102"/>
        <v>High Claim Ratio</v>
      </c>
      <c r="AT940" t="str">
        <f t="shared" si="103"/>
        <v>High Profit</v>
      </c>
    </row>
    <row r="941" spans="1:46" x14ac:dyDescent="0.2">
      <c r="A941">
        <v>279</v>
      </c>
      <c r="B941">
        <v>45</v>
      </c>
      <c r="C941">
        <v>598308</v>
      </c>
      <c r="D941" s="1">
        <v>33631</v>
      </c>
      <c r="E941" t="s">
        <v>57</v>
      </c>
      <c r="F941" t="s">
        <v>40</v>
      </c>
      <c r="G941">
        <v>2000</v>
      </c>
      <c r="H941">
        <v>1333.97</v>
      </c>
      <c r="I941">
        <v>6000000</v>
      </c>
      <c r="J941">
        <v>620819</v>
      </c>
      <c r="K941" t="s">
        <v>70</v>
      </c>
      <c r="L941" t="s">
        <v>42</v>
      </c>
      <c r="M941" t="s">
        <v>111</v>
      </c>
      <c r="N941" t="s">
        <v>98</v>
      </c>
      <c r="O941" t="s">
        <v>85</v>
      </c>
      <c r="P941">
        <v>61100</v>
      </c>
      <c r="Q941">
        <v>-30700</v>
      </c>
      <c r="R941" s="1">
        <v>42016</v>
      </c>
      <c r="S941" t="s">
        <v>75</v>
      </c>
      <c r="T941" t="s">
        <v>76</v>
      </c>
      <c r="U941" t="s">
        <v>48</v>
      </c>
      <c r="V941" t="s">
        <v>120</v>
      </c>
      <c r="W941" t="s">
        <v>50</v>
      </c>
      <c r="X941" t="s">
        <v>87</v>
      </c>
      <c r="Y941" t="s">
        <v>1118</v>
      </c>
      <c r="Z941">
        <v>21</v>
      </c>
      <c r="AA941">
        <v>3</v>
      </c>
      <c r="AB941" t="s">
        <v>62</v>
      </c>
      <c r="AC941">
        <v>1</v>
      </c>
      <c r="AD941">
        <v>0</v>
      </c>
      <c r="AE941" t="s">
        <v>62</v>
      </c>
      <c r="AF941">
        <v>61050</v>
      </c>
      <c r="AG941">
        <v>11100</v>
      </c>
      <c r="AH941">
        <v>11100</v>
      </c>
      <c r="AI941">
        <v>38850</v>
      </c>
      <c r="AJ941" t="s">
        <v>80</v>
      </c>
      <c r="AK941" t="s">
        <v>81</v>
      </c>
      <c r="AL941">
        <v>2011</v>
      </c>
      <c r="AM941" t="s">
        <v>56</v>
      </c>
      <c r="AN941" s="2">
        <f t="shared" si="98"/>
        <v>45.731364749769654</v>
      </c>
      <c r="AO941">
        <f t="shared" si="99"/>
        <v>-59716.03</v>
      </c>
      <c r="AP941" s="2">
        <f t="shared" si="100"/>
        <v>2.1850092545576648E-2</v>
      </c>
      <c r="AQ941" s="2">
        <f t="shared" si="104"/>
        <v>4</v>
      </c>
      <c r="AR941">
        <f t="shared" si="101"/>
        <v>279</v>
      </c>
      <c r="AS941" t="str">
        <f t="shared" si="102"/>
        <v>High Claim Ratio</v>
      </c>
      <c r="AT941" t="str">
        <f t="shared" si="103"/>
        <v>High Profit</v>
      </c>
    </row>
    <row r="942" spans="1:46" x14ac:dyDescent="0.2">
      <c r="A942">
        <v>308</v>
      </c>
      <c r="B942">
        <v>47</v>
      </c>
      <c r="C942">
        <v>720356</v>
      </c>
      <c r="D942" s="1">
        <v>41533</v>
      </c>
      <c r="E942" t="s">
        <v>39</v>
      </c>
      <c r="F942" t="s">
        <v>69</v>
      </c>
      <c r="G942">
        <v>1000</v>
      </c>
      <c r="H942">
        <v>1013.61</v>
      </c>
      <c r="I942">
        <v>6000000</v>
      </c>
      <c r="J942">
        <v>452349</v>
      </c>
      <c r="K942" t="s">
        <v>70</v>
      </c>
      <c r="L942" t="s">
        <v>92</v>
      </c>
      <c r="M942" t="s">
        <v>43</v>
      </c>
      <c r="N942" t="s">
        <v>146</v>
      </c>
      <c r="O942" t="s">
        <v>74</v>
      </c>
      <c r="P942">
        <v>45700</v>
      </c>
      <c r="Q942">
        <v>-41400</v>
      </c>
      <c r="R942" s="1">
        <v>42007</v>
      </c>
      <c r="S942" t="s">
        <v>138</v>
      </c>
      <c r="T942" t="s">
        <v>62</v>
      </c>
      <c r="U942" t="s">
        <v>63</v>
      </c>
      <c r="V942" t="s">
        <v>93</v>
      </c>
      <c r="W942" t="s">
        <v>77</v>
      </c>
      <c r="X942" t="s">
        <v>102</v>
      </c>
      <c r="Y942" t="s">
        <v>1119</v>
      </c>
      <c r="Z942">
        <v>7</v>
      </c>
      <c r="AA942">
        <v>1</v>
      </c>
      <c r="AB942" t="s">
        <v>62</v>
      </c>
      <c r="AC942">
        <v>1</v>
      </c>
      <c r="AD942">
        <v>1</v>
      </c>
      <c r="AE942" t="s">
        <v>53</v>
      </c>
      <c r="AF942">
        <v>5590</v>
      </c>
      <c r="AG942">
        <v>860</v>
      </c>
      <c r="AH942">
        <v>860</v>
      </c>
      <c r="AI942">
        <v>3870</v>
      </c>
      <c r="AJ942" t="s">
        <v>153</v>
      </c>
      <c r="AK942" t="s">
        <v>163</v>
      </c>
      <c r="AL942">
        <v>2002</v>
      </c>
      <c r="AM942" t="s">
        <v>82</v>
      </c>
      <c r="AN942" s="2">
        <f t="shared" si="98"/>
        <v>5.509506115650348</v>
      </c>
      <c r="AO942">
        <f t="shared" si="99"/>
        <v>-4576.3900000000003</v>
      </c>
      <c r="AP942" s="2">
        <f t="shared" si="100"/>
        <v>0.18129314970488286</v>
      </c>
      <c r="AQ942" s="2">
        <f t="shared" si="104"/>
        <v>13</v>
      </c>
      <c r="AR942">
        <f t="shared" si="101"/>
        <v>308</v>
      </c>
      <c r="AS942" t="str">
        <f t="shared" si="102"/>
        <v>Medium Claim Ratio</v>
      </c>
      <c r="AT942" t="str">
        <f t="shared" si="103"/>
        <v>Low Profit</v>
      </c>
    </row>
    <row r="943" spans="1:46" x14ac:dyDescent="0.2">
      <c r="A943">
        <v>284</v>
      </c>
      <c r="B943">
        <v>48</v>
      </c>
      <c r="C943">
        <v>724752</v>
      </c>
      <c r="D943" s="1">
        <v>39584</v>
      </c>
      <c r="E943" t="s">
        <v>83</v>
      </c>
      <c r="F943" t="s">
        <v>91</v>
      </c>
      <c r="G943">
        <v>500</v>
      </c>
      <c r="H943">
        <v>958.3</v>
      </c>
      <c r="I943">
        <v>0</v>
      </c>
      <c r="J943">
        <v>464646</v>
      </c>
      <c r="K943" t="s">
        <v>70</v>
      </c>
      <c r="L943" t="s">
        <v>71</v>
      </c>
      <c r="M943" t="s">
        <v>58</v>
      </c>
      <c r="N943" t="s">
        <v>264</v>
      </c>
      <c r="O943" t="s">
        <v>45</v>
      </c>
      <c r="P943">
        <v>47900</v>
      </c>
      <c r="Q943">
        <v>0</v>
      </c>
      <c r="R943" s="1">
        <v>42026</v>
      </c>
      <c r="S943" t="s">
        <v>75</v>
      </c>
      <c r="T943" t="s">
        <v>47</v>
      </c>
      <c r="U943" t="s">
        <v>48</v>
      </c>
      <c r="V943" t="s">
        <v>99</v>
      </c>
      <c r="W943" t="s">
        <v>77</v>
      </c>
      <c r="X943" t="s">
        <v>51</v>
      </c>
      <c r="Y943" t="s">
        <v>1120</v>
      </c>
      <c r="Z943">
        <v>19</v>
      </c>
      <c r="AA943">
        <v>3</v>
      </c>
      <c r="AB943" t="s">
        <v>62</v>
      </c>
      <c r="AC943">
        <v>0</v>
      </c>
      <c r="AD943">
        <v>0</v>
      </c>
      <c r="AE943" t="s">
        <v>62</v>
      </c>
      <c r="AF943">
        <v>46860</v>
      </c>
      <c r="AG943">
        <v>8520</v>
      </c>
      <c r="AH943">
        <v>8520</v>
      </c>
      <c r="AI943">
        <v>29820</v>
      </c>
      <c r="AJ943" t="s">
        <v>214</v>
      </c>
      <c r="AK943" t="s">
        <v>215</v>
      </c>
      <c r="AL943">
        <v>1998</v>
      </c>
      <c r="AM943" t="s">
        <v>82</v>
      </c>
      <c r="AN943" s="2">
        <f t="shared" si="98"/>
        <v>48.848118419681022</v>
      </c>
      <c r="AO943">
        <f t="shared" si="99"/>
        <v>-45901.7</v>
      </c>
      <c r="AP943" s="2">
        <f t="shared" si="100"/>
        <v>2.0449841019184397E-2</v>
      </c>
      <c r="AQ943" s="2">
        <f t="shared" si="104"/>
        <v>17</v>
      </c>
      <c r="AR943">
        <f t="shared" si="101"/>
        <v>284</v>
      </c>
      <c r="AS943" t="str">
        <f t="shared" si="102"/>
        <v>High Claim Ratio</v>
      </c>
      <c r="AT943" t="str">
        <f t="shared" si="103"/>
        <v>High Profit</v>
      </c>
    </row>
    <row r="944" spans="1:46" x14ac:dyDescent="0.2">
      <c r="A944">
        <v>108</v>
      </c>
      <c r="B944">
        <v>31</v>
      </c>
      <c r="C944">
        <v>148498</v>
      </c>
      <c r="D944" s="1">
        <v>37260</v>
      </c>
      <c r="E944" t="s">
        <v>57</v>
      </c>
      <c r="F944" t="s">
        <v>40</v>
      </c>
      <c r="G944">
        <v>2000</v>
      </c>
      <c r="H944">
        <v>1112.04</v>
      </c>
      <c r="I944">
        <v>6000000</v>
      </c>
      <c r="J944">
        <v>472209</v>
      </c>
      <c r="K944" t="s">
        <v>70</v>
      </c>
      <c r="L944" t="s">
        <v>71</v>
      </c>
      <c r="M944" t="s">
        <v>111</v>
      </c>
      <c r="N944" t="s">
        <v>106</v>
      </c>
      <c r="O944" t="s">
        <v>74</v>
      </c>
      <c r="P944">
        <v>52800</v>
      </c>
      <c r="Q944">
        <v>-54300</v>
      </c>
      <c r="R944" s="1">
        <v>42017</v>
      </c>
      <c r="S944" t="s">
        <v>138</v>
      </c>
      <c r="T944" t="s">
        <v>62</v>
      </c>
      <c r="U944" t="s">
        <v>63</v>
      </c>
      <c r="V944" t="s">
        <v>93</v>
      </c>
      <c r="W944" t="s">
        <v>50</v>
      </c>
      <c r="X944" t="s">
        <v>87</v>
      </c>
      <c r="Y944" t="s">
        <v>1121</v>
      </c>
      <c r="Z944">
        <v>5</v>
      </c>
      <c r="AA944">
        <v>1</v>
      </c>
      <c r="AB944" t="s">
        <v>79</v>
      </c>
      <c r="AC944">
        <v>1</v>
      </c>
      <c r="AD944">
        <v>3</v>
      </c>
      <c r="AE944" t="s">
        <v>79</v>
      </c>
      <c r="AF944">
        <v>4290</v>
      </c>
      <c r="AG944">
        <v>780</v>
      </c>
      <c r="AH944">
        <v>780</v>
      </c>
      <c r="AI944">
        <v>2730</v>
      </c>
      <c r="AJ944" t="s">
        <v>214</v>
      </c>
      <c r="AK944" t="s">
        <v>215</v>
      </c>
      <c r="AL944">
        <v>1998</v>
      </c>
      <c r="AM944" t="s">
        <v>82</v>
      </c>
      <c r="AN944" s="2">
        <f t="shared" si="98"/>
        <v>3.8543089197153741</v>
      </c>
      <c r="AO944">
        <f t="shared" si="99"/>
        <v>-3177.96</v>
      </c>
      <c r="AP944" s="2">
        <f t="shared" si="100"/>
        <v>0.25915637380563972</v>
      </c>
      <c r="AQ944" s="2">
        <f t="shared" si="104"/>
        <v>17</v>
      </c>
      <c r="AR944">
        <f t="shared" si="101"/>
        <v>108</v>
      </c>
      <c r="AS944" t="str">
        <f t="shared" si="102"/>
        <v>Low Claim Ratio</v>
      </c>
      <c r="AT944" t="str">
        <f t="shared" si="103"/>
        <v>Low Profit</v>
      </c>
    </row>
    <row r="945" spans="1:46" x14ac:dyDescent="0.2">
      <c r="A945">
        <v>421</v>
      </c>
      <c r="B945">
        <v>57</v>
      </c>
      <c r="C945">
        <v>110122</v>
      </c>
      <c r="D945" s="1">
        <v>37348</v>
      </c>
      <c r="E945" t="s">
        <v>57</v>
      </c>
      <c r="F945" t="s">
        <v>40</v>
      </c>
      <c r="G945">
        <v>2000</v>
      </c>
      <c r="H945">
        <v>1206.26</v>
      </c>
      <c r="I945">
        <v>0</v>
      </c>
      <c r="J945">
        <v>459955</v>
      </c>
      <c r="K945" t="s">
        <v>70</v>
      </c>
      <c r="L945" t="s">
        <v>92</v>
      </c>
      <c r="M945" t="s">
        <v>84</v>
      </c>
      <c r="N945" t="s">
        <v>98</v>
      </c>
      <c r="O945" t="s">
        <v>74</v>
      </c>
      <c r="P945">
        <v>69900</v>
      </c>
      <c r="Q945">
        <v>0</v>
      </c>
      <c r="R945" s="1">
        <v>42035</v>
      </c>
      <c r="S945" t="s">
        <v>75</v>
      </c>
      <c r="T945" t="s">
        <v>86</v>
      </c>
      <c r="U945" t="s">
        <v>63</v>
      </c>
      <c r="V945" t="s">
        <v>49</v>
      </c>
      <c r="W945" t="s">
        <v>121</v>
      </c>
      <c r="X945" t="s">
        <v>87</v>
      </c>
      <c r="Y945" t="s">
        <v>1122</v>
      </c>
      <c r="Z945">
        <v>22</v>
      </c>
      <c r="AA945">
        <v>3</v>
      </c>
      <c r="AB945" t="s">
        <v>53</v>
      </c>
      <c r="AC945">
        <v>0</v>
      </c>
      <c r="AD945">
        <v>0</v>
      </c>
      <c r="AE945" t="s">
        <v>79</v>
      </c>
      <c r="AF945">
        <v>78500</v>
      </c>
      <c r="AG945">
        <v>15700</v>
      </c>
      <c r="AH945">
        <v>7850</v>
      </c>
      <c r="AI945">
        <v>54950</v>
      </c>
      <c r="AJ945" t="s">
        <v>109</v>
      </c>
      <c r="AK945" t="s">
        <v>134</v>
      </c>
      <c r="AL945">
        <v>2015</v>
      </c>
      <c r="AM945" t="s">
        <v>82</v>
      </c>
      <c r="AN945" s="2">
        <f t="shared" si="98"/>
        <v>65.023275847787559</v>
      </c>
      <c r="AO945">
        <f t="shared" si="99"/>
        <v>-77293.740000000005</v>
      </c>
      <c r="AP945" s="2">
        <f t="shared" si="100"/>
        <v>1.5366173679316187E-2</v>
      </c>
      <c r="AQ945" s="2">
        <f t="shared" si="104"/>
        <v>0</v>
      </c>
      <c r="AR945">
        <f t="shared" si="101"/>
        <v>421</v>
      </c>
      <c r="AS945" t="str">
        <f t="shared" si="102"/>
        <v>High Claim Ratio</v>
      </c>
      <c r="AT945" t="str">
        <f t="shared" si="103"/>
        <v>High Profit</v>
      </c>
    </row>
    <row r="946" spans="1:46" x14ac:dyDescent="0.2">
      <c r="A946">
        <v>266</v>
      </c>
      <c r="B946">
        <v>42</v>
      </c>
      <c r="C946">
        <v>281388</v>
      </c>
      <c r="D946" s="1">
        <v>35992</v>
      </c>
      <c r="E946" t="s">
        <v>83</v>
      </c>
      <c r="F946" t="s">
        <v>91</v>
      </c>
      <c r="G946">
        <v>1000</v>
      </c>
      <c r="H946">
        <v>763.67</v>
      </c>
      <c r="I946">
        <v>0</v>
      </c>
      <c r="J946">
        <v>473389</v>
      </c>
      <c r="K946" t="s">
        <v>41</v>
      </c>
      <c r="L946" t="s">
        <v>92</v>
      </c>
      <c r="M946" t="s">
        <v>101</v>
      </c>
      <c r="N946" t="s">
        <v>146</v>
      </c>
      <c r="O946" t="s">
        <v>74</v>
      </c>
      <c r="P946">
        <v>12800</v>
      </c>
      <c r="Q946">
        <v>-49700</v>
      </c>
      <c r="R946" s="1">
        <v>42039</v>
      </c>
      <c r="S946" t="s">
        <v>46</v>
      </c>
      <c r="T946" t="s">
        <v>47</v>
      </c>
      <c r="U946" t="s">
        <v>107</v>
      </c>
      <c r="V946" t="s">
        <v>49</v>
      </c>
      <c r="W946" t="s">
        <v>50</v>
      </c>
      <c r="X946" t="s">
        <v>156</v>
      </c>
      <c r="Y946" t="s">
        <v>1123</v>
      </c>
      <c r="Z946">
        <v>12</v>
      </c>
      <c r="AA946">
        <v>1</v>
      </c>
      <c r="AB946" t="s">
        <v>53</v>
      </c>
      <c r="AC946">
        <v>1</v>
      </c>
      <c r="AD946">
        <v>3</v>
      </c>
      <c r="AE946" t="s">
        <v>53</v>
      </c>
      <c r="AF946">
        <v>70830</v>
      </c>
      <c r="AG946">
        <v>7870</v>
      </c>
      <c r="AH946">
        <v>7870</v>
      </c>
      <c r="AI946">
        <v>55090</v>
      </c>
      <c r="AJ946" t="s">
        <v>197</v>
      </c>
      <c r="AK946" t="s">
        <v>375</v>
      </c>
      <c r="AL946">
        <v>2005</v>
      </c>
      <c r="AM946" t="s">
        <v>82</v>
      </c>
      <c r="AN946" s="2">
        <f t="shared" si="98"/>
        <v>92.628192553650592</v>
      </c>
      <c r="AO946">
        <f t="shared" si="99"/>
        <v>-70066.33</v>
      </c>
      <c r="AP946" s="2">
        <f t="shared" si="100"/>
        <v>1.0781578687297934E-2</v>
      </c>
      <c r="AQ946" s="2">
        <f t="shared" si="104"/>
        <v>10</v>
      </c>
      <c r="AR946">
        <f t="shared" si="101"/>
        <v>266</v>
      </c>
      <c r="AS946" t="str">
        <f t="shared" si="102"/>
        <v>High Claim Ratio</v>
      </c>
      <c r="AT946" t="str">
        <f t="shared" si="103"/>
        <v>High Profit</v>
      </c>
    </row>
    <row r="947" spans="1:46" x14ac:dyDescent="0.2">
      <c r="A947">
        <v>412</v>
      </c>
      <c r="B947">
        <v>56</v>
      </c>
      <c r="C947">
        <v>728600</v>
      </c>
      <c r="D947" s="1">
        <v>37483</v>
      </c>
      <c r="E947" t="s">
        <v>83</v>
      </c>
      <c r="F947" t="s">
        <v>40</v>
      </c>
      <c r="G947">
        <v>500</v>
      </c>
      <c r="H947">
        <v>1042.56</v>
      </c>
      <c r="I947">
        <v>0</v>
      </c>
      <c r="J947">
        <v>616767</v>
      </c>
      <c r="K947" t="s">
        <v>41</v>
      </c>
      <c r="L947" t="s">
        <v>131</v>
      </c>
      <c r="M947" t="s">
        <v>159</v>
      </c>
      <c r="N947" t="s">
        <v>155</v>
      </c>
      <c r="O947" t="s">
        <v>74</v>
      </c>
      <c r="P947">
        <v>0</v>
      </c>
      <c r="Q947">
        <v>-66100</v>
      </c>
      <c r="R947" s="1">
        <v>42024</v>
      </c>
      <c r="S947" t="s">
        <v>75</v>
      </c>
      <c r="T947" t="s">
        <v>86</v>
      </c>
      <c r="U947" t="s">
        <v>107</v>
      </c>
      <c r="V947" t="s">
        <v>49</v>
      </c>
      <c r="W947" t="s">
        <v>50</v>
      </c>
      <c r="X947" t="s">
        <v>102</v>
      </c>
      <c r="Y947" t="s">
        <v>1124</v>
      </c>
      <c r="Z947">
        <v>19</v>
      </c>
      <c r="AA947">
        <v>3</v>
      </c>
      <c r="AB947" t="s">
        <v>79</v>
      </c>
      <c r="AC947">
        <v>0</v>
      </c>
      <c r="AD947">
        <v>2</v>
      </c>
      <c r="AE947" t="s">
        <v>79</v>
      </c>
      <c r="AF947">
        <v>68040</v>
      </c>
      <c r="AG947">
        <v>15120</v>
      </c>
      <c r="AH947">
        <v>7560</v>
      </c>
      <c r="AI947">
        <v>45360</v>
      </c>
      <c r="AJ947" t="s">
        <v>153</v>
      </c>
      <c r="AK947" t="s">
        <v>167</v>
      </c>
      <c r="AL947">
        <v>1997</v>
      </c>
      <c r="AM947" t="s">
        <v>82</v>
      </c>
      <c r="AN947" s="2">
        <f t="shared" si="98"/>
        <v>65.199892675073784</v>
      </c>
      <c r="AO947">
        <f t="shared" si="99"/>
        <v>-66997.440000000002</v>
      </c>
      <c r="AP947" s="2">
        <f t="shared" si="100"/>
        <v>1.5322526123954674E-2</v>
      </c>
      <c r="AQ947" s="2">
        <f t="shared" si="104"/>
        <v>18</v>
      </c>
      <c r="AR947">
        <f t="shared" si="101"/>
        <v>412</v>
      </c>
      <c r="AS947" t="str">
        <f t="shared" si="102"/>
        <v>High Claim Ratio</v>
      </c>
      <c r="AT947" t="str">
        <f t="shared" si="103"/>
        <v>High Profit</v>
      </c>
    </row>
    <row r="948" spans="1:46" x14ac:dyDescent="0.2">
      <c r="A948">
        <v>31</v>
      </c>
      <c r="B948">
        <v>32</v>
      </c>
      <c r="C948">
        <v>231548</v>
      </c>
      <c r="D948" s="1">
        <v>36410</v>
      </c>
      <c r="E948" t="s">
        <v>83</v>
      </c>
      <c r="F948" t="s">
        <v>69</v>
      </c>
      <c r="G948">
        <v>2000</v>
      </c>
      <c r="H948">
        <v>1263.48</v>
      </c>
      <c r="I948">
        <v>4000000</v>
      </c>
      <c r="J948">
        <v>442948</v>
      </c>
      <c r="K948" t="s">
        <v>70</v>
      </c>
      <c r="L948" t="s">
        <v>161</v>
      </c>
      <c r="M948" t="s">
        <v>111</v>
      </c>
      <c r="N948" t="s">
        <v>149</v>
      </c>
      <c r="O948" t="s">
        <v>119</v>
      </c>
      <c r="P948">
        <v>46800</v>
      </c>
      <c r="Q948">
        <v>-87300</v>
      </c>
      <c r="R948" s="1">
        <v>42042</v>
      </c>
      <c r="S948" t="s">
        <v>46</v>
      </c>
      <c r="T948" t="s">
        <v>47</v>
      </c>
      <c r="U948" t="s">
        <v>48</v>
      </c>
      <c r="V948" t="s">
        <v>99</v>
      </c>
      <c r="W948" t="s">
        <v>113</v>
      </c>
      <c r="X948" t="s">
        <v>122</v>
      </c>
      <c r="Y948" t="s">
        <v>1125</v>
      </c>
      <c r="Z948">
        <v>10</v>
      </c>
      <c r="AA948">
        <v>1</v>
      </c>
      <c r="AB948" t="s">
        <v>62</v>
      </c>
      <c r="AC948">
        <v>2</v>
      </c>
      <c r="AD948">
        <v>0</v>
      </c>
      <c r="AE948" t="s">
        <v>62</v>
      </c>
      <c r="AF948">
        <v>63600</v>
      </c>
      <c r="AG948">
        <v>5300</v>
      </c>
      <c r="AH948">
        <v>10600</v>
      </c>
      <c r="AI948">
        <v>47700</v>
      </c>
      <c r="AJ948" t="s">
        <v>109</v>
      </c>
      <c r="AK948" t="s">
        <v>110</v>
      </c>
      <c r="AL948">
        <v>1997</v>
      </c>
      <c r="AM948" t="s">
        <v>56</v>
      </c>
      <c r="AN948" s="2">
        <f t="shared" si="98"/>
        <v>50.29735543464507</v>
      </c>
      <c r="AO948">
        <f t="shared" si="99"/>
        <v>-62336.52</v>
      </c>
      <c r="AP948" s="2">
        <f t="shared" si="100"/>
        <v>1.9865725381676389E-2</v>
      </c>
      <c r="AQ948" s="2">
        <f t="shared" si="104"/>
        <v>18</v>
      </c>
      <c r="AR948">
        <f t="shared" si="101"/>
        <v>31</v>
      </c>
      <c r="AS948" t="str">
        <f t="shared" si="102"/>
        <v>High Claim Ratio</v>
      </c>
      <c r="AT948" t="str">
        <f t="shared" si="103"/>
        <v>High Profit</v>
      </c>
    </row>
    <row r="949" spans="1:46" x14ac:dyDescent="0.2">
      <c r="A949">
        <v>465</v>
      </c>
      <c r="B949">
        <v>63</v>
      </c>
      <c r="C949">
        <v>531160</v>
      </c>
      <c r="D949" s="1">
        <v>40920</v>
      </c>
      <c r="E949" t="s">
        <v>83</v>
      </c>
      <c r="F949" t="s">
        <v>40</v>
      </c>
      <c r="G949">
        <v>500</v>
      </c>
      <c r="H949">
        <v>1006.99</v>
      </c>
      <c r="I949">
        <v>6000000</v>
      </c>
      <c r="J949">
        <v>458936</v>
      </c>
      <c r="K949" t="s">
        <v>70</v>
      </c>
      <c r="L949" t="s">
        <v>124</v>
      </c>
      <c r="M949" t="s">
        <v>72</v>
      </c>
      <c r="N949" t="s">
        <v>73</v>
      </c>
      <c r="O949" t="s">
        <v>74</v>
      </c>
      <c r="P949">
        <v>0</v>
      </c>
      <c r="Q949">
        <v>0</v>
      </c>
      <c r="R949" s="1">
        <v>42040</v>
      </c>
      <c r="S949" t="s">
        <v>46</v>
      </c>
      <c r="T949" t="s">
        <v>47</v>
      </c>
      <c r="U949" t="s">
        <v>63</v>
      </c>
      <c r="V949" t="s">
        <v>120</v>
      </c>
      <c r="W949" t="s">
        <v>113</v>
      </c>
      <c r="X949" t="s">
        <v>51</v>
      </c>
      <c r="Y949" t="s">
        <v>1126</v>
      </c>
      <c r="Z949">
        <v>7</v>
      </c>
      <c r="AA949">
        <v>1</v>
      </c>
      <c r="AB949" t="s">
        <v>79</v>
      </c>
      <c r="AC949">
        <v>0</v>
      </c>
      <c r="AD949">
        <v>3</v>
      </c>
      <c r="AE949" t="s">
        <v>62</v>
      </c>
      <c r="AF949">
        <v>43560</v>
      </c>
      <c r="AG949">
        <v>4840</v>
      </c>
      <c r="AH949">
        <v>4840</v>
      </c>
      <c r="AI949">
        <v>33880</v>
      </c>
      <c r="AJ949" t="s">
        <v>153</v>
      </c>
      <c r="AK949" t="s">
        <v>154</v>
      </c>
      <c r="AL949">
        <v>2015</v>
      </c>
      <c r="AM949" t="s">
        <v>82</v>
      </c>
      <c r="AN949" s="2">
        <f t="shared" si="98"/>
        <v>43.214714431690787</v>
      </c>
      <c r="AO949">
        <f t="shared" si="99"/>
        <v>-42553.01</v>
      </c>
      <c r="AP949" s="2">
        <f t="shared" si="100"/>
        <v>2.3116778770000689E-2</v>
      </c>
      <c r="AQ949" s="2">
        <f t="shared" si="104"/>
        <v>0</v>
      </c>
      <c r="AR949">
        <f t="shared" si="101"/>
        <v>465</v>
      </c>
      <c r="AS949" t="str">
        <f t="shared" si="102"/>
        <v>High Claim Ratio</v>
      </c>
      <c r="AT949" t="str">
        <f t="shared" si="103"/>
        <v>High Profit</v>
      </c>
    </row>
    <row r="950" spans="1:46" x14ac:dyDescent="0.2">
      <c r="A950">
        <v>126</v>
      </c>
      <c r="B950">
        <v>31</v>
      </c>
      <c r="C950">
        <v>889003</v>
      </c>
      <c r="D950" s="1">
        <v>35295</v>
      </c>
      <c r="E950" t="s">
        <v>39</v>
      </c>
      <c r="F950" t="s">
        <v>40</v>
      </c>
      <c r="G950">
        <v>1000</v>
      </c>
      <c r="H950">
        <v>1328.26</v>
      </c>
      <c r="I950">
        <v>0</v>
      </c>
      <c r="J950">
        <v>613921</v>
      </c>
      <c r="K950" t="s">
        <v>41</v>
      </c>
      <c r="L950" t="s">
        <v>124</v>
      </c>
      <c r="M950" t="s">
        <v>72</v>
      </c>
      <c r="N950" t="s">
        <v>264</v>
      </c>
      <c r="O950" t="s">
        <v>142</v>
      </c>
      <c r="P950">
        <v>42300</v>
      </c>
      <c r="Q950">
        <v>-45800</v>
      </c>
      <c r="R950" s="1">
        <v>42006</v>
      </c>
      <c r="S950" t="s">
        <v>46</v>
      </c>
      <c r="T950" t="s">
        <v>86</v>
      </c>
      <c r="U950" t="s">
        <v>107</v>
      </c>
      <c r="V950" t="s">
        <v>49</v>
      </c>
      <c r="W950" t="s">
        <v>113</v>
      </c>
      <c r="X950" t="s">
        <v>122</v>
      </c>
      <c r="Y950" t="s">
        <v>1127</v>
      </c>
      <c r="Z950">
        <v>17</v>
      </c>
      <c r="AA950">
        <v>1</v>
      </c>
      <c r="AB950" t="s">
        <v>79</v>
      </c>
      <c r="AC950">
        <v>1</v>
      </c>
      <c r="AD950">
        <v>1</v>
      </c>
      <c r="AE950" t="s">
        <v>79</v>
      </c>
      <c r="AF950">
        <v>60840</v>
      </c>
      <c r="AG950">
        <v>13520</v>
      </c>
      <c r="AH950">
        <v>6760</v>
      </c>
      <c r="AI950">
        <v>40560</v>
      </c>
      <c r="AJ950" t="s">
        <v>153</v>
      </c>
      <c r="AK950" t="s">
        <v>167</v>
      </c>
      <c r="AL950">
        <v>2011</v>
      </c>
      <c r="AM950" t="s">
        <v>82</v>
      </c>
      <c r="AN950" s="2">
        <f t="shared" si="98"/>
        <v>45.769826820937965</v>
      </c>
      <c r="AO950">
        <f t="shared" si="99"/>
        <v>-59511.74</v>
      </c>
      <c r="AP950" s="2">
        <f t="shared" si="100"/>
        <v>2.1831659571670419E-2</v>
      </c>
      <c r="AQ950" s="2">
        <f t="shared" si="104"/>
        <v>4</v>
      </c>
      <c r="AR950">
        <f t="shared" si="101"/>
        <v>126</v>
      </c>
      <c r="AS950" t="str">
        <f t="shared" si="102"/>
        <v>High Claim Ratio</v>
      </c>
      <c r="AT950" t="str">
        <f t="shared" si="103"/>
        <v>High Profit</v>
      </c>
    </row>
    <row r="951" spans="1:46" x14ac:dyDescent="0.2">
      <c r="A951">
        <v>407</v>
      </c>
      <c r="B951">
        <v>55</v>
      </c>
      <c r="C951">
        <v>193213</v>
      </c>
      <c r="D951" s="1">
        <v>35135</v>
      </c>
      <c r="E951" t="s">
        <v>39</v>
      </c>
      <c r="F951" t="s">
        <v>69</v>
      </c>
      <c r="G951">
        <v>1000</v>
      </c>
      <c r="H951">
        <v>1250.08</v>
      </c>
      <c r="I951">
        <v>5000000</v>
      </c>
      <c r="J951">
        <v>474598</v>
      </c>
      <c r="K951" t="s">
        <v>70</v>
      </c>
      <c r="L951" t="s">
        <v>71</v>
      </c>
      <c r="M951" t="s">
        <v>97</v>
      </c>
      <c r="N951" t="s">
        <v>98</v>
      </c>
      <c r="O951" t="s">
        <v>119</v>
      </c>
      <c r="P951">
        <v>0</v>
      </c>
      <c r="Q951">
        <v>-57700</v>
      </c>
      <c r="R951" s="1">
        <v>42043</v>
      </c>
      <c r="S951" t="s">
        <v>75</v>
      </c>
      <c r="T951" t="s">
        <v>47</v>
      </c>
      <c r="U951" t="s">
        <v>107</v>
      </c>
      <c r="V951" t="s">
        <v>49</v>
      </c>
      <c r="W951" t="s">
        <v>113</v>
      </c>
      <c r="X951" t="s">
        <v>87</v>
      </c>
      <c r="Y951" t="s">
        <v>1128</v>
      </c>
      <c r="Z951">
        <v>0</v>
      </c>
      <c r="AA951">
        <v>3</v>
      </c>
      <c r="AB951" t="s">
        <v>62</v>
      </c>
      <c r="AC951">
        <v>2</v>
      </c>
      <c r="AD951">
        <v>3</v>
      </c>
      <c r="AE951" t="s">
        <v>53</v>
      </c>
      <c r="AF951">
        <v>68160</v>
      </c>
      <c r="AG951">
        <v>11360</v>
      </c>
      <c r="AH951">
        <v>11360</v>
      </c>
      <c r="AI951">
        <v>45440</v>
      </c>
      <c r="AJ951" t="s">
        <v>129</v>
      </c>
      <c r="AK951" t="s">
        <v>172</v>
      </c>
      <c r="AL951">
        <v>2010</v>
      </c>
      <c r="AM951" t="s">
        <v>82</v>
      </c>
      <c r="AN951" s="2">
        <f t="shared" si="98"/>
        <v>54.480928477795189</v>
      </c>
      <c r="AO951">
        <f t="shared" si="99"/>
        <v>-66909.919999999998</v>
      </c>
      <c r="AP951" s="2">
        <f t="shared" si="100"/>
        <v>1.8340106512521822E-2</v>
      </c>
      <c r="AQ951" s="2">
        <f t="shared" si="104"/>
        <v>5</v>
      </c>
      <c r="AR951">
        <f t="shared" si="101"/>
        <v>407</v>
      </c>
      <c r="AS951" t="str">
        <f t="shared" si="102"/>
        <v>High Claim Ratio</v>
      </c>
      <c r="AT951" t="str">
        <f t="shared" si="103"/>
        <v>High Profit</v>
      </c>
    </row>
    <row r="952" spans="1:46" x14ac:dyDescent="0.2">
      <c r="A952">
        <v>101</v>
      </c>
      <c r="B952">
        <v>27</v>
      </c>
      <c r="C952">
        <v>557218</v>
      </c>
      <c r="D952" s="1">
        <v>35757</v>
      </c>
      <c r="E952" t="s">
        <v>83</v>
      </c>
      <c r="F952" t="s">
        <v>91</v>
      </c>
      <c r="G952">
        <v>500</v>
      </c>
      <c r="H952">
        <v>982.7</v>
      </c>
      <c r="I952">
        <v>6000000</v>
      </c>
      <c r="J952">
        <v>440865</v>
      </c>
      <c r="K952" t="s">
        <v>70</v>
      </c>
      <c r="L952" t="s">
        <v>141</v>
      </c>
      <c r="M952" t="s">
        <v>145</v>
      </c>
      <c r="N952" t="s">
        <v>181</v>
      </c>
      <c r="O952" t="s">
        <v>85</v>
      </c>
      <c r="P952">
        <v>30800</v>
      </c>
      <c r="Q952">
        <v>-43700</v>
      </c>
      <c r="R952" s="1">
        <v>42017</v>
      </c>
      <c r="S952" t="s">
        <v>138</v>
      </c>
      <c r="T952" t="s">
        <v>62</v>
      </c>
      <c r="U952" t="s">
        <v>63</v>
      </c>
      <c r="V952" t="s">
        <v>93</v>
      </c>
      <c r="W952" t="s">
        <v>50</v>
      </c>
      <c r="X952" t="s">
        <v>87</v>
      </c>
      <c r="Y952" t="s">
        <v>1129</v>
      </c>
      <c r="Z952">
        <v>9</v>
      </c>
      <c r="AA952">
        <v>1</v>
      </c>
      <c r="AB952" t="s">
        <v>79</v>
      </c>
      <c r="AC952">
        <v>1</v>
      </c>
      <c r="AD952">
        <v>0</v>
      </c>
      <c r="AE952" t="s">
        <v>79</v>
      </c>
      <c r="AF952">
        <v>5170</v>
      </c>
      <c r="AG952">
        <v>940</v>
      </c>
      <c r="AH952">
        <v>470</v>
      </c>
      <c r="AI952">
        <v>3760</v>
      </c>
      <c r="AJ952" t="s">
        <v>115</v>
      </c>
      <c r="AK952" t="s">
        <v>116</v>
      </c>
      <c r="AL952">
        <v>2001</v>
      </c>
      <c r="AM952" t="s">
        <v>82</v>
      </c>
      <c r="AN952" s="2">
        <f t="shared" si="98"/>
        <v>5.2556673782657315</v>
      </c>
      <c r="AO952">
        <f t="shared" si="99"/>
        <v>-4187.3</v>
      </c>
      <c r="AP952" s="2">
        <f t="shared" si="100"/>
        <v>0.19004061110036743</v>
      </c>
      <c r="AQ952" s="2">
        <f t="shared" si="104"/>
        <v>14</v>
      </c>
      <c r="AR952">
        <f t="shared" si="101"/>
        <v>101</v>
      </c>
      <c r="AS952" t="str">
        <f t="shared" si="102"/>
        <v>Medium Claim Ratio</v>
      </c>
      <c r="AT952" t="str">
        <f t="shared" si="103"/>
        <v>Low Profit</v>
      </c>
    </row>
    <row r="953" spans="1:46" x14ac:dyDescent="0.2">
      <c r="A953">
        <v>187</v>
      </c>
      <c r="B953">
        <v>37</v>
      </c>
      <c r="C953">
        <v>125591</v>
      </c>
      <c r="D953" s="1">
        <v>41494</v>
      </c>
      <c r="E953" t="s">
        <v>57</v>
      </c>
      <c r="F953" t="s">
        <v>91</v>
      </c>
      <c r="G953">
        <v>1000</v>
      </c>
      <c r="H953">
        <v>1412.06</v>
      </c>
      <c r="I953">
        <v>5000000</v>
      </c>
      <c r="J953">
        <v>450947</v>
      </c>
      <c r="K953" t="s">
        <v>70</v>
      </c>
      <c r="L953" t="s">
        <v>124</v>
      </c>
      <c r="M953" t="s">
        <v>135</v>
      </c>
      <c r="N953" t="s">
        <v>59</v>
      </c>
      <c r="O953" t="s">
        <v>142</v>
      </c>
      <c r="P953">
        <v>60100</v>
      </c>
      <c r="Q953">
        <v>0</v>
      </c>
      <c r="R953" s="1">
        <v>42020</v>
      </c>
      <c r="S953" t="s">
        <v>46</v>
      </c>
      <c r="T953" t="s">
        <v>47</v>
      </c>
      <c r="U953" t="s">
        <v>107</v>
      </c>
      <c r="V953" t="s">
        <v>136</v>
      </c>
      <c r="W953" t="s">
        <v>121</v>
      </c>
      <c r="X953" t="s">
        <v>65</v>
      </c>
      <c r="Y953" t="s">
        <v>1130</v>
      </c>
      <c r="Z953">
        <v>21</v>
      </c>
      <c r="AA953">
        <v>1</v>
      </c>
      <c r="AB953" t="s">
        <v>62</v>
      </c>
      <c r="AC953">
        <v>0</v>
      </c>
      <c r="AD953">
        <v>3</v>
      </c>
      <c r="AE953" t="s">
        <v>62</v>
      </c>
      <c r="AF953">
        <v>57700</v>
      </c>
      <c r="AG953">
        <v>5770</v>
      </c>
      <c r="AH953">
        <v>5770</v>
      </c>
      <c r="AI953">
        <v>46160</v>
      </c>
      <c r="AJ953" t="s">
        <v>104</v>
      </c>
      <c r="AK953" t="s">
        <v>151</v>
      </c>
      <c r="AL953">
        <v>2000</v>
      </c>
      <c r="AM953" t="s">
        <v>82</v>
      </c>
      <c r="AN953" s="2">
        <f t="shared" si="98"/>
        <v>40.833368717534995</v>
      </c>
      <c r="AO953">
        <f t="shared" si="99"/>
        <v>-56287.94</v>
      </c>
      <c r="AP953" s="2">
        <f t="shared" si="100"/>
        <v>2.4472019549054608E-2</v>
      </c>
      <c r="AQ953" s="2">
        <f t="shared" si="104"/>
        <v>15</v>
      </c>
      <c r="AR953">
        <f t="shared" si="101"/>
        <v>187</v>
      </c>
      <c r="AS953" t="str">
        <f t="shared" si="102"/>
        <v>High Claim Ratio</v>
      </c>
      <c r="AT953" t="str">
        <f t="shared" si="103"/>
        <v>High Profit</v>
      </c>
    </row>
    <row r="954" spans="1:46" x14ac:dyDescent="0.2">
      <c r="A954">
        <v>252</v>
      </c>
      <c r="B954">
        <v>46</v>
      </c>
      <c r="C954">
        <v>227244</v>
      </c>
      <c r="D954" s="1">
        <v>35399</v>
      </c>
      <c r="E954" t="s">
        <v>57</v>
      </c>
      <c r="F954" t="s">
        <v>91</v>
      </c>
      <c r="G954">
        <v>2000</v>
      </c>
      <c r="H954">
        <v>1066.7</v>
      </c>
      <c r="I954">
        <v>0</v>
      </c>
      <c r="J954">
        <v>473370</v>
      </c>
      <c r="K954" t="s">
        <v>70</v>
      </c>
      <c r="L954" t="s">
        <v>161</v>
      </c>
      <c r="M954" t="s">
        <v>159</v>
      </c>
      <c r="N954" t="s">
        <v>44</v>
      </c>
      <c r="O954" t="s">
        <v>74</v>
      </c>
      <c r="P954">
        <v>0</v>
      </c>
      <c r="Q954">
        <v>0</v>
      </c>
      <c r="R954" s="1">
        <v>42034</v>
      </c>
      <c r="S954" t="s">
        <v>75</v>
      </c>
      <c r="T954" t="s">
        <v>86</v>
      </c>
      <c r="U954" t="s">
        <v>107</v>
      </c>
      <c r="V954" t="s">
        <v>120</v>
      </c>
      <c r="W954" t="s">
        <v>64</v>
      </c>
      <c r="X954" t="s">
        <v>127</v>
      </c>
      <c r="Y954" t="s">
        <v>1131</v>
      </c>
      <c r="Z954">
        <v>22</v>
      </c>
      <c r="AA954">
        <v>3</v>
      </c>
      <c r="AB954" t="s">
        <v>79</v>
      </c>
      <c r="AC954">
        <v>0</v>
      </c>
      <c r="AD954">
        <v>2</v>
      </c>
      <c r="AE954" t="s">
        <v>79</v>
      </c>
      <c r="AF954">
        <v>89520</v>
      </c>
      <c r="AG954">
        <v>14920</v>
      </c>
      <c r="AH954">
        <v>14920</v>
      </c>
      <c r="AI954">
        <v>59680</v>
      </c>
      <c r="AJ954" t="s">
        <v>109</v>
      </c>
      <c r="AK954" t="s">
        <v>134</v>
      </c>
      <c r="AL954">
        <v>2014</v>
      </c>
      <c r="AM954" t="s">
        <v>82</v>
      </c>
      <c r="AN954" s="2">
        <f t="shared" si="98"/>
        <v>83.843776341668999</v>
      </c>
      <c r="AO954">
        <f t="shared" si="99"/>
        <v>-88453.3</v>
      </c>
      <c r="AP954" s="2">
        <f t="shared" si="100"/>
        <v>1.1915639905720445E-2</v>
      </c>
      <c r="AQ954" s="2">
        <f t="shared" si="104"/>
        <v>1</v>
      </c>
      <c r="AR954">
        <f t="shared" si="101"/>
        <v>252</v>
      </c>
      <c r="AS954" t="str">
        <f t="shared" si="102"/>
        <v>High Claim Ratio</v>
      </c>
      <c r="AT954" t="str">
        <f t="shared" si="103"/>
        <v>High Profit</v>
      </c>
    </row>
    <row r="955" spans="1:46" x14ac:dyDescent="0.2">
      <c r="A955">
        <v>229</v>
      </c>
      <c r="B955">
        <v>43</v>
      </c>
      <c r="C955">
        <v>791425</v>
      </c>
      <c r="D955" s="1">
        <v>35599</v>
      </c>
      <c r="E955" t="s">
        <v>57</v>
      </c>
      <c r="F955" t="s">
        <v>40</v>
      </c>
      <c r="G955">
        <v>2000</v>
      </c>
      <c r="H955">
        <v>1585.54</v>
      </c>
      <c r="I955">
        <v>0</v>
      </c>
      <c r="J955">
        <v>463153</v>
      </c>
      <c r="K955" t="s">
        <v>41</v>
      </c>
      <c r="L955" t="s">
        <v>131</v>
      </c>
      <c r="M955" t="s">
        <v>135</v>
      </c>
      <c r="N955" t="s">
        <v>59</v>
      </c>
      <c r="O955" t="s">
        <v>142</v>
      </c>
      <c r="P955">
        <v>42600</v>
      </c>
      <c r="Q955">
        <v>-44400</v>
      </c>
      <c r="R955" s="1">
        <v>42061</v>
      </c>
      <c r="S955" t="s">
        <v>61</v>
      </c>
      <c r="T955" t="s">
        <v>62</v>
      </c>
      <c r="U955" t="s">
        <v>63</v>
      </c>
      <c r="V955" t="s">
        <v>93</v>
      </c>
      <c r="W955" t="s">
        <v>113</v>
      </c>
      <c r="X955" t="s">
        <v>122</v>
      </c>
      <c r="Y955" t="s">
        <v>1132</v>
      </c>
      <c r="Z955">
        <v>3</v>
      </c>
      <c r="AA955">
        <v>1</v>
      </c>
      <c r="AB955" t="s">
        <v>79</v>
      </c>
      <c r="AC955">
        <v>1</v>
      </c>
      <c r="AD955">
        <v>0</v>
      </c>
      <c r="AE955" t="s">
        <v>53</v>
      </c>
      <c r="AF955">
        <v>4620</v>
      </c>
      <c r="AG955">
        <v>420</v>
      </c>
      <c r="AH955">
        <v>840</v>
      </c>
      <c r="AI955">
        <v>3360</v>
      </c>
      <c r="AJ955" t="s">
        <v>214</v>
      </c>
      <c r="AK955" t="s">
        <v>258</v>
      </c>
      <c r="AL955">
        <v>2012</v>
      </c>
      <c r="AM955" t="s">
        <v>82</v>
      </c>
      <c r="AN955" s="2">
        <f t="shared" si="98"/>
        <v>2.9119971762451624</v>
      </c>
      <c r="AO955">
        <f t="shared" si="99"/>
        <v>-3034.46</v>
      </c>
      <c r="AP955" s="2">
        <f t="shared" si="100"/>
        <v>0.34311620861285436</v>
      </c>
      <c r="AQ955" s="2">
        <f t="shared" si="104"/>
        <v>3</v>
      </c>
      <c r="AR955">
        <f t="shared" si="101"/>
        <v>229</v>
      </c>
      <c r="AS955" t="str">
        <f t="shared" si="102"/>
        <v>Low Claim Ratio</v>
      </c>
      <c r="AT955" t="str">
        <f t="shared" si="103"/>
        <v>Low Profit</v>
      </c>
    </row>
    <row r="956" spans="1:46" x14ac:dyDescent="0.2">
      <c r="A956">
        <v>246</v>
      </c>
      <c r="B956">
        <v>39</v>
      </c>
      <c r="C956">
        <v>354455</v>
      </c>
      <c r="D956" s="1">
        <v>39191</v>
      </c>
      <c r="E956" t="s">
        <v>57</v>
      </c>
      <c r="F956" t="s">
        <v>40</v>
      </c>
      <c r="G956">
        <v>1000</v>
      </c>
      <c r="H956">
        <v>1416.08</v>
      </c>
      <c r="I956">
        <v>0</v>
      </c>
      <c r="J956">
        <v>612546</v>
      </c>
      <c r="K956" t="s">
        <v>70</v>
      </c>
      <c r="L956" t="s">
        <v>161</v>
      </c>
      <c r="M956" t="s">
        <v>43</v>
      </c>
      <c r="N956" t="s">
        <v>155</v>
      </c>
      <c r="O956" t="s">
        <v>60</v>
      </c>
      <c r="P956">
        <v>0</v>
      </c>
      <c r="Q956">
        <v>-36600</v>
      </c>
      <c r="R956" s="1">
        <v>42031</v>
      </c>
      <c r="S956" t="s">
        <v>46</v>
      </c>
      <c r="T956" t="s">
        <v>76</v>
      </c>
      <c r="U956" t="s">
        <v>63</v>
      </c>
      <c r="V956" t="s">
        <v>136</v>
      </c>
      <c r="W956" t="s">
        <v>113</v>
      </c>
      <c r="X956" t="s">
        <v>156</v>
      </c>
      <c r="Y956" t="s">
        <v>1133</v>
      </c>
      <c r="Z956">
        <v>16</v>
      </c>
      <c r="AA956">
        <v>1</v>
      </c>
      <c r="AB956" t="s">
        <v>53</v>
      </c>
      <c r="AC956">
        <v>0</v>
      </c>
      <c r="AD956">
        <v>3</v>
      </c>
      <c r="AE956" t="s">
        <v>62</v>
      </c>
      <c r="AF956">
        <v>45180</v>
      </c>
      <c r="AG956">
        <v>5020</v>
      </c>
      <c r="AH956">
        <v>5020</v>
      </c>
      <c r="AI956">
        <v>35140</v>
      </c>
      <c r="AJ956" t="s">
        <v>209</v>
      </c>
      <c r="AK956" t="s">
        <v>225</v>
      </c>
      <c r="AL956">
        <v>2004</v>
      </c>
      <c r="AM956" t="s">
        <v>82</v>
      </c>
      <c r="AN956" s="2">
        <f t="shared" si="98"/>
        <v>31.882462528579897</v>
      </c>
      <c r="AO956">
        <f t="shared" si="99"/>
        <v>-43763.92</v>
      </c>
      <c r="AP956" s="2">
        <f t="shared" si="100"/>
        <v>3.1342378433412275E-2</v>
      </c>
      <c r="AQ956" s="2">
        <f t="shared" si="104"/>
        <v>11</v>
      </c>
      <c r="AR956">
        <f t="shared" si="101"/>
        <v>246</v>
      </c>
      <c r="AS956" t="str">
        <f t="shared" si="102"/>
        <v>High Claim Ratio</v>
      </c>
      <c r="AT956" t="str">
        <f t="shared" si="103"/>
        <v>High Profit</v>
      </c>
    </row>
    <row r="957" spans="1:46" x14ac:dyDescent="0.2">
      <c r="A957">
        <v>190</v>
      </c>
      <c r="B957">
        <v>38</v>
      </c>
      <c r="C957">
        <v>601042</v>
      </c>
      <c r="D957" s="1">
        <v>39344</v>
      </c>
      <c r="E957" t="s">
        <v>39</v>
      </c>
      <c r="F957" t="s">
        <v>40</v>
      </c>
      <c r="G957">
        <v>500</v>
      </c>
      <c r="H957">
        <v>1246.03</v>
      </c>
      <c r="I957">
        <v>0</v>
      </c>
      <c r="J957">
        <v>442919</v>
      </c>
      <c r="K957" t="s">
        <v>41</v>
      </c>
      <c r="L957" t="s">
        <v>161</v>
      </c>
      <c r="M957" t="s">
        <v>43</v>
      </c>
      <c r="N957" t="s">
        <v>146</v>
      </c>
      <c r="O957" t="s">
        <v>85</v>
      </c>
      <c r="P957">
        <v>61900</v>
      </c>
      <c r="Q957">
        <v>-50000</v>
      </c>
      <c r="R957" s="1">
        <v>42032</v>
      </c>
      <c r="S957" t="s">
        <v>46</v>
      </c>
      <c r="T957" t="s">
        <v>47</v>
      </c>
      <c r="U957" t="s">
        <v>107</v>
      </c>
      <c r="V957" t="s">
        <v>120</v>
      </c>
      <c r="W957" t="s">
        <v>77</v>
      </c>
      <c r="X957" t="s">
        <v>65</v>
      </c>
      <c r="Y957" t="s">
        <v>1134</v>
      </c>
      <c r="Z957">
        <v>14</v>
      </c>
      <c r="AA957">
        <v>1</v>
      </c>
      <c r="AB957" t="s">
        <v>53</v>
      </c>
      <c r="AC957">
        <v>0</v>
      </c>
      <c r="AD957">
        <v>0</v>
      </c>
      <c r="AE957" t="s">
        <v>79</v>
      </c>
      <c r="AF957">
        <v>45100</v>
      </c>
      <c r="AG957">
        <v>9020</v>
      </c>
      <c r="AH957">
        <v>4510</v>
      </c>
      <c r="AI957">
        <v>31570</v>
      </c>
      <c r="AJ957" t="s">
        <v>104</v>
      </c>
      <c r="AK957" t="s">
        <v>151</v>
      </c>
      <c r="AL957">
        <v>2013</v>
      </c>
      <c r="AM957" t="s">
        <v>82</v>
      </c>
      <c r="AN957" s="2">
        <f t="shared" si="98"/>
        <v>36.165930250274656</v>
      </c>
      <c r="AO957">
        <f t="shared" si="99"/>
        <v>-43853.97</v>
      </c>
      <c r="AP957" s="2">
        <f t="shared" si="100"/>
        <v>2.7627547061040775E-2</v>
      </c>
      <c r="AQ957" s="2">
        <f t="shared" si="104"/>
        <v>2</v>
      </c>
      <c r="AR957">
        <f t="shared" si="101"/>
        <v>190</v>
      </c>
      <c r="AS957" t="str">
        <f t="shared" si="102"/>
        <v>High Claim Ratio</v>
      </c>
      <c r="AT957" t="str">
        <f t="shared" si="103"/>
        <v>High Profit</v>
      </c>
    </row>
    <row r="958" spans="1:46" x14ac:dyDescent="0.2">
      <c r="A958">
        <v>95</v>
      </c>
      <c r="B958">
        <v>32</v>
      </c>
      <c r="C958">
        <v>433663</v>
      </c>
      <c r="D958" s="1">
        <v>35420</v>
      </c>
      <c r="E958" t="s">
        <v>57</v>
      </c>
      <c r="F958" t="s">
        <v>91</v>
      </c>
      <c r="G958">
        <v>2000</v>
      </c>
      <c r="H958">
        <v>1356.64</v>
      </c>
      <c r="I958">
        <v>0</v>
      </c>
      <c r="J958">
        <v>449352</v>
      </c>
      <c r="K958" t="s">
        <v>41</v>
      </c>
      <c r="L958" t="s">
        <v>124</v>
      </c>
      <c r="M958" t="s">
        <v>58</v>
      </c>
      <c r="N958" t="s">
        <v>112</v>
      </c>
      <c r="O958" t="s">
        <v>142</v>
      </c>
      <c r="P958">
        <v>67800</v>
      </c>
      <c r="Q958">
        <v>-48600</v>
      </c>
      <c r="R958" s="1">
        <v>42058</v>
      </c>
      <c r="S958" t="s">
        <v>75</v>
      </c>
      <c r="T958" t="s">
        <v>47</v>
      </c>
      <c r="U958" t="s">
        <v>107</v>
      </c>
      <c r="V958" t="s">
        <v>49</v>
      </c>
      <c r="W958" t="s">
        <v>50</v>
      </c>
      <c r="X958" t="s">
        <v>102</v>
      </c>
      <c r="Y958" t="s">
        <v>1135</v>
      </c>
      <c r="Z958">
        <v>21</v>
      </c>
      <c r="AA958">
        <v>3</v>
      </c>
      <c r="AB958" t="s">
        <v>53</v>
      </c>
      <c r="AC958">
        <v>0</v>
      </c>
      <c r="AD958">
        <v>3</v>
      </c>
      <c r="AE958" t="s">
        <v>53</v>
      </c>
      <c r="AF958">
        <v>83160</v>
      </c>
      <c r="AG958">
        <v>15120</v>
      </c>
      <c r="AH958">
        <v>15120</v>
      </c>
      <c r="AI958">
        <v>52920</v>
      </c>
      <c r="AJ958" t="s">
        <v>115</v>
      </c>
      <c r="AK958" t="s">
        <v>116</v>
      </c>
      <c r="AL958">
        <v>2003</v>
      </c>
      <c r="AM958" t="s">
        <v>82</v>
      </c>
      <c r="AN958" s="2">
        <f t="shared" si="98"/>
        <v>61.253351403906777</v>
      </c>
      <c r="AO958">
        <f t="shared" si="99"/>
        <v>-81803.360000000001</v>
      </c>
      <c r="AP958" s="2">
        <f t="shared" si="100"/>
        <v>1.6313416144587006E-2</v>
      </c>
      <c r="AQ958" s="2">
        <f t="shared" si="104"/>
        <v>12</v>
      </c>
      <c r="AR958">
        <f t="shared" si="101"/>
        <v>95</v>
      </c>
      <c r="AS958" t="str">
        <f t="shared" si="102"/>
        <v>High Claim Ratio</v>
      </c>
      <c r="AT958" t="str">
        <f t="shared" si="103"/>
        <v>High Profit</v>
      </c>
    </row>
    <row r="959" spans="1:46" x14ac:dyDescent="0.2">
      <c r="A959">
        <v>205</v>
      </c>
      <c r="B959">
        <v>42</v>
      </c>
      <c r="C959">
        <v>471938</v>
      </c>
      <c r="D959" s="1">
        <v>39481</v>
      </c>
      <c r="E959" t="s">
        <v>83</v>
      </c>
      <c r="F959" t="s">
        <v>69</v>
      </c>
      <c r="G959">
        <v>2000</v>
      </c>
      <c r="H959">
        <v>1387.7</v>
      </c>
      <c r="I959">
        <v>4000000</v>
      </c>
      <c r="J959">
        <v>470104</v>
      </c>
      <c r="K959" t="s">
        <v>70</v>
      </c>
      <c r="L959" t="s">
        <v>131</v>
      </c>
      <c r="M959" t="s">
        <v>117</v>
      </c>
      <c r="N959" t="s">
        <v>132</v>
      </c>
      <c r="O959" t="s">
        <v>60</v>
      </c>
      <c r="P959">
        <v>0</v>
      </c>
      <c r="Q959">
        <v>0</v>
      </c>
      <c r="R959" s="1">
        <v>42022</v>
      </c>
      <c r="S959" t="s">
        <v>46</v>
      </c>
      <c r="T959" t="s">
        <v>76</v>
      </c>
      <c r="U959" t="s">
        <v>63</v>
      </c>
      <c r="V959" t="s">
        <v>49</v>
      </c>
      <c r="W959" t="s">
        <v>113</v>
      </c>
      <c r="X959" t="s">
        <v>51</v>
      </c>
      <c r="Y959" t="s">
        <v>1136</v>
      </c>
      <c r="Z959">
        <v>19</v>
      </c>
      <c r="AA959">
        <v>1</v>
      </c>
      <c r="AB959" t="s">
        <v>79</v>
      </c>
      <c r="AC959">
        <v>2</v>
      </c>
      <c r="AD959">
        <v>1</v>
      </c>
      <c r="AE959" t="s">
        <v>79</v>
      </c>
      <c r="AF959">
        <v>86130</v>
      </c>
      <c r="AG959">
        <v>15660</v>
      </c>
      <c r="AH959">
        <v>15660</v>
      </c>
      <c r="AI959">
        <v>54810</v>
      </c>
      <c r="AJ959" t="s">
        <v>89</v>
      </c>
      <c r="AK959" t="s">
        <v>223</v>
      </c>
      <c r="AL959">
        <v>1995</v>
      </c>
      <c r="AM959" t="s">
        <v>82</v>
      </c>
      <c r="AN959" s="2">
        <f t="shared" si="98"/>
        <v>62.022034996759558</v>
      </c>
      <c r="AO959">
        <f t="shared" si="99"/>
        <v>-84742.3</v>
      </c>
      <c r="AP959" s="2">
        <f t="shared" si="100"/>
        <v>1.6111504568622214E-2</v>
      </c>
      <c r="AQ959" s="2">
        <f t="shared" si="104"/>
        <v>20</v>
      </c>
      <c r="AR959">
        <f t="shared" si="101"/>
        <v>205</v>
      </c>
      <c r="AS959" t="str">
        <f t="shared" si="102"/>
        <v>High Claim Ratio</v>
      </c>
      <c r="AT959" t="str">
        <f t="shared" si="103"/>
        <v>High Profit</v>
      </c>
    </row>
    <row r="960" spans="1:46" x14ac:dyDescent="0.2">
      <c r="A960">
        <v>41</v>
      </c>
      <c r="B960">
        <v>25</v>
      </c>
      <c r="C960">
        <v>564654</v>
      </c>
      <c r="D960" s="1">
        <v>37818</v>
      </c>
      <c r="E960" t="s">
        <v>39</v>
      </c>
      <c r="F960" t="s">
        <v>69</v>
      </c>
      <c r="G960">
        <v>1000</v>
      </c>
      <c r="H960">
        <v>1004.14</v>
      </c>
      <c r="I960">
        <v>0</v>
      </c>
      <c r="J960">
        <v>459889</v>
      </c>
      <c r="K960" t="s">
        <v>41</v>
      </c>
      <c r="L960" t="s">
        <v>124</v>
      </c>
      <c r="M960" t="s">
        <v>117</v>
      </c>
      <c r="N960" t="s">
        <v>44</v>
      </c>
      <c r="O960" t="s">
        <v>119</v>
      </c>
      <c r="P960">
        <v>35400</v>
      </c>
      <c r="Q960">
        <v>0</v>
      </c>
      <c r="R960" s="1">
        <v>42050</v>
      </c>
      <c r="S960" t="s">
        <v>75</v>
      </c>
      <c r="T960" t="s">
        <v>86</v>
      </c>
      <c r="U960" t="s">
        <v>48</v>
      </c>
      <c r="V960" t="s">
        <v>99</v>
      </c>
      <c r="W960" t="s">
        <v>121</v>
      </c>
      <c r="X960" t="s">
        <v>122</v>
      </c>
      <c r="Y960" t="s">
        <v>1137</v>
      </c>
      <c r="Z960">
        <v>13</v>
      </c>
      <c r="AA960">
        <v>3</v>
      </c>
      <c r="AB960" t="s">
        <v>79</v>
      </c>
      <c r="AC960">
        <v>1</v>
      </c>
      <c r="AD960">
        <v>3</v>
      </c>
      <c r="AE960" t="s">
        <v>79</v>
      </c>
      <c r="AF960">
        <v>48000</v>
      </c>
      <c r="AG960">
        <v>9600</v>
      </c>
      <c r="AH960">
        <v>4800</v>
      </c>
      <c r="AI960">
        <v>33600</v>
      </c>
      <c r="AJ960" t="s">
        <v>80</v>
      </c>
      <c r="AK960" t="s">
        <v>81</v>
      </c>
      <c r="AL960">
        <v>1995</v>
      </c>
      <c r="AM960" t="s">
        <v>82</v>
      </c>
      <c r="AN960" s="2">
        <f t="shared" si="98"/>
        <v>47.75454165588873</v>
      </c>
      <c r="AO960">
        <f t="shared" si="99"/>
        <v>-46995.86</v>
      </c>
      <c r="AP960" s="2">
        <f t="shared" si="100"/>
        <v>2.0919147517760046E-2</v>
      </c>
      <c r="AQ960" s="2">
        <f t="shared" si="104"/>
        <v>20</v>
      </c>
      <c r="AR960">
        <f t="shared" si="101"/>
        <v>41</v>
      </c>
      <c r="AS960" t="str">
        <f t="shared" si="102"/>
        <v>High Claim Ratio</v>
      </c>
      <c r="AT960" t="str">
        <f t="shared" si="103"/>
        <v>High Profit</v>
      </c>
    </row>
    <row r="961" spans="1:46" x14ac:dyDescent="0.2">
      <c r="A961">
        <v>137</v>
      </c>
      <c r="B961">
        <v>35</v>
      </c>
      <c r="C961">
        <v>645723</v>
      </c>
      <c r="D961" s="1">
        <v>33363</v>
      </c>
      <c r="E961" t="s">
        <v>39</v>
      </c>
      <c r="F961" t="s">
        <v>91</v>
      </c>
      <c r="G961">
        <v>500</v>
      </c>
      <c r="H961">
        <v>1107.07</v>
      </c>
      <c r="I961">
        <v>0</v>
      </c>
      <c r="J961">
        <v>478868</v>
      </c>
      <c r="K961" t="s">
        <v>70</v>
      </c>
      <c r="L961" t="s">
        <v>131</v>
      </c>
      <c r="M961" t="s">
        <v>135</v>
      </c>
      <c r="N961" t="s">
        <v>146</v>
      </c>
      <c r="O961" t="s">
        <v>45</v>
      </c>
      <c r="P961">
        <v>0</v>
      </c>
      <c r="Q961">
        <v>-45300</v>
      </c>
      <c r="R961" s="1">
        <v>42039</v>
      </c>
      <c r="S961" t="s">
        <v>61</v>
      </c>
      <c r="T961" t="s">
        <v>62</v>
      </c>
      <c r="U961" t="s">
        <v>63</v>
      </c>
      <c r="V961" t="s">
        <v>49</v>
      </c>
      <c r="W961" t="s">
        <v>64</v>
      </c>
      <c r="X961" t="s">
        <v>122</v>
      </c>
      <c r="Y961" t="s">
        <v>1138</v>
      </c>
      <c r="Z961">
        <v>21</v>
      </c>
      <c r="AA961">
        <v>1</v>
      </c>
      <c r="AB961" t="s">
        <v>79</v>
      </c>
      <c r="AC961">
        <v>0</v>
      </c>
      <c r="AD961">
        <v>0</v>
      </c>
      <c r="AE961" t="s">
        <v>53</v>
      </c>
      <c r="AF961">
        <v>3300</v>
      </c>
      <c r="AG961">
        <v>600</v>
      </c>
      <c r="AH961">
        <v>600</v>
      </c>
      <c r="AI961">
        <v>2100</v>
      </c>
      <c r="AJ961" t="s">
        <v>54</v>
      </c>
      <c r="AK961" t="s">
        <v>55</v>
      </c>
      <c r="AL961">
        <v>2008</v>
      </c>
      <c r="AM961" t="s">
        <v>82</v>
      </c>
      <c r="AN961" s="2">
        <f t="shared" si="98"/>
        <v>2.9781511998339458</v>
      </c>
      <c r="AO961">
        <f t="shared" si="99"/>
        <v>-2192.9300000000003</v>
      </c>
      <c r="AP961" s="2">
        <f t="shared" si="100"/>
        <v>0.33537412905180247</v>
      </c>
      <c r="AQ961" s="2">
        <f t="shared" si="104"/>
        <v>7</v>
      </c>
      <c r="AR961">
        <f t="shared" si="101"/>
        <v>137</v>
      </c>
      <c r="AS961" t="str">
        <f t="shared" si="102"/>
        <v>Low Claim Ratio</v>
      </c>
      <c r="AT961" t="str">
        <f t="shared" si="103"/>
        <v>Low Profit</v>
      </c>
    </row>
    <row r="962" spans="1:46" x14ac:dyDescent="0.2">
      <c r="A962">
        <v>194</v>
      </c>
      <c r="B962">
        <v>34</v>
      </c>
      <c r="C962">
        <v>573572</v>
      </c>
      <c r="D962" s="1">
        <v>33405</v>
      </c>
      <c r="E962" t="s">
        <v>83</v>
      </c>
      <c r="F962" t="s">
        <v>69</v>
      </c>
      <c r="G962">
        <v>500</v>
      </c>
      <c r="H962">
        <v>1429.96</v>
      </c>
      <c r="I962">
        <v>0</v>
      </c>
      <c r="J962">
        <v>463307</v>
      </c>
      <c r="K962" t="s">
        <v>70</v>
      </c>
      <c r="L962" t="s">
        <v>161</v>
      </c>
      <c r="M962" t="s">
        <v>135</v>
      </c>
      <c r="N962" t="s">
        <v>73</v>
      </c>
      <c r="O962" t="s">
        <v>45</v>
      </c>
      <c r="P962">
        <v>67800</v>
      </c>
      <c r="Q962">
        <v>0</v>
      </c>
      <c r="R962" s="1">
        <v>42016</v>
      </c>
      <c r="S962" t="s">
        <v>75</v>
      </c>
      <c r="T962" t="s">
        <v>76</v>
      </c>
      <c r="U962" t="s">
        <v>63</v>
      </c>
      <c r="V962" t="s">
        <v>136</v>
      </c>
      <c r="W962" t="s">
        <v>77</v>
      </c>
      <c r="X962" t="s">
        <v>127</v>
      </c>
      <c r="Y962" t="s">
        <v>1139</v>
      </c>
      <c r="Z962">
        <v>11</v>
      </c>
      <c r="AA962">
        <v>3</v>
      </c>
      <c r="AB962" t="s">
        <v>79</v>
      </c>
      <c r="AC962">
        <v>1</v>
      </c>
      <c r="AD962">
        <v>2</v>
      </c>
      <c r="AE962" t="s">
        <v>53</v>
      </c>
      <c r="AF962">
        <v>57200</v>
      </c>
      <c r="AG962">
        <v>11440</v>
      </c>
      <c r="AH962">
        <v>5720</v>
      </c>
      <c r="AI962">
        <v>40040</v>
      </c>
      <c r="AJ962" t="s">
        <v>115</v>
      </c>
      <c r="AK962" t="s">
        <v>116</v>
      </c>
      <c r="AL962">
        <v>2005</v>
      </c>
      <c r="AM962" t="s">
        <v>82</v>
      </c>
      <c r="AN962" s="2">
        <f t="shared" si="98"/>
        <v>39.973164868340135</v>
      </c>
      <c r="AO962">
        <f t="shared" si="99"/>
        <v>-55770.04</v>
      </c>
      <c r="AP962" s="2">
        <f t="shared" si="100"/>
        <v>2.4998863656229785E-2</v>
      </c>
      <c r="AQ962" s="2">
        <f t="shared" si="104"/>
        <v>10</v>
      </c>
      <c r="AR962">
        <f t="shared" si="101"/>
        <v>194</v>
      </c>
      <c r="AS962" t="str">
        <f t="shared" si="102"/>
        <v>High Claim Ratio</v>
      </c>
      <c r="AT962" t="str">
        <f t="shared" si="103"/>
        <v>High Profit</v>
      </c>
    </row>
    <row r="963" spans="1:46" x14ac:dyDescent="0.2">
      <c r="A963">
        <v>128</v>
      </c>
      <c r="B963">
        <v>35</v>
      </c>
      <c r="C963">
        <v>437960</v>
      </c>
      <c r="D963" s="1">
        <v>36984</v>
      </c>
      <c r="E963" t="s">
        <v>57</v>
      </c>
      <c r="F963" t="s">
        <v>40</v>
      </c>
      <c r="G963">
        <v>1000</v>
      </c>
      <c r="H963">
        <v>1074.99</v>
      </c>
      <c r="I963">
        <v>0</v>
      </c>
      <c r="J963">
        <v>453620</v>
      </c>
      <c r="K963" t="s">
        <v>70</v>
      </c>
      <c r="L963" t="s">
        <v>92</v>
      </c>
      <c r="M963" t="s">
        <v>185</v>
      </c>
      <c r="N963" t="s">
        <v>98</v>
      </c>
      <c r="O963" t="s">
        <v>45</v>
      </c>
      <c r="P963">
        <v>0</v>
      </c>
      <c r="Q963">
        <v>-48800</v>
      </c>
      <c r="R963" s="1">
        <v>42006</v>
      </c>
      <c r="S963" t="s">
        <v>61</v>
      </c>
      <c r="T963" t="s">
        <v>62</v>
      </c>
      <c r="U963" t="s">
        <v>212</v>
      </c>
      <c r="V963" t="s">
        <v>49</v>
      </c>
      <c r="W963" t="s">
        <v>64</v>
      </c>
      <c r="X963" t="s">
        <v>51</v>
      </c>
      <c r="Y963" t="s">
        <v>1140</v>
      </c>
      <c r="Z963">
        <v>16</v>
      </c>
      <c r="AA963">
        <v>1</v>
      </c>
      <c r="AB963" t="s">
        <v>62</v>
      </c>
      <c r="AC963">
        <v>2</v>
      </c>
      <c r="AD963">
        <v>0</v>
      </c>
      <c r="AE963" t="s">
        <v>62</v>
      </c>
      <c r="AF963">
        <v>7590</v>
      </c>
      <c r="AG963">
        <v>1380</v>
      </c>
      <c r="AH963">
        <v>690</v>
      </c>
      <c r="AI963">
        <v>5520</v>
      </c>
      <c r="AJ963" t="s">
        <v>95</v>
      </c>
      <c r="AK963" t="s">
        <v>148</v>
      </c>
      <c r="AL963">
        <v>2012</v>
      </c>
      <c r="AM963" t="s">
        <v>82</v>
      </c>
      <c r="AN963" s="2">
        <f t="shared" ref="AN963:AN1001" si="105">AF963/(H963+1)</f>
        <v>7.0539689030567194</v>
      </c>
      <c r="AO963">
        <f t="shared" ref="AO963:AO1001" si="106">H963-AF963</f>
        <v>-6515.01</v>
      </c>
      <c r="AP963" s="2">
        <f t="shared" ref="AP963:AP1001" si="107">H963/(AF963+1)</f>
        <v>0.14161375312870506</v>
      </c>
      <c r="AQ963" s="2">
        <f t="shared" si="104"/>
        <v>3</v>
      </c>
      <c r="AR963">
        <f t="shared" ref="AR963:AR1001" si="108">A963</f>
        <v>128</v>
      </c>
      <c r="AS963" t="str">
        <f t="shared" ref="AS963:AS1001" si="109">IF(AN963&lt;5,"Low Claim Ratio",
 IF(AN963&lt;20,"Medium Claim Ratio",
 "High Claim Ratio"))</f>
        <v>Medium Claim Ratio</v>
      </c>
      <c r="AT963" t="str">
        <f t="shared" ref="AT963:AT1001" si="110">IF(-AO963&lt;0,"Loss Making",
 IF(-AO963&lt;5000,"Low Profit",
 "High Profit"))</f>
        <v>High Profit</v>
      </c>
    </row>
    <row r="964" spans="1:46" x14ac:dyDescent="0.2">
      <c r="A964">
        <v>150</v>
      </c>
      <c r="B964">
        <v>37</v>
      </c>
      <c r="C964">
        <v>649800</v>
      </c>
      <c r="D964" s="1">
        <v>41714</v>
      </c>
      <c r="E964" t="s">
        <v>39</v>
      </c>
      <c r="F964" t="s">
        <v>91</v>
      </c>
      <c r="G964">
        <v>1000</v>
      </c>
      <c r="H964">
        <v>1007</v>
      </c>
      <c r="I964">
        <v>0</v>
      </c>
      <c r="J964">
        <v>466238</v>
      </c>
      <c r="K964" t="s">
        <v>70</v>
      </c>
      <c r="L964" t="s">
        <v>71</v>
      </c>
      <c r="M964" t="s">
        <v>145</v>
      </c>
      <c r="N964" t="s">
        <v>73</v>
      </c>
      <c r="O964" t="s">
        <v>85</v>
      </c>
      <c r="P964">
        <v>30400</v>
      </c>
      <c r="Q964">
        <v>-89400</v>
      </c>
      <c r="R964" s="1">
        <v>42031</v>
      </c>
      <c r="S964" t="s">
        <v>46</v>
      </c>
      <c r="T964" t="s">
        <v>76</v>
      </c>
      <c r="U964" t="s">
        <v>107</v>
      </c>
      <c r="V964" t="s">
        <v>49</v>
      </c>
      <c r="W964" t="s">
        <v>64</v>
      </c>
      <c r="X964" t="s">
        <v>87</v>
      </c>
      <c r="Y964" t="s">
        <v>1141</v>
      </c>
      <c r="Z964">
        <v>9</v>
      </c>
      <c r="AA964">
        <v>1</v>
      </c>
      <c r="AB964" t="s">
        <v>79</v>
      </c>
      <c r="AC964">
        <v>0</v>
      </c>
      <c r="AD964">
        <v>2</v>
      </c>
      <c r="AE964" t="s">
        <v>62</v>
      </c>
      <c r="AF964">
        <v>80080</v>
      </c>
      <c r="AG964">
        <v>12320</v>
      </c>
      <c r="AH964">
        <v>12320</v>
      </c>
      <c r="AI964">
        <v>55440</v>
      </c>
      <c r="AJ964" t="s">
        <v>89</v>
      </c>
      <c r="AK964" t="s">
        <v>223</v>
      </c>
      <c r="AL964">
        <v>2013</v>
      </c>
      <c r="AM964" t="s">
        <v>82</v>
      </c>
      <c r="AN964" s="2">
        <f t="shared" si="105"/>
        <v>79.444444444444443</v>
      </c>
      <c r="AO964">
        <f t="shared" si="106"/>
        <v>-79073</v>
      </c>
      <c r="AP964" s="2">
        <f t="shared" si="107"/>
        <v>1.2574768047352056E-2</v>
      </c>
      <c r="AQ964" s="2">
        <f t="shared" ref="AQ964:AQ1001" si="111">YEAR(R964)-(AL964)</f>
        <v>2</v>
      </c>
      <c r="AR964">
        <f t="shared" si="108"/>
        <v>150</v>
      </c>
      <c r="AS964" t="str">
        <f t="shared" si="109"/>
        <v>High Claim Ratio</v>
      </c>
      <c r="AT964" t="str">
        <f t="shared" si="110"/>
        <v>High Profit</v>
      </c>
    </row>
    <row r="965" spans="1:46" x14ac:dyDescent="0.2">
      <c r="A965">
        <v>104</v>
      </c>
      <c r="B965">
        <v>30</v>
      </c>
      <c r="C965">
        <v>544225</v>
      </c>
      <c r="D965" s="1">
        <v>40393</v>
      </c>
      <c r="E965" t="s">
        <v>39</v>
      </c>
      <c r="F965" t="s">
        <v>69</v>
      </c>
      <c r="G965">
        <v>500</v>
      </c>
      <c r="H965">
        <v>1052.8499999999999</v>
      </c>
      <c r="I965">
        <v>0</v>
      </c>
      <c r="J965">
        <v>607697</v>
      </c>
      <c r="K965" t="s">
        <v>70</v>
      </c>
      <c r="L965" t="s">
        <v>42</v>
      </c>
      <c r="M965" t="s">
        <v>135</v>
      </c>
      <c r="N965" t="s">
        <v>132</v>
      </c>
      <c r="O965" t="s">
        <v>60</v>
      </c>
      <c r="P965">
        <v>0</v>
      </c>
      <c r="Q965">
        <v>-70100</v>
      </c>
      <c r="R965" s="1">
        <v>42044</v>
      </c>
      <c r="S965" t="s">
        <v>61</v>
      </c>
      <c r="T965" t="s">
        <v>62</v>
      </c>
      <c r="U965" t="s">
        <v>63</v>
      </c>
      <c r="V965" t="s">
        <v>49</v>
      </c>
      <c r="W965" t="s">
        <v>113</v>
      </c>
      <c r="X965" t="s">
        <v>65</v>
      </c>
      <c r="Y965" t="s">
        <v>1142</v>
      </c>
      <c r="Z965">
        <v>8</v>
      </c>
      <c r="AA965">
        <v>1</v>
      </c>
      <c r="AB965" t="s">
        <v>79</v>
      </c>
      <c r="AC965">
        <v>0</v>
      </c>
      <c r="AD965">
        <v>0</v>
      </c>
      <c r="AE965" t="s">
        <v>53</v>
      </c>
      <c r="AF965">
        <v>4800</v>
      </c>
      <c r="AG965">
        <v>960</v>
      </c>
      <c r="AH965">
        <v>480</v>
      </c>
      <c r="AI965">
        <v>3360</v>
      </c>
      <c r="AJ965" t="s">
        <v>187</v>
      </c>
      <c r="AK965" t="s">
        <v>188</v>
      </c>
      <c r="AL965">
        <v>2006</v>
      </c>
      <c r="AM965" t="s">
        <v>82</v>
      </c>
      <c r="AN965" s="2">
        <f t="shared" si="105"/>
        <v>4.5547279024529113</v>
      </c>
      <c r="AO965">
        <f t="shared" si="106"/>
        <v>-3747.15</v>
      </c>
      <c r="AP965" s="2">
        <f t="shared" si="107"/>
        <v>0.21929806290356174</v>
      </c>
      <c r="AQ965" s="2">
        <f t="shared" si="111"/>
        <v>9</v>
      </c>
      <c r="AR965">
        <f t="shared" si="108"/>
        <v>104</v>
      </c>
      <c r="AS965" t="str">
        <f t="shared" si="109"/>
        <v>Low Claim Ratio</v>
      </c>
      <c r="AT965" t="str">
        <f t="shared" si="110"/>
        <v>Low Profit</v>
      </c>
    </row>
    <row r="966" spans="1:46" x14ac:dyDescent="0.2">
      <c r="A966">
        <v>163</v>
      </c>
      <c r="B966">
        <v>37</v>
      </c>
      <c r="C966">
        <v>390256</v>
      </c>
      <c r="D966" s="1">
        <v>40142</v>
      </c>
      <c r="E966" t="s">
        <v>57</v>
      </c>
      <c r="F966" t="s">
        <v>91</v>
      </c>
      <c r="G966">
        <v>1000</v>
      </c>
      <c r="H966">
        <v>1200.33</v>
      </c>
      <c r="I966">
        <v>4000000</v>
      </c>
      <c r="J966">
        <v>477631</v>
      </c>
      <c r="K966" t="s">
        <v>70</v>
      </c>
      <c r="L966" t="s">
        <v>131</v>
      </c>
      <c r="M966" t="s">
        <v>43</v>
      </c>
      <c r="N966" t="s">
        <v>242</v>
      </c>
      <c r="O966" t="s">
        <v>74</v>
      </c>
      <c r="P966">
        <v>0</v>
      </c>
      <c r="Q966">
        <v>-36400</v>
      </c>
      <c r="R966" s="1">
        <v>42041</v>
      </c>
      <c r="S966" t="s">
        <v>61</v>
      </c>
      <c r="T966" t="s">
        <v>62</v>
      </c>
      <c r="U966" t="s">
        <v>63</v>
      </c>
      <c r="V966" t="s">
        <v>49</v>
      </c>
      <c r="W966" t="s">
        <v>113</v>
      </c>
      <c r="X966" t="s">
        <v>102</v>
      </c>
      <c r="Y966" t="s">
        <v>1143</v>
      </c>
      <c r="Z966">
        <v>7</v>
      </c>
      <c r="AA966">
        <v>1</v>
      </c>
      <c r="AB966" t="s">
        <v>62</v>
      </c>
      <c r="AC966">
        <v>2</v>
      </c>
      <c r="AD966">
        <v>1</v>
      </c>
      <c r="AE966" t="s">
        <v>53</v>
      </c>
      <c r="AF966">
        <v>3900</v>
      </c>
      <c r="AG966">
        <v>390</v>
      </c>
      <c r="AH966">
        <v>780</v>
      </c>
      <c r="AI966">
        <v>2730</v>
      </c>
      <c r="AJ966" t="s">
        <v>214</v>
      </c>
      <c r="AK966" t="s">
        <v>258</v>
      </c>
      <c r="AL966">
        <v>2008</v>
      </c>
      <c r="AM966" t="s">
        <v>56</v>
      </c>
      <c r="AN966" s="2">
        <f t="shared" si="105"/>
        <v>3.2464019045557841</v>
      </c>
      <c r="AO966">
        <f t="shared" si="106"/>
        <v>-2699.67</v>
      </c>
      <c r="AP966" s="2">
        <f t="shared" si="107"/>
        <v>0.30769802614714176</v>
      </c>
      <c r="AQ966" s="2">
        <f t="shared" si="111"/>
        <v>7</v>
      </c>
      <c r="AR966">
        <f t="shared" si="108"/>
        <v>163</v>
      </c>
      <c r="AS966" t="str">
        <f t="shared" si="109"/>
        <v>Low Claim Ratio</v>
      </c>
      <c r="AT966" t="str">
        <f t="shared" si="110"/>
        <v>Low Profit</v>
      </c>
    </row>
    <row r="967" spans="1:46" x14ac:dyDescent="0.2">
      <c r="A967">
        <v>80</v>
      </c>
      <c r="B967">
        <v>26</v>
      </c>
      <c r="C967">
        <v>488597</v>
      </c>
      <c r="D967" s="1">
        <v>37019</v>
      </c>
      <c r="E967" t="s">
        <v>83</v>
      </c>
      <c r="F967" t="s">
        <v>69</v>
      </c>
      <c r="G967">
        <v>1000</v>
      </c>
      <c r="H967">
        <v>1343</v>
      </c>
      <c r="I967">
        <v>0</v>
      </c>
      <c r="J967">
        <v>443625</v>
      </c>
      <c r="K967" t="s">
        <v>41</v>
      </c>
      <c r="L967" t="s">
        <v>124</v>
      </c>
      <c r="M967" t="s">
        <v>159</v>
      </c>
      <c r="N967" t="s">
        <v>118</v>
      </c>
      <c r="O967" t="s">
        <v>60</v>
      </c>
      <c r="P967">
        <v>64600</v>
      </c>
      <c r="Q967">
        <v>0</v>
      </c>
      <c r="R967" s="1">
        <v>42007</v>
      </c>
      <c r="S967" t="s">
        <v>46</v>
      </c>
      <c r="T967" t="s">
        <v>86</v>
      </c>
      <c r="U967" t="s">
        <v>63</v>
      </c>
      <c r="V967" t="s">
        <v>120</v>
      </c>
      <c r="W967" t="s">
        <v>50</v>
      </c>
      <c r="X967" t="s">
        <v>87</v>
      </c>
      <c r="Y967" t="s">
        <v>1144</v>
      </c>
      <c r="Z967">
        <v>12</v>
      </c>
      <c r="AA967">
        <v>1</v>
      </c>
      <c r="AB967" t="s">
        <v>62</v>
      </c>
      <c r="AC967">
        <v>0</v>
      </c>
      <c r="AD967">
        <v>0</v>
      </c>
      <c r="AE967" t="s">
        <v>79</v>
      </c>
      <c r="AF967">
        <v>90400</v>
      </c>
      <c r="AG967">
        <v>9040</v>
      </c>
      <c r="AH967">
        <v>9040</v>
      </c>
      <c r="AI967">
        <v>72320</v>
      </c>
      <c r="AJ967" t="s">
        <v>187</v>
      </c>
      <c r="AK967" t="s">
        <v>188</v>
      </c>
      <c r="AL967">
        <v>1995</v>
      </c>
      <c r="AM967" t="s">
        <v>82</v>
      </c>
      <c r="AN967" s="2">
        <f t="shared" si="105"/>
        <v>67.261904761904759</v>
      </c>
      <c r="AO967">
        <f t="shared" si="106"/>
        <v>-89057</v>
      </c>
      <c r="AP967" s="2">
        <f t="shared" si="107"/>
        <v>1.485603035364653E-2</v>
      </c>
      <c r="AQ967" s="2">
        <f t="shared" si="111"/>
        <v>20</v>
      </c>
      <c r="AR967">
        <f t="shared" si="108"/>
        <v>80</v>
      </c>
      <c r="AS967" t="str">
        <f t="shared" si="109"/>
        <v>High Claim Ratio</v>
      </c>
      <c r="AT967" t="str">
        <f t="shared" si="110"/>
        <v>High Profit</v>
      </c>
    </row>
    <row r="968" spans="1:46" x14ac:dyDescent="0.2">
      <c r="A968">
        <v>65</v>
      </c>
      <c r="B968">
        <v>29</v>
      </c>
      <c r="C968">
        <v>133889</v>
      </c>
      <c r="D968" s="1">
        <v>38152</v>
      </c>
      <c r="E968" t="s">
        <v>39</v>
      </c>
      <c r="F968" t="s">
        <v>40</v>
      </c>
      <c r="G968">
        <v>2000</v>
      </c>
      <c r="H968">
        <v>1441.6</v>
      </c>
      <c r="I968">
        <v>5000000</v>
      </c>
      <c r="J968">
        <v>472223</v>
      </c>
      <c r="K968" t="s">
        <v>70</v>
      </c>
      <c r="L968" t="s">
        <v>42</v>
      </c>
      <c r="M968" t="s">
        <v>72</v>
      </c>
      <c r="N968" t="s">
        <v>170</v>
      </c>
      <c r="O968" t="s">
        <v>74</v>
      </c>
      <c r="P968">
        <v>0</v>
      </c>
      <c r="Q968">
        <v>0</v>
      </c>
      <c r="R968" s="1">
        <v>42016</v>
      </c>
      <c r="S968" t="s">
        <v>75</v>
      </c>
      <c r="T968" t="s">
        <v>76</v>
      </c>
      <c r="U968" t="s">
        <v>63</v>
      </c>
      <c r="V968" t="s">
        <v>120</v>
      </c>
      <c r="W968" t="s">
        <v>121</v>
      </c>
      <c r="X968" t="s">
        <v>51</v>
      </c>
      <c r="Y968" t="s">
        <v>1145</v>
      </c>
      <c r="Z968">
        <v>21</v>
      </c>
      <c r="AA968">
        <v>3</v>
      </c>
      <c r="AB968" t="s">
        <v>53</v>
      </c>
      <c r="AC968">
        <v>0</v>
      </c>
      <c r="AD968">
        <v>0</v>
      </c>
      <c r="AE968" t="s">
        <v>62</v>
      </c>
      <c r="AF968">
        <v>62900</v>
      </c>
      <c r="AG968">
        <v>6290</v>
      </c>
      <c r="AH968">
        <v>12580</v>
      </c>
      <c r="AI968">
        <v>44030</v>
      </c>
      <c r="AJ968" t="s">
        <v>197</v>
      </c>
      <c r="AK968" t="s">
        <v>375</v>
      </c>
      <c r="AL968">
        <v>1998</v>
      </c>
      <c r="AM968" t="s">
        <v>82</v>
      </c>
      <c r="AN968" s="2">
        <f t="shared" si="105"/>
        <v>43.601830029114105</v>
      </c>
      <c r="AO968">
        <f t="shared" si="106"/>
        <v>-61458.400000000001</v>
      </c>
      <c r="AP968" s="2">
        <f t="shared" si="107"/>
        <v>2.2918554553981653E-2</v>
      </c>
      <c r="AQ968" s="2">
        <f t="shared" si="111"/>
        <v>17</v>
      </c>
      <c r="AR968">
        <f t="shared" si="108"/>
        <v>65</v>
      </c>
      <c r="AS968" t="str">
        <f t="shared" si="109"/>
        <v>High Claim Ratio</v>
      </c>
      <c r="AT968" t="str">
        <f t="shared" si="110"/>
        <v>High Profit</v>
      </c>
    </row>
    <row r="969" spans="1:46" x14ac:dyDescent="0.2">
      <c r="A969">
        <v>179</v>
      </c>
      <c r="B969">
        <v>32</v>
      </c>
      <c r="C969">
        <v>931901</v>
      </c>
      <c r="D969" s="1">
        <v>34553</v>
      </c>
      <c r="E969" t="s">
        <v>39</v>
      </c>
      <c r="F969" t="s">
        <v>69</v>
      </c>
      <c r="G969">
        <v>1000</v>
      </c>
      <c r="H969">
        <v>1433.42</v>
      </c>
      <c r="I969">
        <v>6000000</v>
      </c>
      <c r="J969">
        <v>608328</v>
      </c>
      <c r="K969" t="s">
        <v>70</v>
      </c>
      <c r="L969" t="s">
        <v>92</v>
      </c>
      <c r="M969" t="s">
        <v>135</v>
      </c>
      <c r="N969" t="s">
        <v>106</v>
      </c>
      <c r="O969" t="s">
        <v>74</v>
      </c>
      <c r="P969">
        <v>53800</v>
      </c>
      <c r="Q969">
        <v>0</v>
      </c>
      <c r="R969" s="1">
        <v>42026</v>
      </c>
      <c r="S969" t="s">
        <v>46</v>
      </c>
      <c r="T969" t="s">
        <v>76</v>
      </c>
      <c r="U969" t="s">
        <v>48</v>
      </c>
      <c r="V969" t="s">
        <v>49</v>
      </c>
      <c r="W969" t="s">
        <v>121</v>
      </c>
      <c r="X969" t="s">
        <v>87</v>
      </c>
      <c r="Y969" t="s">
        <v>1146</v>
      </c>
      <c r="Z969">
        <v>4</v>
      </c>
      <c r="AA969">
        <v>1</v>
      </c>
      <c r="AB969" t="s">
        <v>53</v>
      </c>
      <c r="AC969">
        <v>1</v>
      </c>
      <c r="AD969">
        <v>2</v>
      </c>
      <c r="AE969" t="s">
        <v>79</v>
      </c>
      <c r="AF969">
        <v>54200</v>
      </c>
      <c r="AG969">
        <v>5420</v>
      </c>
      <c r="AH969">
        <v>10840</v>
      </c>
      <c r="AI969">
        <v>37940</v>
      </c>
      <c r="AJ969" t="s">
        <v>104</v>
      </c>
      <c r="AK969" t="s">
        <v>287</v>
      </c>
      <c r="AL969">
        <v>2014</v>
      </c>
      <c r="AM969" t="s">
        <v>56</v>
      </c>
      <c r="AN969" s="2">
        <f t="shared" si="105"/>
        <v>37.785306953333055</v>
      </c>
      <c r="AO969">
        <f t="shared" si="106"/>
        <v>-52766.58</v>
      </c>
      <c r="AP969" s="2">
        <f t="shared" si="107"/>
        <v>2.644637552812679E-2</v>
      </c>
      <c r="AQ969" s="2">
        <f t="shared" si="111"/>
        <v>1</v>
      </c>
      <c r="AR969">
        <f t="shared" si="108"/>
        <v>179</v>
      </c>
      <c r="AS969" t="str">
        <f t="shared" si="109"/>
        <v>High Claim Ratio</v>
      </c>
      <c r="AT969" t="str">
        <f t="shared" si="110"/>
        <v>High Profit</v>
      </c>
    </row>
    <row r="970" spans="1:46" x14ac:dyDescent="0.2">
      <c r="A970">
        <v>372</v>
      </c>
      <c r="B970">
        <v>50</v>
      </c>
      <c r="C970">
        <v>769475</v>
      </c>
      <c r="D970" s="1">
        <v>38225</v>
      </c>
      <c r="E970" t="s">
        <v>39</v>
      </c>
      <c r="F970" t="s">
        <v>91</v>
      </c>
      <c r="G970">
        <v>2000</v>
      </c>
      <c r="H970">
        <v>1368.57</v>
      </c>
      <c r="I970">
        <v>0</v>
      </c>
      <c r="J970">
        <v>474860</v>
      </c>
      <c r="K970" t="s">
        <v>70</v>
      </c>
      <c r="L970" t="s">
        <v>42</v>
      </c>
      <c r="M970" t="s">
        <v>97</v>
      </c>
      <c r="N970" t="s">
        <v>165</v>
      </c>
      <c r="O970" t="s">
        <v>60</v>
      </c>
      <c r="P970">
        <v>0</v>
      </c>
      <c r="Q970">
        <v>0</v>
      </c>
      <c r="R970" s="1">
        <v>42007</v>
      </c>
      <c r="S970" t="s">
        <v>75</v>
      </c>
      <c r="T970" t="s">
        <v>47</v>
      </c>
      <c r="U970" t="s">
        <v>48</v>
      </c>
      <c r="V970" t="s">
        <v>49</v>
      </c>
      <c r="W970" t="s">
        <v>77</v>
      </c>
      <c r="X970" t="s">
        <v>127</v>
      </c>
      <c r="Y970" t="s">
        <v>1147</v>
      </c>
      <c r="Z970">
        <v>18</v>
      </c>
      <c r="AA970">
        <v>3</v>
      </c>
      <c r="AB970" t="s">
        <v>79</v>
      </c>
      <c r="AC970">
        <v>2</v>
      </c>
      <c r="AD970">
        <v>2</v>
      </c>
      <c r="AE970" t="s">
        <v>53</v>
      </c>
      <c r="AF970">
        <v>51800</v>
      </c>
      <c r="AG970">
        <v>5180</v>
      </c>
      <c r="AH970">
        <v>10360</v>
      </c>
      <c r="AI970">
        <v>36260</v>
      </c>
      <c r="AJ970" t="s">
        <v>95</v>
      </c>
      <c r="AK970" t="s">
        <v>148</v>
      </c>
      <c r="AL970">
        <v>2003</v>
      </c>
      <c r="AM970" t="s">
        <v>82</v>
      </c>
      <c r="AN970" s="2">
        <f t="shared" si="105"/>
        <v>37.822090145082036</v>
      </c>
      <c r="AO970">
        <f t="shared" si="106"/>
        <v>-50431.43</v>
      </c>
      <c r="AP970" s="2">
        <f t="shared" si="107"/>
        <v>2.6419760236288874E-2</v>
      </c>
      <c r="AQ970" s="2">
        <f t="shared" si="111"/>
        <v>12</v>
      </c>
      <c r="AR970">
        <f t="shared" si="108"/>
        <v>372</v>
      </c>
      <c r="AS970" t="str">
        <f t="shared" si="109"/>
        <v>High Claim Ratio</v>
      </c>
      <c r="AT970" t="str">
        <f t="shared" si="110"/>
        <v>High Profit</v>
      </c>
    </row>
    <row r="971" spans="1:46" x14ac:dyDescent="0.2">
      <c r="A971">
        <v>398</v>
      </c>
      <c r="B971">
        <v>55</v>
      </c>
      <c r="C971">
        <v>844062</v>
      </c>
      <c r="D971" s="1">
        <v>33018</v>
      </c>
      <c r="E971" t="s">
        <v>39</v>
      </c>
      <c r="F971" t="s">
        <v>40</v>
      </c>
      <c r="G971">
        <v>500</v>
      </c>
      <c r="H971">
        <v>862.19</v>
      </c>
      <c r="I971">
        <v>0</v>
      </c>
      <c r="J971">
        <v>606858</v>
      </c>
      <c r="K971" t="s">
        <v>41</v>
      </c>
      <c r="L971" t="s">
        <v>131</v>
      </c>
      <c r="M971" t="s">
        <v>185</v>
      </c>
      <c r="N971" t="s">
        <v>146</v>
      </c>
      <c r="O971" t="s">
        <v>85</v>
      </c>
      <c r="P971">
        <v>69400</v>
      </c>
      <c r="Q971">
        <v>0</v>
      </c>
      <c r="R971" s="1">
        <v>42058</v>
      </c>
      <c r="S971" t="s">
        <v>61</v>
      </c>
      <c r="T971" t="s">
        <v>62</v>
      </c>
      <c r="U971" t="s">
        <v>212</v>
      </c>
      <c r="V971" t="s">
        <v>49</v>
      </c>
      <c r="W971" t="s">
        <v>50</v>
      </c>
      <c r="X971" t="s">
        <v>127</v>
      </c>
      <c r="Y971" t="s">
        <v>1148</v>
      </c>
      <c r="Z971">
        <v>7</v>
      </c>
      <c r="AA971">
        <v>1</v>
      </c>
      <c r="AB971" t="s">
        <v>62</v>
      </c>
      <c r="AC971">
        <v>2</v>
      </c>
      <c r="AD971">
        <v>3</v>
      </c>
      <c r="AE971" t="s">
        <v>62</v>
      </c>
      <c r="AF971">
        <v>6600</v>
      </c>
      <c r="AG971">
        <v>600</v>
      </c>
      <c r="AH971">
        <v>1200</v>
      </c>
      <c r="AI971">
        <v>4800</v>
      </c>
      <c r="AJ971" t="s">
        <v>95</v>
      </c>
      <c r="AK971" t="s">
        <v>148</v>
      </c>
      <c r="AL971">
        <v>2012</v>
      </c>
      <c r="AM971" t="s">
        <v>82</v>
      </c>
      <c r="AN971" s="2">
        <f t="shared" si="105"/>
        <v>7.6460570673895658</v>
      </c>
      <c r="AO971">
        <f t="shared" si="106"/>
        <v>-5737.8099999999995</v>
      </c>
      <c r="AP971" s="2">
        <f t="shared" si="107"/>
        <v>0.1306150583244963</v>
      </c>
      <c r="AQ971" s="2">
        <f t="shared" si="111"/>
        <v>3</v>
      </c>
      <c r="AR971">
        <f t="shared" si="108"/>
        <v>398</v>
      </c>
      <c r="AS971" t="str">
        <f t="shared" si="109"/>
        <v>Medium Claim Ratio</v>
      </c>
      <c r="AT971" t="str">
        <f t="shared" si="110"/>
        <v>High Profit</v>
      </c>
    </row>
    <row r="972" spans="1:46" x14ac:dyDescent="0.2">
      <c r="A972">
        <v>213</v>
      </c>
      <c r="B972">
        <v>35</v>
      </c>
      <c r="C972">
        <v>844129</v>
      </c>
      <c r="D972" s="1">
        <v>33136</v>
      </c>
      <c r="E972" t="s">
        <v>39</v>
      </c>
      <c r="F972" t="s">
        <v>40</v>
      </c>
      <c r="G972">
        <v>500</v>
      </c>
      <c r="H972">
        <v>871.46</v>
      </c>
      <c r="I972">
        <v>0</v>
      </c>
      <c r="J972">
        <v>477938</v>
      </c>
      <c r="K972" t="s">
        <v>41</v>
      </c>
      <c r="L972" t="s">
        <v>42</v>
      </c>
      <c r="M972" t="s">
        <v>97</v>
      </c>
      <c r="N972" t="s">
        <v>146</v>
      </c>
      <c r="O972" t="s">
        <v>45</v>
      </c>
      <c r="P972">
        <v>58500</v>
      </c>
      <c r="Q972">
        <v>-77700</v>
      </c>
      <c r="R972" s="1">
        <v>42026</v>
      </c>
      <c r="S972" t="s">
        <v>46</v>
      </c>
      <c r="T972" t="s">
        <v>47</v>
      </c>
      <c r="U972" t="s">
        <v>107</v>
      </c>
      <c r="V972" t="s">
        <v>99</v>
      </c>
      <c r="W972" t="s">
        <v>50</v>
      </c>
      <c r="X972" t="s">
        <v>156</v>
      </c>
      <c r="Y972" t="s">
        <v>1149</v>
      </c>
      <c r="Z972">
        <v>13</v>
      </c>
      <c r="AA972">
        <v>1</v>
      </c>
      <c r="AB972" t="s">
        <v>53</v>
      </c>
      <c r="AC972">
        <v>2</v>
      </c>
      <c r="AD972">
        <v>0</v>
      </c>
      <c r="AE972" t="s">
        <v>53</v>
      </c>
      <c r="AF972">
        <v>74140</v>
      </c>
      <c r="AG972">
        <v>13480</v>
      </c>
      <c r="AH972">
        <v>6740</v>
      </c>
      <c r="AI972">
        <v>53920</v>
      </c>
      <c r="AJ972" t="s">
        <v>129</v>
      </c>
      <c r="AK972" t="s">
        <v>172</v>
      </c>
      <c r="AL972">
        <v>2007</v>
      </c>
      <c r="AM972" t="s">
        <v>82</v>
      </c>
      <c r="AN972" s="2">
        <f t="shared" si="105"/>
        <v>84.978107878871228</v>
      </c>
      <c r="AO972">
        <f t="shared" si="106"/>
        <v>-73268.539999999994</v>
      </c>
      <c r="AP972" s="2">
        <f t="shared" si="107"/>
        <v>1.1754090179522801E-2</v>
      </c>
      <c r="AQ972" s="2">
        <f t="shared" si="111"/>
        <v>8</v>
      </c>
      <c r="AR972">
        <f t="shared" si="108"/>
        <v>213</v>
      </c>
      <c r="AS972" t="str">
        <f t="shared" si="109"/>
        <v>High Claim Ratio</v>
      </c>
      <c r="AT972" t="str">
        <f t="shared" si="110"/>
        <v>High Profit</v>
      </c>
    </row>
    <row r="973" spans="1:46" x14ac:dyDescent="0.2">
      <c r="A973">
        <v>79</v>
      </c>
      <c r="B973">
        <v>25</v>
      </c>
      <c r="C973">
        <v>732169</v>
      </c>
      <c r="D973" s="1">
        <v>36835</v>
      </c>
      <c r="E973" t="s">
        <v>39</v>
      </c>
      <c r="F973" t="s">
        <v>91</v>
      </c>
      <c r="G973">
        <v>500</v>
      </c>
      <c r="H973">
        <v>1863.04</v>
      </c>
      <c r="I973">
        <v>0</v>
      </c>
      <c r="J973">
        <v>462698</v>
      </c>
      <c r="K973" t="s">
        <v>70</v>
      </c>
      <c r="L973" t="s">
        <v>92</v>
      </c>
      <c r="M973" t="s">
        <v>117</v>
      </c>
      <c r="N973" t="s">
        <v>165</v>
      </c>
      <c r="O973" t="s">
        <v>142</v>
      </c>
      <c r="P973">
        <v>53400</v>
      </c>
      <c r="Q973">
        <v>-35200</v>
      </c>
      <c r="R973" s="1">
        <v>42048</v>
      </c>
      <c r="S973" t="s">
        <v>46</v>
      </c>
      <c r="T973" t="s">
        <v>86</v>
      </c>
      <c r="U973" t="s">
        <v>107</v>
      </c>
      <c r="V973" t="s">
        <v>99</v>
      </c>
      <c r="W973" t="s">
        <v>64</v>
      </c>
      <c r="X973" t="s">
        <v>127</v>
      </c>
      <c r="Y973" t="s">
        <v>1150</v>
      </c>
      <c r="Z973">
        <v>0</v>
      </c>
      <c r="AA973">
        <v>1</v>
      </c>
      <c r="AB973" t="s">
        <v>79</v>
      </c>
      <c r="AC973">
        <v>2</v>
      </c>
      <c r="AD973">
        <v>1</v>
      </c>
      <c r="AE973" t="s">
        <v>62</v>
      </c>
      <c r="AF973">
        <v>67800</v>
      </c>
      <c r="AG973">
        <v>13560</v>
      </c>
      <c r="AH973">
        <v>6780</v>
      </c>
      <c r="AI973">
        <v>47460</v>
      </c>
      <c r="AJ973" t="s">
        <v>67</v>
      </c>
      <c r="AK973" t="s">
        <v>193</v>
      </c>
      <c r="AL973">
        <v>1995</v>
      </c>
      <c r="AM973" t="s">
        <v>82</v>
      </c>
      <c r="AN973" s="2">
        <f t="shared" si="105"/>
        <v>36.372610029827683</v>
      </c>
      <c r="AO973">
        <f t="shared" si="106"/>
        <v>-65936.960000000006</v>
      </c>
      <c r="AP973" s="2">
        <f t="shared" si="107"/>
        <v>2.7478060795563485E-2</v>
      </c>
      <c r="AQ973" s="2">
        <f t="shared" si="111"/>
        <v>20</v>
      </c>
      <c r="AR973">
        <f t="shared" si="108"/>
        <v>79</v>
      </c>
      <c r="AS973" t="str">
        <f t="shared" si="109"/>
        <v>High Claim Ratio</v>
      </c>
      <c r="AT973" t="str">
        <f t="shared" si="110"/>
        <v>High Profit</v>
      </c>
    </row>
    <row r="974" spans="1:46" x14ac:dyDescent="0.2">
      <c r="A974">
        <v>232</v>
      </c>
      <c r="B974">
        <v>44</v>
      </c>
      <c r="C974">
        <v>221854</v>
      </c>
      <c r="D974" s="1">
        <v>34610</v>
      </c>
      <c r="E974" t="s">
        <v>39</v>
      </c>
      <c r="F974" t="s">
        <v>40</v>
      </c>
      <c r="G974">
        <v>2000</v>
      </c>
      <c r="H974">
        <v>1181.6400000000001</v>
      </c>
      <c r="I974">
        <v>0</v>
      </c>
      <c r="J974">
        <v>454552</v>
      </c>
      <c r="K974" t="s">
        <v>41</v>
      </c>
      <c r="L974" t="s">
        <v>141</v>
      </c>
      <c r="M974" t="s">
        <v>111</v>
      </c>
      <c r="N974" t="s">
        <v>264</v>
      </c>
      <c r="O974" t="s">
        <v>119</v>
      </c>
      <c r="P974">
        <v>25800</v>
      </c>
      <c r="Q974">
        <v>0</v>
      </c>
      <c r="R974" s="1">
        <v>42043</v>
      </c>
      <c r="S974" t="s">
        <v>46</v>
      </c>
      <c r="T974" t="s">
        <v>76</v>
      </c>
      <c r="U974" t="s">
        <v>48</v>
      </c>
      <c r="V974" t="s">
        <v>99</v>
      </c>
      <c r="W974" t="s">
        <v>77</v>
      </c>
      <c r="X974" t="s">
        <v>127</v>
      </c>
      <c r="Y974" t="s">
        <v>1151</v>
      </c>
      <c r="Z974">
        <v>22</v>
      </c>
      <c r="AA974">
        <v>1</v>
      </c>
      <c r="AB974" t="s">
        <v>62</v>
      </c>
      <c r="AC974">
        <v>1</v>
      </c>
      <c r="AD974">
        <v>1</v>
      </c>
      <c r="AE974" t="s">
        <v>53</v>
      </c>
      <c r="AF974">
        <v>55400</v>
      </c>
      <c r="AG974">
        <v>5540</v>
      </c>
      <c r="AH974">
        <v>11080</v>
      </c>
      <c r="AI974">
        <v>38780</v>
      </c>
      <c r="AJ974" t="s">
        <v>197</v>
      </c>
      <c r="AK974" t="s">
        <v>375</v>
      </c>
      <c r="AL974">
        <v>2002</v>
      </c>
      <c r="AM974" t="s">
        <v>56</v>
      </c>
      <c r="AN974" s="2">
        <f t="shared" si="105"/>
        <v>46.844348237840762</v>
      </c>
      <c r="AO974">
        <f t="shared" si="106"/>
        <v>-54218.36</v>
      </c>
      <c r="AP974" s="2">
        <f t="shared" si="107"/>
        <v>2.1328856879839715E-2</v>
      </c>
      <c r="AQ974" s="2">
        <f t="shared" si="111"/>
        <v>13</v>
      </c>
      <c r="AR974">
        <f t="shared" si="108"/>
        <v>232</v>
      </c>
      <c r="AS974" t="str">
        <f t="shared" si="109"/>
        <v>High Claim Ratio</v>
      </c>
      <c r="AT974" t="str">
        <f t="shared" si="110"/>
        <v>High Profit</v>
      </c>
    </row>
    <row r="975" spans="1:46" x14ac:dyDescent="0.2">
      <c r="A975">
        <v>230</v>
      </c>
      <c r="B975">
        <v>37</v>
      </c>
      <c r="C975">
        <v>776950</v>
      </c>
      <c r="D975" s="1">
        <v>38453</v>
      </c>
      <c r="E975" t="s">
        <v>83</v>
      </c>
      <c r="F975" t="s">
        <v>91</v>
      </c>
      <c r="G975">
        <v>1000</v>
      </c>
      <c r="H975">
        <v>1060.74</v>
      </c>
      <c r="I975">
        <v>0</v>
      </c>
      <c r="J975">
        <v>471585</v>
      </c>
      <c r="K975" t="s">
        <v>41</v>
      </c>
      <c r="L975" t="s">
        <v>71</v>
      </c>
      <c r="M975" t="s">
        <v>97</v>
      </c>
      <c r="N975" t="s">
        <v>59</v>
      </c>
      <c r="O975" t="s">
        <v>74</v>
      </c>
      <c r="P975">
        <v>0</v>
      </c>
      <c r="Q975">
        <v>-51500</v>
      </c>
      <c r="R975" s="1">
        <v>42013</v>
      </c>
      <c r="S975" t="s">
        <v>46</v>
      </c>
      <c r="T975" t="s">
        <v>76</v>
      </c>
      <c r="U975" t="s">
        <v>48</v>
      </c>
      <c r="V975" t="s">
        <v>136</v>
      </c>
      <c r="W975" t="s">
        <v>50</v>
      </c>
      <c r="X975" t="s">
        <v>51</v>
      </c>
      <c r="Y975" t="s">
        <v>1152</v>
      </c>
      <c r="Z975">
        <v>15</v>
      </c>
      <c r="AA975">
        <v>1</v>
      </c>
      <c r="AB975" t="s">
        <v>53</v>
      </c>
      <c r="AC975">
        <v>2</v>
      </c>
      <c r="AD975">
        <v>3</v>
      </c>
      <c r="AE975" t="s">
        <v>62</v>
      </c>
      <c r="AF975">
        <v>49100</v>
      </c>
      <c r="AG975">
        <v>9820</v>
      </c>
      <c r="AH975">
        <v>4910</v>
      </c>
      <c r="AI975">
        <v>34370</v>
      </c>
      <c r="AJ975" t="s">
        <v>153</v>
      </c>
      <c r="AK975" t="s">
        <v>163</v>
      </c>
      <c r="AL975">
        <v>1996</v>
      </c>
      <c r="AM975" t="s">
        <v>56</v>
      </c>
      <c r="AN975" s="2">
        <f t="shared" si="105"/>
        <v>46.244843370316651</v>
      </c>
      <c r="AO975">
        <f t="shared" si="106"/>
        <v>-48039.26</v>
      </c>
      <c r="AP975" s="2">
        <f t="shared" si="107"/>
        <v>2.1603226003543717E-2</v>
      </c>
      <c r="AQ975" s="2">
        <f t="shared" si="111"/>
        <v>19</v>
      </c>
      <c r="AR975">
        <f t="shared" si="108"/>
        <v>230</v>
      </c>
      <c r="AS975" t="str">
        <f t="shared" si="109"/>
        <v>High Claim Ratio</v>
      </c>
      <c r="AT975" t="str">
        <f t="shared" si="110"/>
        <v>High Profit</v>
      </c>
    </row>
    <row r="976" spans="1:46" x14ac:dyDescent="0.2">
      <c r="A976">
        <v>234</v>
      </c>
      <c r="B976">
        <v>41</v>
      </c>
      <c r="C976">
        <v>291006</v>
      </c>
      <c r="D976" s="1">
        <v>33009</v>
      </c>
      <c r="E976" t="s">
        <v>57</v>
      </c>
      <c r="F976" t="s">
        <v>69</v>
      </c>
      <c r="G976">
        <v>500</v>
      </c>
      <c r="H976">
        <v>951.56</v>
      </c>
      <c r="I976">
        <v>0</v>
      </c>
      <c r="J976">
        <v>455426</v>
      </c>
      <c r="K976" t="s">
        <v>70</v>
      </c>
      <c r="L976" t="s">
        <v>161</v>
      </c>
      <c r="M976" t="s">
        <v>145</v>
      </c>
      <c r="N976" t="s">
        <v>181</v>
      </c>
      <c r="O976" t="s">
        <v>119</v>
      </c>
      <c r="P976">
        <v>59400</v>
      </c>
      <c r="Q976">
        <v>-78600</v>
      </c>
      <c r="R976" s="1">
        <v>42043</v>
      </c>
      <c r="S976" t="s">
        <v>75</v>
      </c>
      <c r="T976" t="s">
        <v>47</v>
      </c>
      <c r="U976" t="s">
        <v>48</v>
      </c>
      <c r="V976" t="s">
        <v>49</v>
      </c>
      <c r="W976" t="s">
        <v>50</v>
      </c>
      <c r="X976" t="s">
        <v>65</v>
      </c>
      <c r="Y976" t="s">
        <v>1153</v>
      </c>
      <c r="Z976">
        <v>3</v>
      </c>
      <c r="AA976">
        <v>3</v>
      </c>
      <c r="AB976" t="s">
        <v>79</v>
      </c>
      <c r="AC976">
        <v>2</v>
      </c>
      <c r="AD976">
        <v>1</v>
      </c>
      <c r="AE976" t="s">
        <v>62</v>
      </c>
      <c r="AF976">
        <v>98280</v>
      </c>
      <c r="AG976">
        <v>15120</v>
      </c>
      <c r="AH976">
        <v>7560</v>
      </c>
      <c r="AI976">
        <v>75600</v>
      </c>
      <c r="AJ976" t="s">
        <v>89</v>
      </c>
      <c r="AK976" t="s">
        <v>90</v>
      </c>
      <c r="AL976">
        <v>2007</v>
      </c>
      <c r="AM976" t="s">
        <v>56</v>
      </c>
      <c r="AN976" s="2">
        <f t="shared" si="105"/>
        <v>103.17460317460318</v>
      </c>
      <c r="AO976">
        <f t="shared" si="106"/>
        <v>-97328.44</v>
      </c>
      <c r="AP976" s="2">
        <f t="shared" si="107"/>
        <v>9.6820341673365135E-3</v>
      </c>
      <c r="AQ976" s="2">
        <f t="shared" si="111"/>
        <v>8</v>
      </c>
      <c r="AR976">
        <f t="shared" si="108"/>
        <v>234</v>
      </c>
      <c r="AS976" t="str">
        <f t="shared" si="109"/>
        <v>High Claim Ratio</v>
      </c>
      <c r="AT976" t="str">
        <f t="shared" si="110"/>
        <v>High Profit</v>
      </c>
    </row>
    <row r="977" spans="1:46" x14ac:dyDescent="0.2">
      <c r="A977">
        <v>240</v>
      </c>
      <c r="B977">
        <v>40</v>
      </c>
      <c r="C977">
        <v>845751</v>
      </c>
      <c r="D977" s="1">
        <v>38241</v>
      </c>
      <c r="E977" t="s">
        <v>57</v>
      </c>
      <c r="F977" t="s">
        <v>69</v>
      </c>
      <c r="G977">
        <v>500</v>
      </c>
      <c r="H977">
        <v>1533.71</v>
      </c>
      <c r="I977">
        <v>9000000</v>
      </c>
      <c r="J977">
        <v>469856</v>
      </c>
      <c r="K977" t="s">
        <v>70</v>
      </c>
      <c r="L977" t="s">
        <v>161</v>
      </c>
      <c r="M977" t="s">
        <v>135</v>
      </c>
      <c r="N977" t="s">
        <v>173</v>
      </c>
      <c r="O977" t="s">
        <v>74</v>
      </c>
      <c r="P977">
        <v>0</v>
      </c>
      <c r="Q977">
        <v>-70900</v>
      </c>
      <c r="R977" s="1">
        <v>42014</v>
      </c>
      <c r="S977" t="s">
        <v>75</v>
      </c>
      <c r="T977" t="s">
        <v>76</v>
      </c>
      <c r="U977" t="s">
        <v>107</v>
      </c>
      <c r="V977" t="s">
        <v>99</v>
      </c>
      <c r="W977" t="s">
        <v>64</v>
      </c>
      <c r="X977" t="s">
        <v>127</v>
      </c>
      <c r="Y977" t="s">
        <v>1154</v>
      </c>
      <c r="Z977">
        <v>18</v>
      </c>
      <c r="AA977">
        <v>2</v>
      </c>
      <c r="AB977" t="s">
        <v>53</v>
      </c>
      <c r="AC977">
        <v>0</v>
      </c>
      <c r="AD977">
        <v>2</v>
      </c>
      <c r="AE977" t="s">
        <v>62</v>
      </c>
      <c r="AF977">
        <v>66550</v>
      </c>
      <c r="AG977">
        <v>6050</v>
      </c>
      <c r="AH977">
        <v>12100</v>
      </c>
      <c r="AI977">
        <v>48400</v>
      </c>
      <c r="AJ977" t="s">
        <v>129</v>
      </c>
      <c r="AK977" t="s">
        <v>172</v>
      </c>
      <c r="AL977">
        <v>2008</v>
      </c>
      <c r="AM977" t="s">
        <v>82</v>
      </c>
      <c r="AN977" s="2">
        <f t="shared" si="105"/>
        <v>43.363241263821827</v>
      </c>
      <c r="AO977">
        <f t="shared" si="106"/>
        <v>-65016.29</v>
      </c>
      <c r="AP977" s="2">
        <f t="shared" si="107"/>
        <v>2.3045634175294136E-2</v>
      </c>
      <c r="AQ977" s="2">
        <f t="shared" si="111"/>
        <v>7</v>
      </c>
      <c r="AR977">
        <f t="shared" si="108"/>
        <v>240</v>
      </c>
      <c r="AS977" t="str">
        <f t="shared" si="109"/>
        <v>High Claim Ratio</v>
      </c>
      <c r="AT977" t="str">
        <f t="shared" si="110"/>
        <v>High Profit</v>
      </c>
    </row>
    <row r="978" spans="1:46" x14ac:dyDescent="0.2">
      <c r="A978">
        <v>143</v>
      </c>
      <c r="B978">
        <v>33</v>
      </c>
      <c r="C978">
        <v>889764</v>
      </c>
      <c r="D978" s="1">
        <v>34303</v>
      </c>
      <c r="E978" t="s">
        <v>39</v>
      </c>
      <c r="F978" t="s">
        <v>91</v>
      </c>
      <c r="G978">
        <v>1000</v>
      </c>
      <c r="H978">
        <v>1200.0899999999999</v>
      </c>
      <c r="I978">
        <v>0</v>
      </c>
      <c r="J978">
        <v>454191</v>
      </c>
      <c r="K978" t="s">
        <v>70</v>
      </c>
      <c r="L978" t="s">
        <v>92</v>
      </c>
      <c r="M978" t="s">
        <v>43</v>
      </c>
      <c r="N978" t="s">
        <v>73</v>
      </c>
      <c r="O978" t="s">
        <v>85</v>
      </c>
      <c r="P978">
        <v>38400</v>
      </c>
      <c r="Q978">
        <v>-5700</v>
      </c>
      <c r="R978" s="1">
        <v>42030</v>
      </c>
      <c r="S978" t="s">
        <v>75</v>
      </c>
      <c r="T978" t="s">
        <v>47</v>
      </c>
      <c r="U978" t="s">
        <v>48</v>
      </c>
      <c r="V978" t="s">
        <v>99</v>
      </c>
      <c r="W978" t="s">
        <v>113</v>
      </c>
      <c r="X978" t="s">
        <v>87</v>
      </c>
      <c r="Y978" t="s">
        <v>1155</v>
      </c>
      <c r="Z978">
        <v>17</v>
      </c>
      <c r="AA978">
        <v>3</v>
      </c>
      <c r="AB978" t="s">
        <v>62</v>
      </c>
      <c r="AC978">
        <v>2</v>
      </c>
      <c r="AD978">
        <v>2</v>
      </c>
      <c r="AE978" t="s">
        <v>62</v>
      </c>
      <c r="AF978">
        <v>70400</v>
      </c>
      <c r="AG978">
        <v>14080</v>
      </c>
      <c r="AH978">
        <v>7040</v>
      </c>
      <c r="AI978">
        <v>49280</v>
      </c>
      <c r="AJ978" t="s">
        <v>95</v>
      </c>
      <c r="AK978" t="s">
        <v>96</v>
      </c>
      <c r="AL978">
        <v>2002</v>
      </c>
      <c r="AM978" t="s">
        <v>82</v>
      </c>
      <c r="AN978" s="2">
        <f t="shared" si="105"/>
        <v>58.613426137924719</v>
      </c>
      <c r="AO978">
        <f t="shared" si="106"/>
        <v>-69199.91</v>
      </c>
      <c r="AP978" s="2">
        <f t="shared" si="107"/>
        <v>1.7046490816891805E-2</v>
      </c>
      <c r="AQ978" s="2">
        <f t="shared" si="111"/>
        <v>13</v>
      </c>
      <c r="AR978">
        <f t="shared" si="108"/>
        <v>143</v>
      </c>
      <c r="AS978" t="str">
        <f t="shared" si="109"/>
        <v>High Claim Ratio</v>
      </c>
      <c r="AT978" t="str">
        <f t="shared" si="110"/>
        <v>High Profit</v>
      </c>
    </row>
    <row r="979" spans="1:46" x14ac:dyDescent="0.2">
      <c r="A979">
        <v>266</v>
      </c>
      <c r="B979">
        <v>42</v>
      </c>
      <c r="C979">
        <v>929306</v>
      </c>
      <c r="D979" s="1">
        <v>37686</v>
      </c>
      <c r="E979" t="s">
        <v>57</v>
      </c>
      <c r="F979" t="s">
        <v>69</v>
      </c>
      <c r="G979">
        <v>500</v>
      </c>
      <c r="H979">
        <v>1093.83</v>
      </c>
      <c r="I979">
        <v>4000000</v>
      </c>
      <c r="J979">
        <v>468454</v>
      </c>
      <c r="K979" t="s">
        <v>41</v>
      </c>
      <c r="L979" t="s">
        <v>92</v>
      </c>
      <c r="M979" t="s">
        <v>185</v>
      </c>
      <c r="N979" t="s">
        <v>73</v>
      </c>
      <c r="O979" t="s">
        <v>60</v>
      </c>
      <c r="P979">
        <v>0</v>
      </c>
      <c r="Q979">
        <v>-49600</v>
      </c>
      <c r="R979" s="1">
        <v>42056</v>
      </c>
      <c r="S979" t="s">
        <v>75</v>
      </c>
      <c r="T979" t="s">
        <v>47</v>
      </c>
      <c r="U979" t="s">
        <v>48</v>
      </c>
      <c r="V979" t="s">
        <v>136</v>
      </c>
      <c r="W979" t="s">
        <v>113</v>
      </c>
      <c r="X979" t="s">
        <v>102</v>
      </c>
      <c r="Y979" t="s">
        <v>1156</v>
      </c>
      <c r="Z979">
        <v>18</v>
      </c>
      <c r="AA979">
        <v>3</v>
      </c>
      <c r="AB979" t="s">
        <v>62</v>
      </c>
      <c r="AC979">
        <v>1</v>
      </c>
      <c r="AD979">
        <v>1</v>
      </c>
      <c r="AE979" t="s">
        <v>79</v>
      </c>
      <c r="AF979">
        <v>53280</v>
      </c>
      <c r="AG979">
        <v>4440</v>
      </c>
      <c r="AH979">
        <v>8880</v>
      </c>
      <c r="AI979">
        <v>39960</v>
      </c>
      <c r="AJ979" t="s">
        <v>153</v>
      </c>
      <c r="AK979" t="s">
        <v>163</v>
      </c>
      <c r="AL979">
        <v>2015</v>
      </c>
      <c r="AM979" t="s">
        <v>56</v>
      </c>
      <c r="AN979" s="2">
        <f t="shared" si="105"/>
        <v>48.665089557282869</v>
      </c>
      <c r="AO979">
        <f t="shared" si="106"/>
        <v>-52186.17</v>
      </c>
      <c r="AP979" s="2">
        <f t="shared" si="107"/>
        <v>2.0529457029710402E-2</v>
      </c>
      <c r="AQ979" s="2">
        <f t="shared" si="111"/>
        <v>0</v>
      </c>
      <c r="AR979">
        <f t="shared" si="108"/>
        <v>266</v>
      </c>
      <c r="AS979" t="str">
        <f t="shared" si="109"/>
        <v>High Claim Ratio</v>
      </c>
      <c r="AT979" t="str">
        <f t="shared" si="110"/>
        <v>High Profit</v>
      </c>
    </row>
    <row r="980" spans="1:46" x14ac:dyDescent="0.2">
      <c r="A980">
        <v>89</v>
      </c>
      <c r="B980">
        <v>32</v>
      </c>
      <c r="C980">
        <v>515457</v>
      </c>
      <c r="D980" s="1">
        <v>35417</v>
      </c>
      <c r="E980" t="s">
        <v>57</v>
      </c>
      <c r="F980" t="s">
        <v>40</v>
      </c>
      <c r="G980">
        <v>1000</v>
      </c>
      <c r="H980">
        <v>988.93</v>
      </c>
      <c r="I980">
        <v>0</v>
      </c>
      <c r="J980">
        <v>614187</v>
      </c>
      <c r="K980" t="s">
        <v>70</v>
      </c>
      <c r="L980" t="s">
        <v>131</v>
      </c>
      <c r="M980" t="s">
        <v>43</v>
      </c>
      <c r="N980" t="s">
        <v>112</v>
      </c>
      <c r="O980" t="s">
        <v>85</v>
      </c>
      <c r="P980">
        <v>27600</v>
      </c>
      <c r="Q980">
        <v>0</v>
      </c>
      <c r="R980" s="1">
        <v>42027</v>
      </c>
      <c r="S980" t="s">
        <v>46</v>
      </c>
      <c r="T980" t="s">
        <v>86</v>
      </c>
      <c r="U980" t="s">
        <v>107</v>
      </c>
      <c r="V980" t="s">
        <v>120</v>
      </c>
      <c r="W980" t="s">
        <v>77</v>
      </c>
      <c r="X980" t="s">
        <v>51</v>
      </c>
      <c r="Y980" t="s">
        <v>1157</v>
      </c>
      <c r="Z980">
        <v>11</v>
      </c>
      <c r="AA980">
        <v>1</v>
      </c>
      <c r="AB980" t="s">
        <v>62</v>
      </c>
      <c r="AC980">
        <v>2</v>
      </c>
      <c r="AD980">
        <v>3</v>
      </c>
      <c r="AE980" t="s">
        <v>53</v>
      </c>
      <c r="AF980">
        <v>84590</v>
      </c>
      <c r="AG980">
        <v>15380</v>
      </c>
      <c r="AH980">
        <v>15380</v>
      </c>
      <c r="AI980">
        <v>53830</v>
      </c>
      <c r="AJ980" t="s">
        <v>80</v>
      </c>
      <c r="AK980" t="s">
        <v>144</v>
      </c>
      <c r="AL980">
        <v>1999</v>
      </c>
      <c r="AM980" t="s">
        <v>82</v>
      </c>
      <c r="AN980" s="2">
        <f t="shared" si="105"/>
        <v>85.450486398028147</v>
      </c>
      <c r="AO980">
        <f t="shared" si="106"/>
        <v>-83601.070000000007</v>
      </c>
      <c r="AP980" s="2">
        <f t="shared" si="107"/>
        <v>1.1690723599437292E-2</v>
      </c>
      <c r="AQ980" s="2">
        <f t="shared" si="111"/>
        <v>16</v>
      </c>
      <c r="AR980">
        <f t="shared" si="108"/>
        <v>89</v>
      </c>
      <c r="AS980" t="str">
        <f t="shared" si="109"/>
        <v>High Claim Ratio</v>
      </c>
      <c r="AT980" t="str">
        <f t="shared" si="110"/>
        <v>High Profit</v>
      </c>
    </row>
    <row r="981" spans="1:46" x14ac:dyDescent="0.2">
      <c r="A981">
        <v>229</v>
      </c>
      <c r="B981">
        <v>37</v>
      </c>
      <c r="C981">
        <v>556270</v>
      </c>
      <c r="D981" s="1">
        <v>34751</v>
      </c>
      <c r="E981" t="s">
        <v>57</v>
      </c>
      <c r="F981" t="s">
        <v>91</v>
      </c>
      <c r="G981">
        <v>1000</v>
      </c>
      <c r="H981">
        <v>1331.94</v>
      </c>
      <c r="I981">
        <v>0</v>
      </c>
      <c r="J981">
        <v>433974</v>
      </c>
      <c r="K981" t="s">
        <v>70</v>
      </c>
      <c r="L981" t="s">
        <v>124</v>
      </c>
      <c r="M981" t="s">
        <v>189</v>
      </c>
      <c r="N981" t="s">
        <v>106</v>
      </c>
      <c r="O981" t="s">
        <v>142</v>
      </c>
      <c r="P981">
        <v>0</v>
      </c>
      <c r="Q981">
        <v>-55400</v>
      </c>
      <c r="R981" s="1">
        <v>42040</v>
      </c>
      <c r="S981" t="s">
        <v>46</v>
      </c>
      <c r="T981" t="s">
        <v>76</v>
      </c>
      <c r="U981" t="s">
        <v>107</v>
      </c>
      <c r="V981" t="s">
        <v>120</v>
      </c>
      <c r="W981" t="s">
        <v>77</v>
      </c>
      <c r="X981" t="s">
        <v>51</v>
      </c>
      <c r="Y981" t="s">
        <v>1158</v>
      </c>
      <c r="Z981">
        <v>17</v>
      </c>
      <c r="AA981">
        <v>1</v>
      </c>
      <c r="AB981" t="s">
        <v>79</v>
      </c>
      <c r="AC981">
        <v>0</v>
      </c>
      <c r="AD981">
        <v>2</v>
      </c>
      <c r="AE981" t="s">
        <v>53</v>
      </c>
      <c r="AF981">
        <v>54560</v>
      </c>
      <c r="AG981">
        <v>9920</v>
      </c>
      <c r="AH981">
        <v>9920</v>
      </c>
      <c r="AI981">
        <v>34720</v>
      </c>
      <c r="AJ981" t="s">
        <v>54</v>
      </c>
      <c r="AK981">
        <v>95</v>
      </c>
      <c r="AL981">
        <v>2004</v>
      </c>
      <c r="AM981" t="s">
        <v>82</v>
      </c>
      <c r="AN981" s="2">
        <f t="shared" si="105"/>
        <v>40.932074962113823</v>
      </c>
      <c r="AO981">
        <f t="shared" si="106"/>
        <v>-53228.06</v>
      </c>
      <c r="AP981" s="2">
        <f t="shared" si="107"/>
        <v>2.4411942596360037E-2</v>
      </c>
      <c r="AQ981" s="2">
        <f t="shared" si="111"/>
        <v>11</v>
      </c>
      <c r="AR981">
        <f t="shared" si="108"/>
        <v>229</v>
      </c>
      <c r="AS981" t="str">
        <f t="shared" si="109"/>
        <v>High Claim Ratio</v>
      </c>
      <c r="AT981" t="str">
        <f t="shared" si="110"/>
        <v>High Profit</v>
      </c>
    </row>
    <row r="982" spans="1:46" x14ac:dyDescent="0.2">
      <c r="A982">
        <v>245</v>
      </c>
      <c r="B982">
        <v>40</v>
      </c>
      <c r="C982">
        <v>908935</v>
      </c>
      <c r="D982" s="1">
        <v>40158</v>
      </c>
      <c r="E982" t="s">
        <v>83</v>
      </c>
      <c r="F982" t="s">
        <v>91</v>
      </c>
      <c r="G982">
        <v>1000</v>
      </c>
      <c r="H982">
        <v>1361.45</v>
      </c>
      <c r="I982">
        <v>0</v>
      </c>
      <c r="J982">
        <v>604833</v>
      </c>
      <c r="K982" t="s">
        <v>41</v>
      </c>
      <c r="L982" t="s">
        <v>71</v>
      </c>
      <c r="M982" t="s">
        <v>159</v>
      </c>
      <c r="N982" t="s">
        <v>118</v>
      </c>
      <c r="O982" t="s">
        <v>85</v>
      </c>
      <c r="P982">
        <v>39300</v>
      </c>
      <c r="Q982">
        <v>0</v>
      </c>
      <c r="R982" s="1">
        <v>42050</v>
      </c>
      <c r="S982" t="s">
        <v>46</v>
      </c>
      <c r="T982" t="s">
        <v>76</v>
      </c>
      <c r="U982" t="s">
        <v>63</v>
      </c>
      <c r="V982" t="s">
        <v>136</v>
      </c>
      <c r="W982" t="s">
        <v>39</v>
      </c>
      <c r="X982" t="s">
        <v>127</v>
      </c>
      <c r="Y982" t="s">
        <v>1159</v>
      </c>
      <c r="Z982">
        <v>12</v>
      </c>
      <c r="AA982">
        <v>1</v>
      </c>
      <c r="AB982" t="s">
        <v>53</v>
      </c>
      <c r="AC982">
        <v>0</v>
      </c>
      <c r="AD982">
        <v>2</v>
      </c>
      <c r="AE982" t="s">
        <v>53</v>
      </c>
      <c r="AF982">
        <v>82170</v>
      </c>
      <c r="AG982">
        <v>7470</v>
      </c>
      <c r="AH982">
        <v>7470</v>
      </c>
      <c r="AI982">
        <v>67230</v>
      </c>
      <c r="AJ982" t="s">
        <v>153</v>
      </c>
      <c r="AK982" t="s">
        <v>167</v>
      </c>
      <c r="AL982">
        <v>1999</v>
      </c>
      <c r="AM982" t="s">
        <v>82</v>
      </c>
      <c r="AN982" s="2">
        <f t="shared" si="105"/>
        <v>60.310470108994821</v>
      </c>
      <c r="AO982">
        <f t="shared" si="106"/>
        <v>-80808.55</v>
      </c>
      <c r="AP982" s="2">
        <f t="shared" si="107"/>
        <v>1.6568497401759745E-2</v>
      </c>
      <c r="AQ982" s="2">
        <f t="shared" si="111"/>
        <v>16</v>
      </c>
      <c r="AR982">
        <f t="shared" si="108"/>
        <v>245</v>
      </c>
      <c r="AS982" t="str">
        <f t="shared" si="109"/>
        <v>High Claim Ratio</v>
      </c>
      <c r="AT982" t="str">
        <f t="shared" si="110"/>
        <v>High Profit</v>
      </c>
    </row>
    <row r="983" spans="1:46" x14ac:dyDescent="0.2">
      <c r="A983">
        <v>50</v>
      </c>
      <c r="B983">
        <v>44</v>
      </c>
      <c r="C983">
        <v>525862</v>
      </c>
      <c r="D983" s="1">
        <v>36817</v>
      </c>
      <c r="E983" t="s">
        <v>39</v>
      </c>
      <c r="F983" t="s">
        <v>40</v>
      </c>
      <c r="G983">
        <v>2000</v>
      </c>
      <c r="H983">
        <v>1188.51</v>
      </c>
      <c r="I983">
        <v>0</v>
      </c>
      <c r="J983">
        <v>447469</v>
      </c>
      <c r="K983" t="s">
        <v>41</v>
      </c>
      <c r="L983" t="s">
        <v>141</v>
      </c>
      <c r="M983" t="s">
        <v>159</v>
      </c>
      <c r="N983" t="s">
        <v>98</v>
      </c>
      <c r="O983" t="s">
        <v>85</v>
      </c>
      <c r="P983">
        <v>0</v>
      </c>
      <c r="Q983">
        <v>-65800</v>
      </c>
      <c r="R983" s="1">
        <v>42012</v>
      </c>
      <c r="S983" t="s">
        <v>75</v>
      </c>
      <c r="T983" t="s">
        <v>86</v>
      </c>
      <c r="U983" t="s">
        <v>107</v>
      </c>
      <c r="V983" t="s">
        <v>49</v>
      </c>
      <c r="W983" t="s">
        <v>77</v>
      </c>
      <c r="X983" t="s">
        <v>127</v>
      </c>
      <c r="Y983" t="s">
        <v>1160</v>
      </c>
      <c r="Z983">
        <v>15</v>
      </c>
      <c r="AA983">
        <v>3</v>
      </c>
      <c r="AB983" t="s">
        <v>62</v>
      </c>
      <c r="AC983">
        <v>1</v>
      </c>
      <c r="AD983">
        <v>2</v>
      </c>
      <c r="AE983" t="s">
        <v>79</v>
      </c>
      <c r="AF983">
        <v>61100</v>
      </c>
      <c r="AG983">
        <v>6110</v>
      </c>
      <c r="AH983">
        <v>12220</v>
      </c>
      <c r="AI983">
        <v>42770</v>
      </c>
      <c r="AJ983" t="s">
        <v>80</v>
      </c>
      <c r="AK983" t="s">
        <v>144</v>
      </c>
      <c r="AL983">
        <v>2008</v>
      </c>
      <c r="AM983" t="s">
        <v>82</v>
      </c>
      <c r="AN983" s="2">
        <f t="shared" si="105"/>
        <v>51.365688392699518</v>
      </c>
      <c r="AO983">
        <f t="shared" si="106"/>
        <v>-59911.49</v>
      </c>
      <c r="AP983" s="2">
        <f t="shared" si="107"/>
        <v>1.9451563804193057E-2</v>
      </c>
      <c r="AQ983" s="2">
        <f t="shared" si="111"/>
        <v>7</v>
      </c>
      <c r="AR983">
        <f t="shared" si="108"/>
        <v>50</v>
      </c>
      <c r="AS983" t="str">
        <f t="shared" si="109"/>
        <v>High Claim Ratio</v>
      </c>
      <c r="AT983" t="str">
        <f t="shared" si="110"/>
        <v>High Profit</v>
      </c>
    </row>
    <row r="984" spans="1:46" x14ac:dyDescent="0.2">
      <c r="A984">
        <v>230</v>
      </c>
      <c r="B984">
        <v>43</v>
      </c>
      <c r="C984">
        <v>490514</v>
      </c>
      <c r="D984" s="1">
        <v>39122</v>
      </c>
      <c r="E984" t="s">
        <v>57</v>
      </c>
      <c r="F984" t="s">
        <v>91</v>
      </c>
      <c r="G984">
        <v>2000</v>
      </c>
      <c r="H984">
        <v>1101.83</v>
      </c>
      <c r="I984">
        <v>0</v>
      </c>
      <c r="J984">
        <v>451529</v>
      </c>
      <c r="K984" t="s">
        <v>41</v>
      </c>
      <c r="L984" t="s">
        <v>131</v>
      </c>
      <c r="M984" t="s">
        <v>125</v>
      </c>
      <c r="N984" t="s">
        <v>242</v>
      </c>
      <c r="O984" t="s">
        <v>60</v>
      </c>
      <c r="P984">
        <v>28900</v>
      </c>
      <c r="Q984">
        <v>0</v>
      </c>
      <c r="R984" s="1">
        <v>42005</v>
      </c>
      <c r="S984" t="s">
        <v>75</v>
      </c>
      <c r="T984" t="s">
        <v>86</v>
      </c>
      <c r="U984" t="s">
        <v>63</v>
      </c>
      <c r="V984" t="s">
        <v>49</v>
      </c>
      <c r="W984" t="s">
        <v>77</v>
      </c>
      <c r="X984" t="s">
        <v>87</v>
      </c>
      <c r="Y984" t="s">
        <v>1161</v>
      </c>
      <c r="Z984">
        <v>0</v>
      </c>
      <c r="AA984">
        <v>3</v>
      </c>
      <c r="AB984" t="s">
        <v>62</v>
      </c>
      <c r="AC984">
        <v>0</v>
      </c>
      <c r="AD984">
        <v>3</v>
      </c>
      <c r="AE984" t="s">
        <v>53</v>
      </c>
      <c r="AF984">
        <v>51900</v>
      </c>
      <c r="AG984">
        <v>5190</v>
      </c>
      <c r="AH984">
        <v>10380</v>
      </c>
      <c r="AI984">
        <v>36330</v>
      </c>
      <c r="AJ984" t="s">
        <v>187</v>
      </c>
      <c r="AK984" t="s">
        <v>201</v>
      </c>
      <c r="AL984">
        <v>2011</v>
      </c>
      <c r="AM984" t="s">
        <v>56</v>
      </c>
      <c r="AN984" s="2">
        <f t="shared" si="105"/>
        <v>47.060743722967281</v>
      </c>
      <c r="AO984">
        <f t="shared" si="106"/>
        <v>-50798.17</v>
      </c>
      <c r="AP984" s="2">
        <f t="shared" si="107"/>
        <v>2.1229456079844316E-2</v>
      </c>
      <c r="AQ984" s="2">
        <f t="shared" si="111"/>
        <v>4</v>
      </c>
      <c r="AR984">
        <f t="shared" si="108"/>
        <v>230</v>
      </c>
      <c r="AS984" t="str">
        <f t="shared" si="109"/>
        <v>High Claim Ratio</v>
      </c>
      <c r="AT984" t="str">
        <f t="shared" si="110"/>
        <v>High Profit</v>
      </c>
    </row>
    <row r="985" spans="1:46" x14ac:dyDescent="0.2">
      <c r="A985">
        <v>17</v>
      </c>
      <c r="B985">
        <v>39</v>
      </c>
      <c r="C985">
        <v>774895</v>
      </c>
      <c r="D985" s="1">
        <v>39018</v>
      </c>
      <c r="E985" t="s">
        <v>83</v>
      </c>
      <c r="F985" t="s">
        <v>40</v>
      </c>
      <c r="G985">
        <v>1000</v>
      </c>
      <c r="H985">
        <v>840.95</v>
      </c>
      <c r="I985">
        <v>0</v>
      </c>
      <c r="J985">
        <v>431202</v>
      </c>
      <c r="K985" t="s">
        <v>70</v>
      </c>
      <c r="L985" t="s">
        <v>161</v>
      </c>
      <c r="M985" t="s">
        <v>185</v>
      </c>
      <c r="N985" t="s">
        <v>149</v>
      </c>
      <c r="O985" t="s">
        <v>85</v>
      </c>
      <c r="P985">
        <v>32500</v>
      </c>
      <c r="Q985">
        <v>-80800</v>
      </c>
      <c r="R985" s="1">
        <v>42061</v>
      </c>
      <c r="S985" t="s">
        <v>138</v>
      </c>
      <c r="T985" t="s">
        <v>62</v>
      </c>
      <c r="U985" t="s">
        <v>212</v>
      </c>
      <c r="V985" t="s">
        <v>49</v>
      </c>
      <c r="W985" t="s">
        <v>50</v>
      </c>
      <c r="X985" t="s">
        <v>87</v>
      </c>
      <c r="Y985" t="s">
        <v>1162</v>
      </c>
      <c r="Z985">
        <v>9</v>
      </c>
      <c r="AA985">
        <v>1</v>
      </c>
      <c r="AB985" t="s">
        <v>62</v>
      </c>
      <c r="AC985">
        <v>2</v>
      </c>
      <c r="AD985">
        <v>1</v>
      </c>
      <c r="AE985" t="s">
        <v>62</v>
      </c>
      <c r="AF985">
        <v>3440</v>
      </c>
      <c r="AG985">
        <v>430</v>
      </c>
      <c r="AH985">
        <v>430</v>
      </c>
      <c r="AI985">
        <v>2580</v>
      </c>
      <c r="AJ985" t="s">
        <v>153</v>
      </c>
      <c r="AK985" t="s">
        <v>154</v>
      </c>
      <c r="AL985">
        <v>2002</v>
      </c>
      <c r="AM985" t="s">
        <v>82</v>
      </c>
      <c r="AN985" s="2">
        <f t="shared" si="105"/>
        <v>4.0857533107666724</v>
      </c>
      <c r="AO985">
        <f t="shared" si="106"/>
        <v>-2599.0500000000002</v>
      </c>
      <c r="AP985" s="2">
        <f t="shared" si="107"/>
        <v>0.24439116535890731</v>
      </c>
      <c r="AQ985" s="2">
        <f t="shared" si="111"/>
        <v>13</v>
      </c>
      <c r="AR985">
        <f t="shared" si="108"/>
        <v>17</v>
      </c>
      <c r="AS985" t="str">
        <f t="shared" si="109"/>
        <v>Low Claim Ratio</v>
      </c>
      <c r="AT985" t="str">
        <f t="shared" si="110"/>
        <v>Low Profit</v>
      </c>
    </row>
    <row r="986" spans="1:46" x14ac:dyDescent="0.2">
      <c r="A986">
        <v>163</v>
      </c>
      <c r="B986">
        <v>36</v>
      </c>
      <c r="C986">
        <v>974522</v>
      </c>
      <c r="D986" s="1">
        <v>36552</v>
      </c>
      <c r="E986" t="s">
        <v>57</v>
      </c>
      <c r="F986" t="s">
        <v>40</v>
      </c>
      <c r="G986">
        <v>1000</v>
      </c>
      <c r="H986">
        <v>1503.21</v>
      </c>
      <c r="I986">
        <v>0</v>
      </c>
      <c r="J986">
        <v>448190</v>
      </c>
      <c r="K986" t="s">
        <v>41</v>
      </c>
      <c r="L986" t="s">
        <v>42</v>
      </c>
      <c r="M986" t="s">
        <v>111</v>
      </c>
      <c r="N986" t="s">
        <v>242</v>
      </c>
      <c r="O986" t="s">
        <v>45</v>
      </c>
      <c r="P986">
        <v>55700</v>
      </c>
      <c r="Q986">
        <v>-49900</v>
      </c>
      <c r="R986" s="1">
        <v>42063</v>
      </c>
      <c r="S986" t="s">
        <v>46</v>
      </c>
      <c r="T986" t="s">
        <v>47</v>
      </c>
      <c r="U986" t="s">
        <v>107</v>
      </c>
      <c r="V986" t="s">
        <v>136</v>
      </c>
      <c r="W986" t="s">
        <v>113</v>
      </c>
      <c r="X986" t="s">
        <v>102</v>
      </c>
      <c r="Y986" t="s">
        <v>1163</v>
      </c>
      <c r="Z986">
        <v>1</v>
      </c>
      <c r="AA986">
        <v>1</v>
      </c>
      <c r="AB986" t="s">
        <v>53</v>
      </c>
      <c r="AC986">
        <v>2</v>
      </c>
      <c r="AD986">
        <v>1</v>
      </c>
      <c r="AE986" t="s">
        <v>79</v>
      </c>
      <c r="AF986">
        <v>51390</v>
      </c>
      <c r="AG986">
        <v>5710</v>
      </c>
      <c r="AH986">
        <v>11420</v>
      </c>
      <c r="AI986">
        <v>34260</v>
      </c>
      <c r="AJ986" t="s">
        <v>115</v>
      </c>
      <c r="AK986" t="s">
        <v>183</v>
      </c>
      <c r="AL986">
        <v>2013</v>
      </c>
      <c r="AM986" t="s">
        <v>82</v>
      </c>
      <c r="AN986" s="2">
        <f t="shared" si="105"/>
        <v>34.164112723622367</v>
      </c>
      <c r="AO986">
        <f t="shared" si="106"/>
        <v>-49886.79</v>
      </c>
      <c r="AP986" s="2">
        <f t="shared" si="107"/>
        <v>2.9250452413846783E-2</v>
      </c>
      <c r="AQ986" s="2">
        <f t="shared" si="111"/>
        <v>2</v>
      </c>
      <c r="AR986">
        <f t="shared" si="108"/>
        <v>163</v>
      </c>
      <c r="AS986" t="str">
        <f t="shared" si="109"/>
        <v>High Claim Ratio</v>
      </c>
      <c r="AT986" t="str">
        <f t="shared" si="110"/>
        <v>High Profit</v>
      </c>
    </row>
    <row r="987" spans="1:46" x14ac:dyDescent="0.2">
      <c r="A987">
        <v>29</v>
      </c>
      <c r="B987">
        <v>32</v>
      </c>
      <c r="C987">
        <v>669809</v>
      </c>
      <c r="D987" s="1">
        <v>37351</v>
      </c>
      <c r="E987" t="s">
        <v>39</v>
      </c>
      <c r="F987" t="s">
        <v>69</v>
      </c>
      <c r="G987">
        <v>1000</v>
      </c>
      <c r="H987">
        <v>1722.5</v>
      </c>
      <c r="I987">
        <v>0</v>
      </c>
      <c r="J987">
        <v>453713</v>
      </c>
      <c r="K987" t="s">
        <v>41</v>
      </c>
      <c r="L987" t="s">
        <v>131</v>
      </c>
      <c r="M987" t="s">
        <v>111</v>
      </c>
      <c r="N987" t="s">
        <v>106</v>
      </c>
      <c r="O987" t="s">
        <v>119</v>
      </c>
      <c r="P987">
        <v>0</v>
      </c>
      <c r="Q987">
        <v>-21500</v>
      </c>
      <c r="R987" s="1">
        <v>42017</v>
      </c>
      <c r="S987" t="s">
        <v>46</v>
      </c>
      <c r="T987" t="s">
        <v>47</v>
      </c>
      <c r="U987" t="s">
        <v>48</v>
      </c>
      <c r="V987" t="s">
        <v>120</v>
      </c>
      <c r="W987" t="s">
        <v>113</v>
      </c>
      <c r="X987" t="s">
        <v>51</v>
      </c>
      <c r="Y987" t="s">
        <v>1164</v>
      </c>
      <c r="Z987">
        <v>22</v>
      </c>
      <c r="AA987">
        <v>1</v>
      </c>
      <c r="AB987" t="s">
        <v>62</v>
      </c>
      <c r="AC987">
        <v>0</v>
      </c>
      <c r="AD987">
        <v>2</v>
      </c>
      <c r="AE987" t="s">
        <v>62</v>
      </c>
      <c r="AF987">
        <v>76900</v>
      </c>
      <c r="AG987">
        <v>7690</v>
      </c>
      <c r="AH987">
        <v>7690</v>
      </c>
      <c r="AI987">
        <v>61520</v>
      </c>
      <c r="AJ987" t="s">
        <v>197</v>
      </c>
      <c r="AK987" t="s">
        <v>198</v>
      </c>
      <c r="AL987">
        <v>1995</v>
      </c>
      <c r="AM987" t="s">
        <v>82</v>
      </c>
      <c r="AN987" s="2">
        <f t="shared" si="105"/>
        <v>44.618508848273862</v>
      </c>
      <c r="AO987">
        <f t="shared" si="106"/>
        <v>-75177.5</v>
      </c>
      <c r="AP987" s="2">
        <f t="shared" si="107"/>
        <v>2.2398928492477342E-2</v>
      </c>
      <c r="AQ987" s="2">
        <f t="shared" si="111"/>
        <v>20</v>
      </c>
      <c r="AR987">
        <f t="shared" si="108"/>
        <v>29</v>
      </c>
      <c r="AS987" t="str">
        <f t="shared" si="109"/>
        <v>High Claim Ratio</v>
      </c>
      <c r="AT987" t="str">
        <f t="shared" si="110"/>
        <v>High Profit</v>
      </c>
    </row>
    <row r="988" spans="1:46" x14ac:dyDescent="0.2">
      <c r="A988">
        <v>232</v>
      </c>
      <c r="B988">
        <v>42</v>
      </c>
      <c r="C988">
        <v>182953</v>
      </c>
      <c r="D988" s="1">
        <v>41394</v>
      </c>
      <c r="E988" t="s">
        <v>57</v>
      </c>
      <c r="F988" t="s">
        <v>69</v>
      </c>
      <c r="G988">
        <v>500</v>
      </c>
      <c r="H988">
        <v>944.03</v>
      </c>
      <c r="I988">
        <v>0</v>
      </c>
      <c r="J988">
        <v>440153</v>
      </c>
      <c r="K988" t="s">
        <v>41</v>
      </c>
      <c r="L988" t="s">
        <v>141</v>
      </c>
      <c r="M988" t="s">
        <v>159</v>
      </c>
      <c r="N988" t="s">
        <v>170</v>
      </c>
      <c r="O988" t="s">
        <v>142</v>
      </c>
      <c r="P988">
        <v>0</v>
      </c>
      <c r="Q988">
        <v>-58400</v>
      </c>
      <c r="R988" s="1">
        <v>42054</v>
      </c>
      <c r="S988" t="s">
        <v>46</v>
      </c>
      <c r="T988" t="s">
        <v>76</v>
      </c>
      <c r="U988" t="s">
        <v>63</v>
      </c>
      <c r="V988" t="s">
        <v>120</v>
      </c>
      <c r="W988" t="s">
        <v>113</v>
      </c>
      <c r="X988" t="s">
        <v>65</v>
      </c>
      <c r="Y988" t="s">
        <v>1165</v>
      </c>
      <c r="Z988">
        <v>11</v>
      </c>
      <c r="AA988">
        <v>1</v>
      </c>
      <c r="AB988" t="s">
        <v>53</v>
      </c>
      <c r="AC988">
        <v>2</v>
      </c>
      <c r="AD988">
        <v>3</v>
      </c>
      <c r="AE988" t="s">
        <v>62</v>
      </c>
      <c r="AF988">
        <v>77000</v>
      </c>
      <c r="AG988">
        <v>15400</v>
      </c>
      <c r="AH988">
        <v>7700</v>
      </c>
      <c r="AI988">
        <v>53900</v>
      </c>
      <c r="AJ988" t="s">
        <v>115</v>
      </c>
      <c r="AK988" t="s">
        <v>140</v>
      </c>
      <c r="AL988">
        <v>2015</v>
      </c>
      <c r="AM988" t="s">
        <v>56</v>
      </c>
      <c r="AN988" s="2">
        <f t="shared" si="105"/>
        <v>81.47889484989895</v>
      </c>
      <c r="AO988">
        <f t="shared" si="106"/>
        <v>-76055.97</v>
      </c>
      <c r="AP988" s="2">
        <f t="shared" si="107"/>
        <v>1.2259970649731821E-2</v>
      </c>
      <c r="AQ988" s="2">
        <f t="shared" si="111"/>
        <v>0</v>
      </c>
      <c r="AR988">
        <f t="shared" si="108"/>
        <v>232</v>
      </c>
      <c r="AS988" t="str">
        <f t="shared" si="109"/>
        <v>High Claim Ratio</v>
      </c>
      <c r="AT988" t="str">
        <f t="shared" si="110"/>
        <v>High Profit</v>
      </c>
    </row>
    <row r="989" spans="1:46" x14ac:dyDescent="0.2">
      <c r="A989">
        <v>235</v>
      </c>
      <c r="B989">
        <v>39</v>
      </c>
      <c r="C989">
        <v>836349</v>
      </c>
      <c r="D989" s="1">
        <v>41395</v>
      </c>
      <c r="E989" t="s">
        <v>83</v>
      </c>
      <c r="F989" t="s">
        <v>91</v>
      </c>
      <c r="G989">
        <v>2000</v>
      </c>
      <c r="H989">
        <v>1453.61</v>
      </c>
      <c r="I989">
        <v>4000000</v>
      </c>
      <c r="J989">
        <v>619570</v>
      </c>
      <c r="K989" t="s">
        <v>41</v>
      </c>
      <c r="L989" t="s">
        <v>161</v>
      </c>
      <c r="M989" t="s">
        <v>43</v>
      </c>
      <c r="N989" t="s">
        <v>155</v>
      </c>
      <c r="O989" t="s">
        <v>60</v>
      </c>
      <c r="P989">
        <v>0</v>
      </c>
      <c r="Q989">
        <v>0</v>
      </c>
      <c r="R989" s="1">
        <v>42017</v>
      </c>
      <c r="S989" t="s">
        <v>46</v>
      </c>
      <c r="T989" t="s">
        <v>47</v>
      </c>
      <c r="U989" t="s">
        <v>48</v>
      </c>
      <c r="V989" t="s">
        <v>120</v>
      </c>
      <c r="W989" t="s">
        <v>121</v>
      </c>
      <c r="X989" t="s">
        <v>122</v>
      </c>
      <c r="Y989" t="s">
        <v>1166</v>
      </c>
      <c r="Z989">
        <v>10</v>
      </c>
      <c r="AA989">
        <v>1</v>
      </c>
      <c r="AB989" t="s">
        <v>62</v>
      </c>
      <c r="AC989">
        <v>0</v>
      </c>
      <c r="AD989">
        <v>3</v>
      </c>
      <c r="AE989" t="s">
        <v>62</v>
      </c>
      <c r="AF989">
        <v>60320</v>
      </c>
      <c r="AG989">
        <v>9280</v>
      </c>
      <c r="AH989">
        <v>9280</v>
      </c>
      <c r="AI989">
        <v>41760</v>
      </c>
      <c r="AJ989" t="s">
        <v>89</v>
      </c>
      <c r="AK989" t="s">
        <v>90</v>
      </c>
      <c r="AL989">
        <v>2012</v>
      </c>
      <c r="AM989" t="s">
        <v>56</v>
      </c>
      <c r="AN989" s="2">
        <f t="shared" si="105"/>
        <v>41.468159850406643</v>
      </c>
      <c r="AO989">
        <f t="shared" si="106"/>
        <v>-58866.39</v>
      </c>
      <c r="AP989" s="2">
        <f t="shared" si="107"/>
        <v>2.409790951741516E-2</v>
      </c>
      <c r="AQ989" s="2">
        <f t="shared" si="111"/>
        <v>3</v>
      </c>
      <c r="AR989">
        <f t="shared" si="108"/>
        <v>235</v>
      </c>
      <c r="AS989" t="str">
        <f t="shared" si="109"/>
        <v>High Claim Ratio</v>
      </c>
      <c r="AT989" t="str">
        <f t="shared" si="110"/>
        <v>High Profit</v>
      </c>
    </row>
    <row r="990" spans="1:46" x14ac:dyDescent="0.2">
      <c r="A990">
        <v>295</v>
      </c>
      <c r="B990">
        <v>46</v>
      </c>
      <c r="C990">
        <v>591269</v>
      </c>
      <c r="D990" s="1">
        <v>36169</v>
      </c>
      <c r="E990" t="s">
        <v>57</v>
      </c>
      <c r="F990" t="s">
        <v>69</v>
      </c>
      <c r="G990">
        <v>500</v>
      </c>
      <c r="H990">
        <v>1672.88</v>
      </c>
      <c r="I990">
        <v>0</v>
      </c>
      <c r="J990">
        <v>478947</v>
      </c>
      <c r="K990" t="s">
        <v>70</v>
      </c>
      <c r="L990" t="s">
        <v>131</v>
      </c>
      <c r="M990" t="s">
        <v>84</v>
      </c>
      <c r="N990" t="s">
        <v>126</v>
      </c>
      <c r="O990" t="s">
        <v>119</v>
      </c>
      <c r="P990">
        <v>0</v>
      </c>
      <c r="Q990">
        <v>0</v>
      </c>
      <c r="R990" s="1">
        <v>42052</v>
      </c>
      <c r="S990" t="s">
        <v>46</v>
      </c>
      <c r="T990" t="s">
        <v>76</v>
      </c>
      <c r="U990" t="s">
        <v>63</v>
      </c>
      <c r="V990" t="s">
        <v>99</v>
      </c>
      <c r="W990" t="s">
        <v>77</v>
      </c>
      <c r="X990" t="s">
        <v>51</v>
      </c>
      <c r="Y990" t="s">
        <v>1167</v>
      </c>
      <c r="Z990">
        <v>5</v>
      </c>
      <c r="AA990">
        <v>1</v>
      </c>
      <c r="AB990" t="s">
        <v>53</v>
      </c>
      <c r="AC990">
        <v>1</v>
      </c>
      <c r="AD990">
        <v>1</v>
      </c>
      <c r="AE990" t="s">
        <v>79</v>
      </c>
      <c r="AF990">
        <v>60700</v>
      </c>
      <c r="AG990">
        <v>12140</v>
      </c>
      <c r="AH990">
        <v>6070</v>
      </c>
      <c r="AI990">
        <v>42490</v>
      </c>
      <c r="AJ990" t="s">
        <v>209</v>
      </c>
      <c r="AK990" t="s">
        <v>210</v>
      </c>
      <c r="AL990">
        <v>1997</v>
      </c>
      <c r="AM990" t="s">
        <v>82</v>
      </c>
      <c r="AN990" s="2">
        <f t="shared" si="105"/>
        <v>36.263053504432811</v>
      </c>
      <c r="AO990">
        <f t="shared" si="106"/>
        <v>-59027.12</v>
      </c>
      <c r="AP990" s="2">
        <f t="shared" si="107"/>
        <v>2.7559348280917943E-2</v>
      </c>
      <c r="AQ990" s="2">
        <f t="shared" si="111"/>
        <v>18</v>
      </c>
      <c r="AR990">
        <f t="shared" si="108"/>
        <v>295</v>
      </c>
      <c r="AS990" t="str">
        <f t="shared" si="109"/>
        <v>High Claim Ratio</v>
      </c>
      <c r="AT990" t="str">
        <f t="shared" si="110"/>
        <v>High Profit</v>
      </c>
    </row>
    <row r="991" spans="1:46" x14ac:dyDescent="0.2">
      <c r="A991">
        <v>22</v>
      </c>
      <c r="B991">
        <v>21</v>
      </c>
      <c r="C991">
        <v>550127</v>
      </c>
      <c r="D991" s="1">
        <v>39267</v>
      </c>
      <c r="E991" t="s">
        <v>57</v>
      </c>
      <c r="F991" t="s">
        <v>40</v>
      </c>
      <c r="G991">
        <v>1000</v>
      </c>
      <c r="H991">
        <v>1248.05</v>
      </c>
      <c r="I991">
        <v>0</v>
      </c>
      <c r="J991">
        <v>443550</v>
      </c>
      <c r="K991" t="s">
        <v>70</v>
      </c>
      <c r="L991" t="s">
        <v>131</v>
      </c>
      <c r="M991" t="s">
        <v>125</v>
      </c>
      <c r="N991" t="s">
        <v>146</v>
      </c>
      <c r="O991" t="s">
        <v>45</v>
      </c>
      <c r="P991">
        <v>37500</v>
      </c>
      <c r="Q991">
        <v>-54000</v>
      </c>
      <c r="R991" s="1">
        <v>42050</v>
      </c>
      <c r="S991" t="s">
        <v>75</v>
      </c>
      <c r="T991" t="s">
        <v>76</v>
      </c>
      <c r="U991" t="s">
        <v>107</v>
      </c>
      <c r="V991" t="s">
        <v>49</v>
      </c>
      <c r="W991" t="s">
        <v>50</v>
      </c>
      <c r="X991" t="s">
        <v>87</v>
      </c>
      <c r="Y991" t="s">
        <v>1168</v>
      </c>
      <c r="Z991">
        <v>3</v>
      </c>
      <c r="AA991">
        <v>3</v>
      </c>
      <c r="AB991" t="s">
        <v>53</v>
      </c>
      <c r="AC991">
        <v>1</v>
      </c>
      <c r="AD991">
        <v>2</v>
      </c>
      <c r="AE991" t="s">
        <v>62</v>
      </c>
      <c r="AF991">
        <v>53280</v>
      </c>
      <c r="AG991">
        <v>5920</v>
      </c>
      <c r="AH991">
        <v>0</v>
      </c>
      <c r="AI991">
        <v>47360</v>
      </c>
      <c r="AJ991" t="s">
        <v>89</v>
      </c>
      <c r="AK991" t="s">
        <v>245</v>
      </c>
      <c r="AL991">
        <v>2015</v>
      </c>
      <c r="AM991" t="s">
        <v>82</v>
      </c>
      <c r="AN991" s="2">
        <f t="shared" si="105"/>
        <v>42.656418878347544</v>
      </c>
      <c r="AO991">
        <f t="shared" si="106"/>
        <v>-52031.95</v>
      </c>
      <c r="AP991" s="2">
        <f t="shared" si="107"/>
        <v>2.3423922223681986E-2</v>
      </c>
      <c r="AQ991" s="2">
        <f t="shared" si="111"/>
        <v>0</v>
      </c>
      <c r="AR991">
        <f t="shared" si="108"/>
        <v>22</v>
      </c>
      <c r="AS991" t="str">
        <f t="shared" si="109"/>
        <v>High Claim Ratio</v>
      </c>
      <c r="AT991" t="str">
        <f t="shared" si="110"/>
        <v>High Profit</v>
      </c>
    </row>
    <row r="992" spans="1:46" x14ac:dyDescent="0.2">
      <c r="A992">
        <v>286</v>
      </c>
      <c r="B992">
        <v>43</v>
      </c>
      <c r="C992">
        <v>663190</v>
      </c>
      <c r="D992" s="1">
        <v>34370</v>
      </c>
      <c r="E992" t="s">
        <v>83</v>
      </c>
      <c r="F992" t="s">
        <v>69</v>
      </c>
      <c r="G992">
        <v>500</v>
      </c>
      <c r="H992">
        <v>1564.43</v>
      </c>
      <c r="I992">
        <v>3000000</v>
      </c>
      <c r="J992">
        <v>477644</v>
      </c>
      <c r="K992" t="s">
        <v>70</v>
      </c>
      <c r="L992" t="s">
        <v>42</v>
      </c>
      <c r="M992" t="s">
        <v>101</v>
      </c>
      <c r="N992" t="s">
        <v>146</v>
      </c>
      <c r="O992" t="s">
        <v>85</v>
      </c>
      <c r="P992">
        <v>77500</v>
      </c>
      <c r="Q992">
        <v>-32800</v>
      </c>
      <c r="R992" s="1">
        <v>42035</v>
      </c>
      <c r="S992" t="s">
        <v>46</v>
      </c>
      <c r="T992" t="s">
        <v>76</v>
      </c>
      <c r="U992" t="s">
        <v>63</v>
      </c>
      <c r="V992" t="s">
        <v>99</v>
      </c>
      <c r="W992" t="s">
        <v>77</v>
      </c>
      <c r="X992" t="s">
        <v>156</v>
      </c>
      <c r="Y992" t="s">
        <v>1169</v>
      </c>
      <c r="Z992">
        <v>18</v>
      </c>
      <c r="AA992">
        <v>1</v>
      </c>
      <c r="AB992" t="s">
        <v>62</v>
      </c>
      <c r="AC992">
        <v>2</v>
      </c>
      <c r="AD992">
        <v>2</v>
      </c>
      <c r="AE992" t="s">
        <v>53</v>
      </c>
      <c r="AF992">
        <v>34290</v>
      </c>
      <c r="AG992">
        <v>3810</v>
      </c>
      <c r="AH992">
        <v>3810</v>
      </c>
      <c r="AI992">
        <v>26670</v>
      </c>
      <c r="AJ992" t="s">
        <v>197</v>
      </c>
      <c r="AK992" t="s">
        <v>375</v>
      </c>
      <c r="AL992">
        <v>2013</v>
      </c>
      <c r="AM992" t="s">
        <v>82</v>
      </c>
      <c r="AN992" s="2">
        <f t="shared" si="105"/>
        <v>21.904524635403689</v>
      </c>
      <c r="AO992">
        <f t="shared" si="106"/>
        <v>-32725.57</v>
      </c>
      <c r="AP992" s="2">
        <f t="shared" si="107"/>
        <v>4.562217491470065E-2</v>
      </c>
      <c r="AQ992" s="2">
        <f t="shared" si="111"/>
        <v>2</v>
      </c>
      <c r="AR992">
        <f t="shared" si="108"/>
        <v>286</v>
      </c>
      <c r="AS992" t="str">
        <f t="shared" si="109"/>
        <v>High Claim Ratio</v>
      </c>
      <c r="AT992" t="str">
        <f t="shared" si="110"/>
        <v>High Profit</v>
      </c>
    </row>
    <row r="993" spans="1:46" x14ac:dyDescent="0.2">
      <c r="A993">
        <v>257</v>
      </c>
      <c r="B993">
        <v>44</v>
      </c>
      <c r="C993">
        <v>109392</v>
      </c>
      <c r="D993" s="1">
        <v>38910</v>
      </c>
      <c r="E993" t="s">
        <v>39</v>
      </c>
      <c r="F993" t="s">
        <v>69</v>
      </c>
      <c r="G993">
        <v>1000</v>
      </c>
      <c r="H993">
        <v>1280.8800000000001</v>
      </c>
      <c r="I993">
        <v>0</v>
      </c>
      <c r="J993">
        <v>433981</v>
      </c>
      <c r="K993" t="s">
        <v>41</v>
      </c>
      <c r="L993" t="s">
        <v>42</v>
      </c>
      <c r="M993" t="s">
        <v>111</v>
      </c>
      <c r="N993" t="s">
        <v>179</v>
      </c>
      <c r="O993" t="s">
        <v>60</v>
      </c>
      <c r="P993">
        <v>59400</v>
      </c>
      <c r="Q993">
        <v>-32200</v>
      </c>
      <c r="R993" s="1">
        <v>42041</v>
      </c>
      <c r="S993" t="s">
        <v>46</v>
      </c>
      <c r="T993" t="s">
        <v>76</v>
      </c>
      <c r="U993" t="s">
        <v>107</v>
      </c>
      <c r="V993" t="s">
        <v>120</v>
      </c>
      <c r="W993" t="s">
        <v>113</v>
      </c>
      <c r="X993" t="s">
        <v>65</v>
      </c>
      <c r="Y993" t="s">
        <v>1170</v>
      </c>
      <c r="Z993">
        <v>21</v>
      </c>
      <c r="AA993">
        <v>1</v>
      </c>
      <c r="AB993" t="s">
        <v>79</v>
      </c>
      <c r="AC993">
        <v>0</v>
      </c>
      <c r="AD993">
        <v>1</v>
      </c>
      <c r="AE993" t="s">
        <v>79</v>
      </c>
      <c r="AF993">
        <v>46980</v>
      </c>
      <c r="AG993">
        <v>0</v>
      </c>
      <c r="AH993">
        <v>5220</v>
      </c>
      <c r="AI993">
        <v>41760</v>
      </c>
      <c r="AJ993" t="s">
        <v>95</v>
      </c>
      <c r="AK993" t="s">
        <v>158</v>
      </c>
      <c r="AL993">
        <v>2002</v>
      </c>
      <c r="AM993" t="s">
        <v>82</v>
      </c>
      <c r="AN993" s="2">
        <f t="shared" si="105"/>
        <v>36.649296345991822</v>
      </c>
      <c r="AO993">
        <f t="shared" si="106"/>
        <v>-45699.12</v>
      </c>
      <c r="AP993" s="2">
        <f t="shared" si="107"/>
        <v>2.7263787488559208E-2</v>
      </c>
      <c r="AQ993" s="2">
        <f t="shared" si="111"/>
        <v>13</v>
      </c>
      <c r="AR993">
        <f t="shared" si="108"/>
        <v>257</v>
      </c>
      <c r="AS993" t="str">
        <f t="shared" si="109"/>
        <v>High Claim Ratio</v>
      </c>
      <c r="AT993" t="str">
        <f t="shared" si="110"/>
        <v>High Profit</v>
      </c>
    </row>
    <row r="994" spans="1:46" x14ac:dyDescent="0.2">
      <c r="A994">
        <v>94</v>
      </c>
      <c r="B994">
        <v>26</v>
      </c>
      <c r="C994">
        <v>215278</v>
      </c>
      <c r="D994" s="1">
        <v>39379</v>
      </c>
      <c r="E994" t="s">
        <v>57</v>
      </c>
      <c r="F994" t="s">
        <v>69</v>
      </c>
      <c r="G994">
        <v>500</v>
      </c>
      <c r="H994">
        <v>722.66</v>
      </c>
      <c r="I994">
        <v>0</v>
      </c>
      <c r="J994">
        <v>433696</v>
      </c>
      <c r="K994" t="s">
        <v>41</v>
      </c>
      <c r="L994" t="s">
        <v>42</v>
      </c>
      <c r="M994" t="s">
        <v>125</v>
      </c>
      <c r="N994" t="s">
        <v>118</v>
      </c>
      <c r="O994" t="s">
        <v>45</v>
      </c>
      <c r="P994">
        <v>50300</v>
      </c>
      <c r="Q994">
        <v>0</v>
      </c>
      <c r="R994" s="1">
        <v>42027</v>
      </c>
      <c r="S994" t="s">
        <v>75</v>
      </c>
      <c r="T994" t="s">
        <v>86</v>
      </c>
      <c r="U994" t="s">
        <v>48</v>
      </c>
      <c r="V994" t="s">
        <v>99</v>
      </c>
      <c r="W994" t="s">
        <v>39</v>
      </c>
      <c r="X994" t="s">
        <v>102</v>
      </c>
      <c r="Y994" t="s">
        <v>1171</v>
      </c>
      <c r="Z994">
        <v>6</v>
      </c>
      <c r="AA994">
        <v>3</v>
      </c>
      <c r="AB994" t="s">
        <v>53</v>
      </c>
      <c r="AC994">
        <v>1</v>
      </c>
      <c r="AD994">
        <v>2</v>
      </c>
      <c r="AE994" t="s">
        <v>53</v>
      </c>
      <c r="AF994">
        <v>36700</v>
      </c>
      <c r="AG994">
        <v>3670</v>
      </c>
      <c r="AH994">
        <v>7340</v>
      </c>
      <c r="AI994">
        <v>25690</v>
      </c>
      <c r="AJ994" t="s">
        <v>104</v>
      </c>
      <c r="AK994" t="s">
        <v>105</v>
      </c>
      <c r="AL994">
        <v>2010</v>
      </c>
      <c r="AM994" t="s">
        <v>82</v>
      </c>
      <c r="AN994" s="2">
        <f t="shared" si="105"/>
        <v>50.714423900726864</v>
      </c>
      <c r="AO994">
        <f t="shared" si="106"/>
        <v>-35977.339999999997</v>
      </c>
      <c r="AP994" s="2">
        <f t="shared" si="107"/>
        <v>1.9690471649273861E-2</v>
      </c>
      <c r="AQ994" s="2">
        <f t="shared" si="111"/>
        <v>5</v>
      </c>
      <c r="AR994">
        <f t="shared" si="108"/>
        <v>94</v>
      </c>
      <c r="AS994" t="str">
        <f t="shared" si="109"/>
        <v>High Claim Ratio</v>
      </c>
      <c r="AT994" t="str">
        <f t="shared" si="110"/>
        <v>High Profit</v>
      </c>
    </row>
    <row r="995" spans="1:46" x14ac:dyDescent="0.2">
      <c r="A995">
        <v>124</v>
      </c>
      <c r="B995">
        <v>28</v>
      </c>
      <c r="C995">
        <v>674570</v>
      </c>
      <c r="D995" s="1">
        <v>37233</v>
      </c>
      <c r="E995" t="s">
        <v>39</v>
      </c>
      <c r="F995" t="s">
        <v>40</v>
      </c>
      <c r="G995">
        <v>1000</v>
      </c>
      <c r="H995">
        <v>1235.1400000000001</v>
      </c>
      <c r="I995">
        <v>0</v>
      </c>
      <c r="J995">
        <v>443567</v>
      </c>
      <c r="K995" t="s">
        <v>41</v>
      </c>
      <c r="L995" t="s">
        <v>42</v>
      </c>
      <c r="M995" t="s">
        <v>125</v>
      </c>
      <c r="N995" t="s">
        <v>118</v>
      </c>
      <c r="O995" t="s">
        <v>45</v>
      </c>
      <c r="P995">
        <v>0</v>
      </c>
      <c r="Q995">
        <v>-32100</v>
      </c>
      <c r="R995" s="1">
        <v>42052</v>
      </c>
      <c r="S995" t="s">
        <v>75</v>
      </c>
      <c r="T995" t="s">
        <v>47</v>
      </c>
      <c r="U995" t="s">
        <v>107</v>
      </c>
      <c r="V995" t="s">
        <v>120</v>
      </c>
      <c r="W995" t="s">
        <v>39</v>
      </c>
      <c r="X995" t="s">
        <v>122</v>
      </c>
      <c r="Y995" t="s">
        <v>1172</v>
      </c>
      <c r="Z995">
        <v>20</v>
      </c>
      <c r="AA995">
        <v>3</v>
      </c>
      <c r="AB995" t="s">
        <v>62</v>
      </c>
      <c r="AC995">
        <v>0</v>
      </c>
      <c r="AD995">
        <v>1</v>
      </c>
      <c r="AE995" t="s">
        <v>62</v>
      </c>
      <c r="AF995">
        <v>60200</v>
      </c>
      <c r="AG995">
        <v>6020</v>
      </c>
      <c r="AH995">
        <v>6020</v>
      </c>
      <c r="AI995">
        <v>48160</v>
      </c>
      <c r="AJ995" t="s">
        <v>214</v>
      </c>
      <c r="AK995" t="s">
        <v>215</v>
      </c>
      <c r="AL995">
        <v>2012</v>
      </c>
      <c r="AM995" t="s">
        <v>82</v>
      </c>
      <c r="AN995" s="2">
        <f t="shared" si="105"/>
        <v>48.699985438542555</v>
      </c>
      <c r="AO995">
        <f t="shared" si="106"/>
        <v>-58964.86</v>
      </c>
      <c r="AP995" s="2">
        <f t="shared" si="107"/>
        <v>2.051693493463564E-2</v>
      </c>
      <c r="AQ995" s="2">
        <f t="shared" si="111"/>
        <v>3</v>
      </c>
      <c r="AR995">
        <f t="shared" si="108"/>
        <v>124</v>
      </c>
      <c r="AS995" t="str">
        <f t="shared" si="109"/>
        <v>High Claim Ratio</v>
      </c>
      <c r="AT995" t="str">
        <f t="shared" si="110"/>
        <v>High Profit</v>
      </c>
    </row>
    <row r="996" spans="1:46" x14ac:dyDescent="0.2">
      <c r="A996">
        <v>141</v>
      </c>
      <c r="B996">
        <v>30</v>
      </c>
      <c r="C996">
        <v>681486</v>
      </c>
      <c r="D996" s="1">
        <v>39165</v>
      </c>
      <c r="E996" t="s">
        <v>57</v>
      </c>
      <c r="F996" t="s">
        <v>91</v>
      </c>
      <c r="G996">
        <v>1000</v>
      </c>
      <c r="H996">
        <v>1347.04</v>
      </c>
      <c r="I996">
        <v>0</v>
      </c>
      <c r="J996">
        <v>430665</v>
      </c>
      <c r="K996" t="s">
        <v>41</v>
      </c>
      <c r="L996" t="s">
        <v>131</v>
      </c>
      <c r="M996" t="s">
        <v>72</v>
      </c>
      <c r="N996" t="s">
        <v>98</v>
      </c>
      <c r="O996" t="s">
        <v>74</v>
      </c>
      <c r="P996">
        <v>0</v>
      </c>
      <c r="Q996">
        <v>-82100</v>
      </c>
      <c r="R996" s="1">
        <v>42026</v>
      </c>
      <c r="S996" t="s">
        <v>138</v>
      </c>
      <c r="T996" t="s">
        <v>62</v>
      </c>
      <c r="U996" t="s">
        <v>63</v>
      </c>
      <c r="V996" t="s">
        <v>93</v>
      </c>
      <c r="W996" t="s">
        <v>50</v>
      </c>
      <c r="X996" t="s">
        <v>127</v>
      </c>
      <c r="Y996" t="s">
        <v>1173</v>
      </c>
      <c r="Z996">
        <v>6</v>
      </c>
      <c r="AA996">
        <v>1</v>
      </c>
      <c r="AB996" t="s">
        <v>62</v>
      </c>
      <c r="AC996">
        <v>1</v>
      </c>
      <c r="AD996">
        <v>2</v>
      </c>
      <c r="AE996" t="s">
        <v>53</v>
      </c>
      <c r="AF996">
        <v>6480</v>
      </c>
      <c r="AG996">
        <v>540</v>
      </c>
      <c r="AH996">
        <v>1080</v>
      </c>
      <c r="AI996">
        <v>4860</v>
      </c>
      <c r="AJ996" t="s">
        <v>209</v>
      </c>
      <c r="AK996" t="s">
        <v>210</v>
      </c>
      <c r="AL996">
        <v>1996</v>
      </c>
      <c r="AM996" t="s">
        <v>82</v>
      </c>
      <c r="AN996" s="2">
        <f t="shared" si="105"/>
        <v>4.8069790213940244</v>
      </c>
      <c r="AO996">
        <f t="shared" si="106"/>
        <v>-5132.96</v>
      </c>
      <c r="AP996" s="2">
        <f t="shared" si="107"/>
        <v>0.20784446844622742</v>
      </c>
      <c r="AQ996" s="2">
        <f t="shared" si="111"/>
        <v>19</v>
      </c>
      <c r="AR996">
        <f t="shared" si="108"/>
        <v>141</v>
      </c>
      <c r="AS996" t="str">
        <f t="shared" si="109"/>
        <v>Low Claim Ratio</v>
      </c>
      <c r="AT996" t="str">
        <f t="shared" si="110"/>
        <v>High Profit</v>
      </c>
    </row>
    <row r="997" spans="1:46" x14ac:dyDescent="0.2">
      <c r="A997">
        <v>3</v>
      </c>
      <c r="B997">
        <v>38</v>
      </c>
      <c r="C997">
        <v>941851</v>
      </c>
      <c r="D997" s="1">
        <v>33435</v>
      </c>
      <c r="E997" t="s">
        <v>39</v>
      </c>
      <c r="F997" t="s">
        <v>91</v>
      </c>
      <c r="G997">
        <v>1000</v>
      </c>
      <c r="H997">
        <v>1310.8</v>
      </c>
      <c r="I997">
        <v>0</v>
      </c>
      <c r="J997">
        <v>431289</v>
      </c>
      <c r="K997" t="s">
        <v>70</v>
      </c>
      <c r="L997" t="s">
        <v>124</v>
      </c>
      <c r="M997" t="s">
        <v>43</v>
      </c>
      <c r="N997" t="s">
        <v>165</v>
      </c>
      <c r="O997" t="s">
        <v>85</v>
      </c>
      <c r="P997">
        <v>0</v>
      </c>
      <c r="Q997">
        <v>0</v>
      </c>
      <c r="R997" s="1">
        <v>42057</v>
      </c>
      <c r="S997" t="s">
        <v>46</v>
      </c>
      <c r="T997" t="s">
        <v>86</v>
      </c>
      <c r="U997" t="s">
        <v>63</v>
      </c>
      <c r="V997" t="s">
        <v>99</v>
      </c>
      <c r="W997" t="s">
        <v>121</v>
      </c>
      <c r="X997" t="s">
        <v>156</v>
      </c>
      <c r="Y997" t="s">
        <v>1174</v>
      </c>
      <c r="Z997">
        <v>20</v>
      </c>
      <c r="AA997">
        <v>1</v>
      </c>
      <c r="AB997" t="s">
        <v>53</v>
      </c>
      <c r="AC997">
        <v>0</v>
      </c>
      <c r="AD997">
        <v>1</v>
      </c>
      <c r="AE997" t="s">
        <v>62</v>
      </c>
      <c r="AF997">
        <v>87200</v>
      </c>
      <c r="AG997">
        <v>17440</v>
      </c>
      <c r="AH997">
        <v>8720</v>
      </c>
      <c r="AI997">
        <v>61040</v>
      </c>
      <c r="AJ997" t="s">
        <v>209</v>
      </c>
      <c r="AK997" t="s">
        <v>231</v>
      </c>
      <c r="AL997">
        <v>2006</v>
      </c>
      <c r="AM997" t="s">
        <v>82</v>
      </c>
      <c r="AN997" s="2">
        <f t="shared" si="105"/>
        <v>66.473547796920258</v>
      </c>
      <c r="AO997">
        <f t="shared" si="106"/>
        <v>-85889.2</v>
      </c>
      <c r="AP997" s="2">
        <f t="shared" si="107"/>
        <v>1.5031937707136386E-2</v>
      </c>
      <c r="AQ997" s="2">
        <f t="shared" si="111"/>
        <v>9</v>
      </c>
      <c r="AR997">
        <f t="shared" si="108"/>
        <v>3</v>
      </c>
      <c r="AS997" t="str">
        <f t="shared" si="109"/>
        <v>High Claim Ratio</v>
      </c>
      <c r="AT997" t="str">
        <f t="shared" si="110"/>
        <v>High Profit</v>
      </c>
    </row>
    <row r="998" spans="1:46" x14ac:dyDescent="0.2">
      <c r="A998">
        <v>285</v>
      </c>
      <c r="B998">
        <v>41</v>
      </c>
      <c r="C998">
        <v>186934</v>
      </c>
      <c r="D998" s="1">
        <v>41644</v>
      </c>
      <c r="E998" t="s">
        <v>83</v>
      </c>
      <c r="F998" t="s">
        <v>69</v>
      </c>
      <c r="G998">
        <v>1000</v>
      </c>
      <c r="H998">
        <v>1436.79</v>
      </c>
      <c r="I998">
        <v>0</v>
      </c>
      <c r="J998">
        <v>608177</v>
      </c>
      <c r="K998" t="s">
        <v>70</v>
      </c>
      <c r="L998" t="s">
        <v>71</v>
      </c>
      <c r="M998" t="s">
        <v>101</v>
      </c>
      <c r="N998" t="s">
        <v>44</v>
      </c>
      <c r="O998" t="s">
        <v>119</v>
      </c>
      <c r="P998">
        <v>70900</v>
      </c>
      <c r="Q998">
        <v>0</v>
      </c>
      <c r="R998" s="1">
        <v>42028</v>
      </c>
      <c r="S998" t="s">
        <v>46</v>
      </c>
      <c r="T998" t="s">
        <v>76</v>
      </c>
      <c r="U998" t="s">
        <v>48</v>
      </c>
      <c r="V998" t="s">
        <v>99</v>
      </c>
      <c r="W998" t="s">
        <v>50</v>
      </c>
      <c r="X998" t="s">
        <v>127</v>
      </c>
      <c r="Y998" t="s">
        <v>1175</v>
      </c>
      <c r="Z998">
        <v>23</v>
      </c>
      <c r="AA998">
        <v>1</v>
      </c>
      <c r="AB998" t="s">
        <v>53</v>
      </c>
      <c r="AC998">
        <v>2</v>
      </c>
      <c r="AD998">
        <v>3</v>
      </c>
      <c r="AE998" t="s">
        <v>62</v>
      </c>
      <c r="AF998">
        <v>108480</v>
      </c>
      <c r="AG998">
        <v>18080</v>
      </c>
      <c r="AH998">
        <v>18080</v>
      </c>
      <c r="AI998">
        <v>72320</v>
      </c>
      <c r="AJ998" t="s">
        <v>214</v>
      </c>
      <c r="AK998" t="s">
        <v>215</v>
      </c>
      <c r="AL998">
        <v>2015</v>
      </c>
      <c r="AM998" t="s">
        <v>82</v>
      </c>
      <c r="AN998" s="2">
        <f t="shared" si="105"/>
        <v>75.449126784857313</v>
      </c>
      <c r="AO998">
        <f t="shared" si="106"/>
        <v>-107043.21</v>
      </c>
      <c r="AP998" s="2">
        <f t="shared" si="107"/>
        <v>1.3244623482453147E-2</v>
      </c>
      <c r="AQ998" s="2">
        <f t="shared" si="111"/>
        <v>0</v>
      </c>
      <c r="AR998">
        <f t="shared" si="108"/>
        <v>285</v>
      </c>
      <c r="AS998" t="str">
        <f t="shared" si="109"/>
        <v>High Claim Ratio</v>
      </c>
      <c r="AT998" t="str">
        <f t="shared" si="110"/>
        <v>High Profit</v>
      </c>
    </row>
    <row r="999" spans="1:46" x14ac:dyDescent="0.2">
      <c r="A999">
        <v>130</v>
      </c>
      <c r="B999">
        <v>34</v>
      </c>
      <c r="C999">
        <v>918516</v>
      </c>
      <c r="D999" s="1">
        <v>37669</v>
      </c>
      <c r="E999" t="s">
        <v>39</v>
      </c>
      <c r="F999" t="s">
        <v>40</v>
      </c>
      <c r="G999">
        <v>500</v>
      </c>
      <c r="H999">
        <v>1383.49</v>
      </c>
      <c r="I999">
        <v>3000000</v>
      </c>
      <c r="J999">
        <v>442797</v>
      </c>
      <c r="K999" t="s">
        <v>70</v>
      </c>
      <c r="L999" t="s">
        <v>124</v>
      </c>
      <c r="M999" t="s">
        <v>84</v>
      </c>
      <c r="N999" t="s">
        <v>98</v>
      </c>
      <c r="O999" t="s">
        <v>60</v>
      </c>
      <c r="P999">
        <v>35100</v>
      </c>
      <c r="Q999">
        <v>0</v>
      </c>
      <c r="R999" s="1">
        <v>42027</v>
      </c>
      <c r="S999" t="s">
        <v>75</v>
      </c>
      <c r="T999" t="s">
        <v>47</v>
      </c>
      <c r="U999" t="s">
        <v>63</v>
      </c>
      <c r="V999" t="s">
        <v>49</v>
      </c>
      <c r="W999" t="s">
        <v>121</v>
      </c>
      <c r="X999" t="s">
        <v>87</v>
      </c>
      <c r="Y999" t="s">
        <v>1176</v>
      </c>
      <c r="Z999">
        <v>4</v>
      </c>
      <c r="AA999">
        <v>3</v>
      </c>
      <c r="AB999" t="s">
        <v>62</v>
      </c>
      <c r="AC999">
        <v>2</v>
      </c>
      <c r="AD999">
        <v>3</v>
      </c>
      <c r="AE999" t="s">
        <v>53</v>
      </c>
      <c r="AF999">
        <v>67500</v>
      </c>
      <c r="AG999">
        <v>7500</v>
      </c>
      <c r="AH999">
        <v>7500</v>
      </c>
      <c r="AI999">
        <v>52500</v>
      </c>
      <c r="AJ999" t="s">
        <v>153</v>
      </c>
      <c r="AK999" t="s">
        <v>163</v>
      </c>
      <c r="AL999">
        <v>1996</v>
      </c>
      <c r="AM999" t="s">
        <v>82</v>
      </c>
      <c r="AN999" s="2">
        <f t="shared" si="105"/>
        <v>48.754414983134581</v>
      </c>
      <c r="AO999">
        <f t="shared" si="106"/>
        <v>-66116.509999999995</v>
      </c>
      <c r="AP999" s="2">
        <f t="shared" si="107"/>
        <v>2.0495844506007319E-2</v>
      </c>
      <c r="AQ999" s="2">
        <f t="shared" si="111"/>
        <v>19</v>
      </c>
      <c r="AR999">
        <f t="shared" si="108"/>
        <v>130</v>
      </c>
      <c r="AS999" t="str">
        <f t="shared" si="109"/>
        <v>High Claim Ratio</v>
      </c>
      <c r="AT999" t="str">
        <f t="shared" si="110"/>
        <v>High Profit</v>
      </c>
    </row>
    <row r="1000" spans="1:46" x14ac:dyDescent="0.2">
      <c r="A1000">
        <v>458</v>
      </c>
      <c r="B1000">
        <v>62</v>
      </c>
      <c r="C1000">
        <v>533940</v>
      </c>
      <c r="D1000" s="1">
        <v>40865</v>
      </c>
      <c r="E1000" t="s">
        <v>83</v>
      </c>
      <c r="F1000" t="s">
        <v>91</v>
      </c>
      <c r="G1000">
        <v>2000</v>
      </c>
      <c r="H1000">
        <v>1356.92</v>
      </c>
      <c r="I1000">
        <v>5000000</v>
      </c>
      <c r="J1000">
        <v>441714</v>
      </c>
      <c r="K1000" t="s">
        <v>41</v>
      </c>
      <c r="L1000" t="s">
        <v>92</v>
      </c>
      <c r="M1000" t="s">
        <v>159</v>
      </c>
      <c r="N1000" t="s">
        <v>106</v>
      </c>
      <c r="O1000" t="s">
        <v>119</v>
      </c>
      <c r="P1000">
        <v>0</v>
      </c>
      <c r="Q1000">
        <v>0</v>
      </c>
      <c r="R1000" s="1">
        <v>42061</v>
      </c>
      <c r="S1000" t="s">
        <v>46</v>
      </c>
      <c r="T1000" t="s">
        <v>76</v>
      </c>
      <c r="U1000" t="s">
        <v>48</v>
      </c>
      <c r="V1000" t="s">
        <v>120</v>
      </c>
      <c r="W1000" t="s">
        <v>77</v>
      </c>
      <c r="X1000" t="s">
        <v>87</v>
      </c>
      <c r="Y1000" t="s">
        <v>1177</v>
      </c>
      <c r="Z1000">
        <v>2</v>
      </c>
      <c r="AA1000">
        <v>1</v>
      </c>
      <c r="AB1000" t="s">
        <v>62</v>
      </c>
      <c r="AC1000">
        <v>0</v>
      </c>
      <c r="AD1000">
        <v>1</v>
      </c>
      <c r="AE1000" t="s">
        <v>53</v>
      </c>
      <c r="AF1000">
        <v>46980</v>
      </c>
      <c r="AG1000">
        <v>5220</v>
      </c>
      <c r="AH1000">
        <v>5220</v>
      </c>
      <c r="AI1000">
        <v>36540</v>
      </c>
      <c r="AJ1000" t="s">
        <v>109</v>
      </c>
      <c r="AK1000" t="s">
        <v>110</v>
      </c>
      <c r="AL1000">
        <v>1998</v>
      </c>
      <c r="AM1000" t="s">
        <v>82</v>
      </c>
      <c r="AN1000" s="2">
        <f t="shared" si="105"/>
        <v>34.597030752916226</v>
      </c>
      <c r="AO1000">
        <f t="shared" si="106"/>
        <v>-45623.08</v>
      </c>
      <c r="AP1000" s="2">
        <f t="shared" si="107"/>
        <v>2.8882314126987507E-2</v>
      </c>
      <c r="AQ1000" s="2">
        <f t="shared" si="111"/>
        <v>17</v>
      </c>
      <c r="AR1000">
        <f t="shared" si="108"/>
        <v>458</v>
      </c>
      <c r="AS1000" t="str">
        <f t="shared" si="109"/>
        <v>High Claim Ratio</v>
      </c>
      <c r="AT1000" t="str">
        <f t="shared" si="110"/>
        <v>High Profit</v>
      </c>
    </row>
    <row r="1001" spans="1:46" x14ac:dyDescent="0.2">
      <c r="A1001">
        <v>456</v>
      </c>
      <c r="B1001">
        <v>60</v>
      </c>
      <c r="C1001">
        <v>556080</v>
      </c>
      <c r="D1001" s="1">
        <v>35380</v>
      </c>
      <c r="E1001" t="s">
        <v>39</v>
      </c>
      <c r="F1001" t="s">
        <v>40</v>
      </c>
      <c r="G1001">
        <v>1000</v>
      </c>
      <c r="H1001">
        <v>766.19</v>
      </c>
      <c r="I1001">
        <v>0</v>
      </c>
      <c r="J1001">
        <v>612260</v>
      </c>
      <c r="K1001" t="s">
        <v>70</v>
      </c>
      <c r="L1001" t="s">
        <v>92</v>
      </c>
      <c r="M1001" t="s">
        <v>72</v>
      </c>
      <c r="N1001" t="s">
        <v>170</v>
      </c>
      <c r="O1001" t="s">
        <v>45</v>
      </c>
      <c r="P1001">
        <v>0</v>
      </c>
      <c r="Q1001">
        <v>0</v>
      </c>
      <c r="R1001" s="1">
        <v>42061</v>
      </c>
      <c r="S1001" t="s">
        <v>138</v>
      </c>
      <c r="T1001" t="s">
        <v>62</v>
      </c>
      <c r="U1001" t="s">
        <v>63</v>
      </c>
      <c r="V1001" t="s">
        <v>49</v>
      </c>
      <c r="W1001" t="s">
        <v>113</v>
      </c>
      <c r="X1001" t="s">
        <v>51</v>
      </c>
      <c r="Y1001" t="s">
        <v>1178</v>
      </c>
      <c r="Z1001">
        <v>6</v>
      </c>
      <c r="AA1001">
        <v>1</v>
      </c>
      <c r="AB1001" t="s">
        <v>62</v>
      </c>
      <c r="AC1001">
        <v>0</v>
      </c>
      <c r="AD1001">
        <v>3</v>
      </c>
      <c r="AE1001" t="s">
        <v>62</v>
      </c>
      <c r="AF1001">
        <v>5060</v>
      </c>
      <c r="AG1001">
        <v>460</v>
      </c>
      <c r="AH1001">
        <v>920</v>
      </c>
      <c r="AI1001">
        <v>3680</v>
      </c>
      <c r="AJ1001" t="s">
        <v>67</v>
      </c>
      <c r="AK1001" t="s">
        <v>68</v>
      </c>
      <c r="AL1001">
        <v>2007</v>
      </c>
      <c r="AM1001" t="s">
        <v>82</v>
      </c>
      <c r="AN1001" s="2">
        <f t="shared" si="105"/>
        <v>6.595497855811467</v>
      </c>
      <c r="AO1001">
        <f t="shared" si="106"/>
        <v>-4293.8099999999995</v>
      </c>
      <c r="AP1001" s="2">
        <f t="shared" si="107"/>
        <v>0.15139102944082197</v>
      </c>
      <c r="AQ1001" s="2">
        <f t="shared" si="111"/>
        <v>8</v>
      </c>
      <c r="AR1001">
        <f t="shared" si="108"/>
        <v>456</v>
      </c>
      <c r="AS1001" t="str">
        <f t="shared" si="109"/>
        <v>Medium Claim Ratio</v>
      </c>
      <c r="AT1001" t="str">
        <f t="shared" si="110"/>
        <v>Low Profit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raw_variability</vt:lpstr>
      <vt:lpstr>insurance_repricing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Kothari</dc:creator>
  <cp:lastModifiedBy>Sajal Kothari</cp:lastModifiedBy>
  <dcterms:created xsi:type="dcterms:W3CDTF">2025-12-08T12:34:06Z</dcterms:created>
  <dcterms:modified xsi:type="dcterms:W3CDTF">2025-12-08T17:36:13Z</dcterms:modified>
</cp:coreProperties>
</file>